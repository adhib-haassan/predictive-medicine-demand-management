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c0b010b5f11b40e/Escritorio/3. Proyecto TFG/TFG/Bases de datos/Bases de Datos Final/"/>
    </mc:Choice>
  </mc:AlternateContent>
  <xr:revisionPtr revIDLastSave="74" documentId="8_{DE999593-469C-41DA-9255-93FB26212C7A}" xr6:coauthVersionLast="47" xr6:coauthVersionMax="47" xr10:uidLastSave="{368B86BB-664D-46E4-AC65-7E7285AD5A35}"/>
  <bookViews>
    <workbookView xWindow="-110" yWindow="-110" windowWidth="19420" windowHeight="10300" xr2:uid="{9274144A-8CE1-4E28-A4D1-0391FE22D03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 l="1"/>
  <c r="G9" i="1"/>
  <c r="H9" i="1"/>
  <c r="C4" i="1" l="1"/>
  <c r="D4" i="1" s="1"/>
  <c r="C5" i="1"/>
  <c r="D5" i="1" s="1"/>
  <c r="C3" i="1"/>
  <c r="D3" i="1" s="1"/>
  <c r="C2" i="1"/>
  <c r="D2" i="1" s="1"/>
  <c r="D7" i="1" l="1"/>
  <c r="E5" i="1" s="1"/>
  <c r="E4" i="1" l="1"/>
  <c r="E3" i="1"/>
  <c r="E2" i="1"/>
</calcChain>
</file>

<file path=xl/sharedStrings.xml><?xml version="1.0" encoding="utf-8"?>
<sst xmlns="http://schemas.openxmlformats.org/spreadsheetml/2006/main" count="18" uniqueCount="17">
  <si>
    <t>Tipo de costo</t>
  </si>
  <si>
    <t>Mantenimiento de Infraestructura</t>
  </si>
  <si>
    <t>Orden y limpieza</t>
  </si>
  <si>
    <t>Energía</t>
  </si>
  <si>
    <t>Climatización</t>
  </si>
  <si>
    <t>Prom, Mensual 2025</t>
  </si>
  <si>
    <t>TOTAL 7 meses</t>
  </si>
  <si>
    <t>Fuente información Unidad de Finanzas</t>
  </si>
  <si>
    <t xml:space="preserve">Mermas </t>
  </si>
  <si>
    <t>hi</t>
  </si>
  <si>
    <t>Cantidades almacenadas (Q)</t>
  </si>
  <si>
    <t>Prom.</t>
  </si>
  <si>
    <t>Cantidaes Q</t>
  </si>
  <si>
    <t>Promedio Total anual 2023 -2024</t>
  </si>
  <si>
    <t>Costo de almacenamiento</t>
  </si>
  <si>
    <t>%</t>
  </si>
  <si>
    <r>
      <t>Σ</t>
    </r>
    <r>
      <rPr>
        <b/>
        <i/>
        <sz val="10"/>
        <rFont val="Calibri"/>
        <family val="2"/>
      </rPr>
      <t>Cai</t>
    </r>
    <r>
      <rPr>
        <b/>
        <sz val="10"/>
        <rFont val="Calibri"/>
        <family val="2"/>
      </rPr>
      <t xml:space="preserve"> anual (prom.)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</si>
</sst>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theme="1"/>
      <name val="Aptos Narrow"/>
      <family val="2"/>
      <scheme val="minor"/>
    </font>
    <font>
      <b/>
      <sz val="10"/>
      <name val="Calibri"/>
      <family val="2"/>
    </font>
    <font>
      <b/>
      <i/>
      <sz val="10"/>
      <name val="Calibri"/>
      <family val="2"/>
    </font>
    <font>
      <b/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42" fontId="0" fillId="0" borderId="0" xfId="0" applyNumberFormat="1"/>
    <xf numFmtId="0" fontId="4" fillId="0" borderId="1" xfId="0" applyFont="1" applyBorder="1"/>
    <xf numFmtId="42" fontId="4" fillId="0" borderId="1" xfId="0" applyNumberFormat="1" applyFont="1" applyBorder="1"/>
    <xf numFmtId="42" fontId="4" fillId="0" borderId="1" xfId="1" applyFont="1" applyBorder="1"/>
    <xf numFmtId="0" fontId="3" fillId="2" borderId="1" xfId="0" applyFont="1" applyFill="1" applyBorder="1" applyAlignment="1">
      <alignment wrapText="1"/>
    </xf>
    <xf numFmtId="0" fontId="3" fillId="2" borderId="0" xfId="0" applyFont="1" applyFill="1" applyAlignment="1">
      <alignment wrapText="1"/>
    </xf>
    <xf numFmtId="0" fontId="0" fillId="0" borderId="1" xfId="0" applyBorder="1"/>
    <xf numFmtId="42" fontId="0" fillId="0" borderId="1" xfId="1" applyFont="1" applyBorder="1"/>
    <xf numFmtId="0" fontId="5" fillId="2" borderId="1" xfId="0" applyFont="1" applyFill="1" applyBorder="1" applyAlignment="1">
      <alignment wrapText="1"/>
    </xf>
    <xf numFmtId="0" fontId="3" fillId="3" borderId="1" xfId="0" applyFont="1" applyFill="1" applyBorder="1" applyAlignment="1">
      <alignment horizontal="center" vertical="center" wrapText="1"/>
    </xf>
    <xf numFmtId="42" fontId="4" fillId="0" borderId="2" xfId="1" applyFont="1" applyBorder="1"/>
    <xf numFmtId="0" fontId="0" fillId="0" borderId="1" xfId="0" applyBorder="1" applyAlignment="1">
      <alignment horizontal="right"/>
    </xf>
    <xf numFmtId="1" fontId="0" fillId="0" borderId="0" xfId="0" applyNumberFormat="1"/>
    <xf numFmtId="0" fontId="7" fillId="3" borderId="1" xfId="0" applyFont="1" applyFill="1" applyBorder="1"/>
    <xf numFmtId="1" fontId="4" fillId="0" borderId="2" xfId="0" applyNumberFormat="1" applyFont="1" applyBorder="1"/>
    <xf numFmtId="0" fontId="7" fillId="3" borderId="2" xfId="0" applyFont="1" applyFill="1" applyBorder="1"/>
    <xf numFmtId="0" fontId="0" fillId="0" borderId="3" xfId="0" applyBorder="1"/>
    <xf numFmtId="9" fontId="4" fillId="0" borderId="1" xfId="2" applyFont="1" applyBorder="1"/>
    <xf numFmtId="1" fontId="4" fillId="0" borderId="1" xfId="0" applyNumberFormat="1" applyFont="1" applyBorder="1"/>
  </cellXfs>
  <cellStyles count="3">
    <cellStyle name="Moneda [0]" xfId="1" builtinId="7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BEB32-8CB9-479D-A166-952477E94D98}">
  <dimension ref="A1:H15"/>
  <sheetViews>
    <sheetView tabSelected="1" workbookViewId="0">
      <selection sqref="A1:D1048576"/>
    </sheetView>
  </sheetViews>
  <sheetFormatPr baseColWidth="10" defaultRowHeight="14.5" x14ac:dyDescent="0.35"/>
  <cols>
    <col min="1" max="1" width="31.36328125" customWidth="1"/>
    <col min="2" max="2" width="11.6328125" hidden="1" customWidth="1"/>
    <col min="3" max="3" width="17.26953125" hidden="1" customWidth="1"/>
    <col min="4" max="4" width="28.90625" customWidth="1"/>
    <col min="5" max="5" width="12.36328125" customWidth="1"/>
    <col min="7" max="7" width="13.6328125" customWidth="1"/>
    <col min="8" max="8" width="13.26953125" customWidth="1"/>
  </cols>
  <sheetData>
    <row r="1" spans="1:8" ht="17" customHeight="1" x14ac:dyDescent="0.35">
      <c r="A1" s="11" t="s">
        <v>0</v>
      </c>
      <c r="B1" s="1" t="s">
        <v>6</v>
      </c>
      <c r="C1" s="3" t="s">
        <v>5</v>
      </c>
      <c r="D1" s="17" t="s">
        <v>13</v>
      </c>
      <c r="E1" s="15" t="s">
        <v>15</v>
      </c>
    </row>
    <row r="2" spans="1:8" x14ac:dyDescent="0.35">
      <c r="A2" s="6" t="s">
        <v>1</v>
      </c>
      <c r="B2" s="4">
        <v>1503424</v>
      </c>
      <c r="C2" s="5">
        <f>B2/7</f>
        <v>214774.85714285713</v>
      </c>
      <c r="D2" s="12">
        <f>C2*12</f>
        <v>2577298.2857142854</v>
      </c>
      <c r="E2" s="19">
        <f>D2/$D$7</f>
        <v>5.8361485997559935E-2</v>
      </c>
    </row>
    <row r="3" spans="1:8" x14ac:dyDescent="0.35">
      <c r="A3" s="6" t="s">
        <v>2</v>
      </c>
      <c r="B3" s="4">
        <v>10899352</v>
      </c>
      <c r="C3" s="5">
        <f>B3/7</f>
        <v>1557050.2857142857</v>
      </c>
      <c r="D3" s="12">
        <f t="shared" ref="D3:D5" si="0">C3*12</f>
        <v>18684603.428571429</v>
      </c>
      <c r="E3" s="19">
        <f t="shared" ref="E3:E5" si="1">D3/$D$7</f>
        <v>0.42310245089241422</v>
      </c>
    </row>
    <row r="4" spans="1:8" x14ac:dyDescent="0.35">
      <c r="A4" s="6" t="s">
        <v>3</v>
      </c>
      <c r="B4" s="4">
        <v>4324515</v>
      </c>
      <c r="C4" s="5">
        <f t="shared" ref="C4:C5" si="2">B4/7</f>
        <v>617787.85714285716</v>
      </c>
      <c r="D4" s="12">
        <f t="shared" si="0"/>
        <v>7413454.2857142854</v>
      </c>
      <c r="E4" s="19">
        <f t="shared" si="1"/>
        <v>0.16787354839269422</v>
      </c>
    </row>
    <row r="5" spans="1:8" x14ac:dyDescent="0.35">
      <c r="A5" s="6" t="s">
        <v>4</v>
      </c>
      <c r="B5" s="4">
        <v>1306515</v>
      </c>
      <c r="C5" s="5">
        <f t="shared" si="2"/>
        <v>186645</v>
      </c>
      <c r="D5" s="12">
        <f t="shared" si="0"/>
        <v>2239740</v>
      </c>
      <c r="E5" s="19">
        <f t="shared" si="1"/>
        <v>5.0717666392249977E-2</v>
      </c>
      <c r="G5" t="s">
        <v>8</v>
      </c>
      <c r="H5" t="s">
        <v>12</v>
      </c>
    </row>
    <row r="6" spans="1:8" x14ac:dyDescent="0.35">
      <c r="A6" s="6" t="s">
        <v>8</v>
      </c>
      <c r="B6" s="3"/>
      <c r="C6" s="3"/>
      <c r="D6" s="12">
        <v>13245847.5</v>
      </c>
      <c r="E6" s="19"/>
      <c r="F6" s="18">
        <v>2023</v>
      </c>
      <c r="G6" s="9">
        <v>18501628</v>
      </c>
      <c r="H6" s="8">
        <v>1272295</v>
      </c>
    </row>
    <row r="7" spans="1:8" x14ac:dyDescent="0.35">
      <c r="A7" s="10" t="s">
        <v>16</v>
      </c>
      <c r="B7" s="3"/>
      <c r="C7" s="3"/>
      <c r="D7" s="12">
        <f>SUM(D2:D6)</f>
        <v>44160943.5</v>
      </c>
      <c r="E7" s="5"/>
      <c r="F7" s="18"/>
      <c r="G7" s="8"/>
      <c r="H7" s="8"/>
    </row>
    <row r="8" spans="1:8" x14ac:dyDescent="0.35">
      <c r="A8" s="6" t="s">
        <v>10</v>
      </c>
      <c r="B8" s="3"/>
      <c r="C8" s="3"/>
      <c r="D8" s="16">
        <v>1399138.5</v>
      </c>
      <c r="E8" s="20"/>
      <c r="F8" s="18">
        <v>2024</v>
      </c>
      <c r="G8" s="9">
        <v>7990067</v>
      </c>
      <c r="H8" s="8">
        <v>1525982</v>
      </c>
    </row>
    <row r="9" spans="1:8" ht="26.5" x14ac:dyDescent="0.35">
      <c r="A9" s="7" t="s">
        <v>7</v>
      </c>
      <c r="F9" s="13" t="s">
        <v>11</v>
      </c>
      <c r="G9" s="9">
        <f>AVERAGE(G6:G8)</f>
        <v>13245847.5</v>
      </c>
      <c r="H9" s="8">
        <f>AVERAGE(H6:H8)</f>
        <v>1399138.5</v>
      </c>
    </row>
    <row r="11" spans="1:8" x14ac:dyDescent="0.35">
      <c r="A11" s="7" t="s">
        <v>14</v>
      </c>
    </row>
    <row r="12" spans="1:8" x14ac:dyDescent="0.35">
      <c r="A12" t="s">
        <v>9</v>
      </c>
      <c r="B12" s="2">
        <f>(D7/D8)</f>
        <v>31.562953560351602</v>
      </c>
    </row>
    <row r="14" spans="1:8" x14ac:dyDescent="0.35">
      <c r="B14" s="2"/>
    </row>
    <row r="15" spans="1:8" x14ac:dyDescent="0.35">
      <c r="B15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Evelyn Castro</dc:creator>
  <cp:lastModifiedBy>Evelyn Castro</cp:lastModifiedBy>
  <dcterms:created xsi:type="dcterms:W3CDTF">2025-09-04T01:59:58Z</dcterms:created>
  <dcterms:modified xsi:type="dcterms:W3CDTF">2025-12-30T22:18:12Z</dcterms:modified>
</cp:coreProperties>
</file>