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c0b010b5f11b40e/Escritorio/3. Proyecto TFG/TFG/Bases de datos/Bases de Datos Final/"/>
    </mc:Choice>
  </mc:AlternateContent>
  <xr:revisionPtr revIDLastSave="36" documentId="13_ncr:1_{C91ABFD9-312F-4DF7-B518-C9CD5086E7C8}" xr6:coauthVersionLast="47" xr6:coauthVersionMax="47" xr10:uidLastSave="{6E9AF3E1-BF8F-43A9-860F-A1E8CC49F4E9}"/>
  <bookViews>
    <workbookView xWindow="-110" yWindow="-110" windowWidth="19420" windowHeight="10300" xr2:uid="{BD31E967-2F57-4F88-ABE7-DAB6C0CA28E2}"/>
  </bookViews>
  <sheets>
    <sheet name="Resumen de Mermas 2023-2024" sheetId="1" r:id="rId1"/>
    <sheet name="Ingreso Merm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F32" i="1"/>
  <c r="F31" i="1"/>
  <c r="F28" i="1"/>
  <c r="J24" i="1"/>
  <c r="I8" i="2"/>
  <c r="Q8" i="2" s="1"/>
  <c r="P8" i="2"/>
  <c r="I10" i="2"/>
  <c r="Q10" i="2" s="1"/>
  <c r="P10" i="2"/>
  <c r="C11" i="2"/>
  <c r="D11" i="2"/>
  <c r="D12" i="2" s="1"/>
  <c r="E11" i="2"/>
  <c r="E12" i="2" s="1"/>
  <c r="F11" i="2"/>
  <c r="G11" i="2"/>
  <c r="G12" i="2" s="1"/>
  <c r="H11" i="2"/>
  <c r="J11" i="2"/>
  <c r="K11" i="2"/>
  <c r="L11" i="2"/>
  <c r="M11" i="2"/>
  <c r="M12" i="2" s="1"/>
  <c r="N11" i="2"/>
  <c r="N12" i="2" s="1"/>
  <c r="O11" i="2"/>
  <c r="C12" i="2"/>
  <c r="F12" i="2"/>
  <c r="H12" i="2"/>
  <c r="J12" i="2"/>
  <c r="K12" i="2"/>
  <c r="L12" i="2"/>
  <c r="O12" i="2"/>
  <c r="P12" i="2"/>
  <c r="I17" i="2"/>
  <c r="P17" i="2"/>
  <c r="Q17" i="2" s="1"/>
  <c r="Q21" i="2" s="1"/>
  <c r="I19" i="2"/>
  <c r="P19" i="2"/>
  <c r="Q19" i="2"/>
  <c r="C20" i="2"/>
  <c r="C21" i="2" s="1"/>
  <c r="D20" i="2"/>
  <c r="D21" i="2" s="1"/>
  <c r="E20" i="2"/>
  <c r="F20" i="2"/>
  <c r="F21" i="2" s="1"/>
  <c r="G20" i="2"/>
  <c r="H20" i="2"/>
  <c r="J20" i="2"/>
  <c r="K20" i="2"/>
  <c r="K21" i="2" s="1"/>
  <c r="L20" i="2"/>
  <c r="L21" i="2" s="1"/>
  <c r="M20" i="2"/>
  <c r="M21" i="2" s="1"/>
  <c r="N20" i="2"/>
  <c r="O20" i="2"/>
  <c r="E21" i="2"/>
  <c r="G21" i="2"/>
  <c r="H21" i="2"/>
  <c r="I21" i="2"/>
  <c r="J21" i="2"/>
  <c r="N21" i="2"/>
  <c r="O21" i="2"/>
  <c r="P21" i="2"/>
  <c r="E28" i="1"/>
  <c r="Q12" i="2" l="1"/>
  <c r="I12" i="2"/>
</calcChain>
</file>

<file path=xl/sharedStrings.xml><?xml version="1.0" encoding="utf-8"?>
<sst xmlns="http://schemas.openxmlformats.org/spreadsheetml/2006/main" count="111" uniqueCount="81">
  <si>
    <t>Código DEIS Servicio de Salud</t>
  </si>
  <si>
    <t>Código DEIS Establecimiento</t>
  </si>
  <si>
    <t>Monto Comprado por  el Establecimiento en el periodo</t>
  </si>
  <si>
    <t>Monto Mermado por  el Establecimiento en el periodo</t>
  </si>
  <si>
    <t>Medicamento mayor merma en monto</t>
  </si>
  <si>
    <t>Valor</t>
  </si>
  <si>
    <t xml:space="preserve">Enero </t>
  </si>
  <si>
    <t>AFATINIB 30MG CM RECUBIERTO</t>
  </si>
  <si>
    <t>Febrero</t>
  </si>
  <si>
    <t>ENZALUTAMIDA CP 40 MG</t>
  </si>
  <si>
    <t>Marzo</t>
  </si>
  <si>
    <t>ASPARRAGINASA FA 10.000 UI</t>
  </si>
  <si>
    <t>Abril</t>
  </si>
  <si>
    <t>COLISTINA BASE 3 MILLONES UI EQUIVALENTE A 100MG FA</t>
  </si>
  <si>
    <t>Mayo</t>
  </si>
  <si>
    <t>MELFALAN 2 MG</t>
  </si>
  <si>
    <t>Junio</t>
  </si>
  <si>
    <t>FLUDARABINA FA 50 MG</t>
  </si>
  <si>
    <t>Julio</t>
  </si>
  <si>
    <t>NUTRICIA“N PARENTERAL BOLSA PRELLENADA 3 CAMARAS EXTRA NITROGENO 2025 ML/1350 KCAL. KIT INCLUYE NPT-FILTRO 1.2 UM</t>
  </si>
  <si>
    <t>Agosto</t>
  </si>
  <si>
    <t>S.P. GLUCOSA 5% 1000 ML ENVASE TIPO VIAFLEX (COLAPSABLE) SOLUCION INYECTABLE</t>
  </si>
  <si>
    <t>Septiembre</t>
  </si>
  <si>
    <t>IPRATROPIO BROMURO 0.025% SOLUCION PARA NEBULIZADOR 20ML</t>
  </si>
  <si>
    <t>Octubre</t>
  </si>
  <si>
    <t>ACIDO TRANEXAMICO 500 MG COMPRIMIDO VIA ORAL</t>
  </si>
  <si>
    <t>Noviembre</t>
  </si>
  <si>
    <t>VASELINA ESTERIL FC X 100 ML</t>
  </si>
  <si>
    <t>Diciembre</t>
  </si>
  <si>
    <t>S.P. AMINOACIDOS ESENCIALES 10% 500ML SOLUCION INYECTABLE</t>
  </si>
  <si>
    <t>Enero</t>
  </si>
  <si>
    <t>CEFEPIMA FA 2G POLVO LIOFILIZADO PARA SOLUCION INYECTABLE</t>
  </si>
  <si>
    <t>COLISTINA BASE FA 3 MILLONES UI EQUIV A 100 MG</t>
  </si>
  <si>
    <t>VINORELBINE 50 MG/5ML SOLUCION INYECTABLE</t>
  </si>
  <si>
    <t>TEMOZOLOMIDA CP 250 MG</t>
  </si>
  <si>
    <t>IMIPENEM FA 500 MG</t>
  </si>
  <si>
    <t>GABAPENTINA CM 600 MG</t>
  </si>
  <si>
    <t>MIVACURIO 2MG/ML AM SOLUCION INYECTABLE</t>
  </si>
  <si>
    <t>GABAPENTINA 400MG CP/CM REC.</t>
  </si>
  <si>
    <t>año</t>
  </si>
  <si>
    <t>Año</t>
  </si>
  <si>
    <t>Mes</t>
  </si>
  <si>
    <t>Total 2023-2024</t>
  </si>
  <si>
    <t>Fuente: Ingresos intranet de Bodega Abastecimiento. Ingresos LRS Bodefar.Ingresos bodega</t>
  </si>
  <si>
    <t xml:space="preserve">% medicamentos mermados semestral </t>
  </si>
  <si>
    <t>%</t>
  </si>
  <si>
    <t>Valor Total ingresos mensuales (compra del mes) de medicamentos :</t>
  </si>
  <si>
    <t xml:space="preserve"> Valor mensual de medicamentos mermados en el periodo:</t>
  </si>
  <si>
    <t>TOTAL AÑO 2024</t>
  </si>
  <si>
    <t>II SEMESTRE</t>
  </si>
  <si>
    <t>DICIEMBRE</t>
  </si>
  <si>
    <t>NOVIEMBRE</t>
  </si>
  <si>
    <t>OCTUBRE</t>
  </si>
  <si>
    <t>SEPTIEMBRE</t>
  </si>
  <si>
    <t>AGOSTO</t>
  </si>
  <si>
    <t>JULIO</t>
  </si>
  <si>
    <t>I SEMESTRE</t>
  </si>
  <si>
    <t>JUNIO</t>
  </si>
  <si>
    <t>MAYO</t>
  </si>
  <si>
    <t>ABRIL</t>
  </si>
  <si>
    <t>MARZO</t>
  </si>
  <si>
    <t>FEBRERO</t>
  </si>
  <si>
    <t>ENERO</t>
  </si>
  <si>
    <t>Parametros</t>
  </si>
  <si>
    <t>AÑO 2024</t>
  </si>
  <si>
    <t>Resumen Mermas vs Compras</t>
  </si>
  <si>
    <t>TOTAL AÑO 2023</t>
  </si>
  <si>
    <t>AÑO 2023</t>
  </si>
  <si>
    <t>Procesos Internos</t>
  </si>
  <si>
    <t>Sustentabilidad Financiera</t>
  </si>
  <si>
    <t>Perspectiva</t>
  </si>
  <si>
    <t>Estrategia</t>
  </si>
  <si>
    <t>A.3.1.9 GESTION LOGISTICA Y FINANCIERA FARMACOS.</t>
  </si>
  <si>
    <t>QF VRB</t>
  </si>
  <si>
    <t>Nombre Indicador:</t>
  </si>
  <si>
    <t xml:space="preserve">Valorizado de compra mensual versus valorizado de mermas </t>
  </si>
  <si>
    <t>Principales Medicamentos Mermados según monto</t>
  </si>
  <si>
    <t>Resumen de Mermas Servicio de Farmacia 2023-2024</t>
  </si>
  <si>
    <t>Mermas 2023</t>
  </si>
  <si>
    <t>Mermas 2024</t>
  </si>
  <si>
    <t>Proedio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</si>
</sst>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164" formatCode="_-&quot;$&quot;\ * #,##0_-;\-&quot;$&quot;\ * #,##0_-;_-&quot;$&quot;\ * &quot;-&quot;_-;_-@_-"/>
    <numFmt numFmtId="165" formatCode="_-* #,##0.00_-;\-* #,##0.00_-;_-* &quot;-&quot;??_-;_-@_-"/>
    <numFmt numFmtId="166" formatCode="_-* #,##0_-;\-* #,##0_-;_-* &quot;-&quot;??_-;_-@_-"/>
    <numFmt numFmtId="167" formatCode="_-* #,##0.0_-;\-* #,##0.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Source Sans Pro"/>
      <family val="2"/>
    </font>
    <font>
      <sz val="11"/>
      <color theme="0" tint="-0.1499984740745262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rgb="FFDDDDD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165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03">
    <xf numFmtId="0" fontId="0" fillId="0" borderId="0" xfId="0"/>
    <xf numFmtId="0" fontId="4" fillId="2" borderId="3" xfId="2" applyFont="1" applyBorder="1" applyAlignment="1">
      <alignment horizontal="center" vertical="center" wrapText="1"/>
    </xf>
    <xf numFmtId="0" fontId="0" fillId="0" borderId="4" xfId="0" applyBorder="1"/>
    <xf numFmtId="164" fontId="5" fillId="0" borderId="4" xfId="1" applyFont="1" applyFill="1" applyBorder="1"/>
    <xf numFmtId="42" fontId="0" fillId="0" borderId="4" xfId="0" applyNumberFormat="1" applyBorder="1" applyAlignment="1" applyProtection="1">
      <alignment horizontal="center"/>
      <protection locked="0"/>
    </xf>
    <xf numFmtId="0" fontId="0" fillId="0" borderId="4" xfId="0" applyBorder="1" applyAlignment="1">
      <alignment horizontal="left"/>
    </xf>
    <xf numFmtId="164" fontId="0" fillId="0" borderId="4" xfId="1" applyFont="1" applyBorder="1"/>
    <xf numFmtId="164" fontId="0" fillId="0" borderId="4" xfId="1" applyFont="1" applyBorder="1" applyAlignment="1" applyProtection="1">
      <alignment horizontal="center" vertical="center" wrapText="1"/>
      <protection locked="0"/>
    </xf>
    <xf numFmtId="164" fontId="0" fillId="0" borderId="0" xfId="0" applyNumberFormat="1"/>
    <xf numFmtId="0" fontId="6" fillId="4" borderId="3" xfId="2" applyFont="1" applyFill="1" applyBorder="1" applyAlignment="1">
      <alignment horizontal="center" vertical="center" wrapText="1"/>
    </xf>
    <xf numFmtId="0" fontId="7" fillId="4" borderId="3" xfId="2" applyFont="1" applyFill="1" applyBorder="1" applyAlignment="1">
      <alignment horizontal="center" vertical="center" wrapText="1"/>
    </xf>
    <xf numFmtId="0" fontId="7" fillId="4" borderId="0" xfId="2" applyFont="1" applyFill="1" applyBorder="1" applyAlignment="1">
      <alignment horizontal="center" vertical="center" wrapText="1"/>
    </xf>
    <xf numFmtId="0" fontId="7" fillId="0" borderId="4" xfId="0" applyFont="1" applyBorder="1"/>
    <xf numFmtId="164" fontId="7" fillId="0" borderId="4" xfId="0" applyNumberFormat="1" applyFont="1" applyBorder="1"/>
    <xf numFmtId="42" fontId="7" fillId="0" borderId="4" xfId="0" applyNumberFormat="1" applyFont="1" applyBorder="1"/>
    <xf numFmtId="166" fontId="0" fillId="0" borderId="0" xfId="3" applyNumberFormat="1" applyFont="1"/>
    <xf numFmtId="166" fontId="0" fillId="0" borderId="0" xfId="3" applyNumberFormat="1" applyFont="1" applyFill="1"/>
    <xf numFmtId="166" fontId="5" fillId="0" borderId="0" xfId="3" applyNumberFormat="1" applyFont="1"/>
    <xf numFmtId="0" fontId="5" fillId="0" borderId="0" xfId="0" applyFont="1"/>
    <xf numFmtId="0" fontId="10" fillId="0" borderId="0" xfId="0" applyFont="1"/>
    <xf numFmtId="167" fontId="0" fillId="0" borderId="0" xfId="3" applyNumberFormat="1" applyFont="1" applyFill="1" applyBorder="1"/>
    <xf numFmtId="165" fontId="7" fillId="5" borderId="5" xfId="3" applyFont="1" applyFill="1" applyBorder="1" applyAlignment="1">
      <alignment horizontal="center"/>
    </xf>
    <xf numFmtId="165" fontId="7" fillId="5" borderId="6" xfId="3" applyFont="1" applyFill="1" applyBorder="1" applyAlignment="1">
      <alignment horizontal="center"/>
    </xf>
    <xf numFmtId="165" fontId="10" fillId="0" borderId="7" xfId="3" applyFont="1" applyFill="1" applyBorder="1"/>
    <xf numFmtId="165" fontId="10" fillId="0" borderId="8" xfId="3" applyFont="1" applyFill="1" applyBorder="1"/>
    <xf numFmtId="165" fontId="10" fillId="0" borderId="9" xfId="3" applyFont="1" applyFill="1" applyBorder="1"/>
    <xf numFmtId="165" fontId="10" fillId="0" borderId="10" xfId="3" applyFont="1" applyFill="1" applyBorder="1"/>
    <xf numFmtId="167" fontId="11" fillId="0" borderId="11" xfId="3" applyNumberFormat="1" applyFont="1" applyFill="1" applyBorder="1" applyAlignment="1">
      <alignment vertical="top" wrapText="1"/>
    </xf>
    <xf numFmtId="167" fontId="11" fillId="0" borderId="12" xfId="3" applyNumberFormat="1" applyFont="1" applyFill="1" applyBorder="1" applyAlignment="1">
      <alignment vertical="top" wrapText="1"/>
    </xf>
    <xf numFmtId="165" fontId="7" fillId="5" borderId="13" xfId="3" applyFont="1" applyFill="1" applyBorder="1" applyAlignment="1">
      <alignment horizontal="center"/>
    </xf>
    <xf numFmtId="165" fontId="7" fillId="5" borderId="14" xfId="3" applyFont="1" applyFill="1" applyBorder="1" applyAlignment="1">
      <alignment horizontal="center"/>
    </xf>
    <xf numFmtId="165" fontId="5" fillId="0" borderId="15" xfId="3" applyFont="1" applyFill="1" applyBorder="1" applyAlignment="1">
      <alignment horizontal="center"/>
    </xf>
    <xf numFmtId="165" fontId="5" fillId="0" borderId="16" xfId="3" applyFont="1" applyFill="1" applyBorder="1" applyAlignment="1">
      <alignment horizontal="center"/>
    </xf>
    <xf numFmtId="165" fontId="5" fillId="0" borderId="17" xfId="3" applyFont="1" applyFill="1" applyBorder="1" applyAlignment="1">
      <alignment horizontal="center"/>
    </xf>
    <xf numFmtId="165" fontId="5" fillId="0" borderId="18" xfId="3" applyFont="1" applyFill="1" applyBorder="1" applyAlignment="1">
      <alignment horizontal="center"/>
    </xf>
    <xf numFmtId="167" fontId="11" fillId="0" borderId="19" xfId="3" applyNumberFormat="1" applyFont="1" applyFill="1" applyBorder="1" applyAlignment="1">
      <alignment vertical="top" wrapText="1"/>
    </xf>
    <xf numFmtId="167" fontId="11" fillId="0" borderId="4" xfId="3" applyNumberFormat="1" applyFont="1" applyFill="1" applyBorder="1" applyAlignment="1">
      <alignment vertical="top" wrapText="1"/>
    </xf>
    <xf numFmtId="0" fontId="8" fillId="0" borderId="0" xfId="0" applyFont="1"/>
    <xf numFmtId="166" fontId="8" fillId="0" borderId="0" xfId="3" applyNumberFormat="1" applyFont="1" applyFill="1"/>
    <xf numFmtId="42" fontId="8" fillId="5" borderId="13" xfId="4" applyFont="1" applyFill="1" applyBorder="1"/>
    <xf numFmtId="42" fontId="0" fillId="0" borderId="19" xfId="0" applyNumberFormat="1" applyBorder="1"/>
    <xf numFmtId="42" fontId="0" fillId="0" borderId="4" xfId="4" applyFont="1" applyFill="1" applyBorder="1"/>
    <xf numFmtId="42" fontId="5" fillId="0" borderId="20" xfId="4" applyFont="1" applyFill="1" applyBorder="1"/>
    <xf numFmtId="42" fontId="1" fillId="0" borderId="19" xfId="4" applyFont="1" applyFill="1" applyBorder="1"/>
    <xf numFmtId="42" fontId="1" fillId="0" borderId="4" xfId="4" applyFont="1" applyFill="1" applyBorder="1"/>
    <xf numFmtId="42" fontId="5" fillId="0" borderId="21" xfId="4" applyFont="1" applyFill="1" applyBorder="1"/>
    <xf numFmtId="166" fontId="8" fillId="5" borderId="13" xfId="3" applyNumberFormat="1" applyFont="1" applyFill="1" applyBorder="1"/>
    <xf numFmtId="166" fontId="0" fillId="0" borderId="19" xfId="3" applyNumberFormat="1" applyFont="1" applyFill="1" applyBorder="1"/>
    <xf numFmtId="166" fontId="0" fillId="0" borderId="4" xfId="3" applyNumberFormat="1" applyFont="1" applyFill="1" applyBorder="1"/>
    <xf numFmtId="166" fontId="0" fillId="0" borderId="20" xfId="3" applyNumberFormat="1" applyFont="1" applyFill="1" applyBorder="1"/>
    <xf numFmtId="0" fontId="10" fillId="0" borderId="19" xfId="0" applyFont="1" applyBorder="1" applyAlignment="1">
      <alignment horizontal="left" vertical="center" wrapText="1" indent="1"/>
    </xf>
    <xf numFmtId="0" fontId="10" fillId="0" borderId="4" xfId="0" applyFont="1" applyBorder="1" applyAlignment="1">
      <alignment horizontal="left" wrapText="1"/>
    </xf>
    <xf numFmtId="42" fontId="0" fillId="0" borderId="20" xfId="4" applyFont="1" applyFill="1" applyBorder="1"/>
    <xf numFmtId="42" fontId="1" fillId="0" borderId="4" xfId="4" applyFont="1" applyBorder="1" applyAlignment="1">
      <alignment horizontal="right" wrapText="1"/>
    </xf>
    <xf numFmtId="42" fontId="10" fillId="0" borderId="4" xfId="4" applyFont="1" applyFill="1" applyBorder="1"/>
    <xf numFmtId="42" fontId="10" fillId="0" borderId="21" xfId="4" applyFont="1" applyFill="1" applyBorder="1"/>
    <xf numFmtId="166" fontId="8" fillId="5" borderId="22" xfId="3" applyNumberFormat="1" applyFont="1" applyFill="1" applyBorder="1"/>
    <xf numFmtId="166" fontId="0" fillId="0" borderId="23" xfId="3" applyNumberFormat="1" applyFont="1" applyBorder="1"/>
    <xf numFmtId="166" fontId="0" fillId="0" borderId="24" xfId="3" applyNumberFormat="1" applyFont="1" applyBorder="1"/>
    <xf numFmtId="166" fontId="0" fillId="0" borderId="24" xfId="3" applyNumberFormat="1" applyFont="1" applyFill="1" applyBorder="1"/>
    <xf numFmtId="166" fontId="0" fillId="0" borderId="25" xfId="3" applyNumberFormat="1" applyFont="1" applyBorder="1"/>
    <xf numFmtId="166" fontId="5" fillId="0" borderId="26" xfId="3" applyNumberFormat="1" applyFont="1" applyBorder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166" fontId="13" fillId="0" borderId="0" xfId="3" applyNumberFormat="1" applyFont="1"/>
    <xf numFmtId="166" fontId="13" fillId="0" borderId="0" xfId="3" applyNumberFormat="1" applyFont="1" applyFill="1"/>
    <xf numFmtId="0" fontId="7" fillId="6" borderId="0" xfId="0" applyFont="1" applyFill="1"/>
    <xf numFmtId="166" fontId="5" fillId="0" borderId="0" xfId="3" applyNumberFormat="1" applyFont="1" applyFill="1"/>
    <xf numFmtId="165" fontId="7" fillId="7" borderId="5" xfId="3" applyFont="1" applyFill="1" applyBorder="1" applyAlignment="1">
      <alignment horizontal="center"/>
    </xf>
    <xf numFmtId="165" fontId="7" fillId="7" borderId="6" xfId="3" applyFont="1" applyFill="1" applyBorder="1" applyAlignment="1">
      <alignment horizontal="center"/>
    </xf>
    <xf numFmtId="165" fontId="7" fillId="7" borderId="13" xfId="3" applyFont="1" applyFill="1" applyBorder="1" applyAlignment="1">
      <alignment horizontal="center"/>
    </xf>
    <xf numFmtId="165" fontId="7" fillId="7" borderId="14" xfId="3" applyFont="1" applyFill="1" applyBorder="1" applyAlignment="1">
      <alignment horizontal="center"/>
    </xf>
    <xf numFmtId="42" fontId="8" fillId="0" borderId="13" xfId="4" applyFont="1" applyFill="1" applyBorder="1"/>
    <xf numFmtId="42" fontId="8" fillId="7" borderId="13" xfId="4" applyFont="1" applyFill="1" applyBorder="1"/>
    <xf numFmtId="42" fontId="8" fillId="0" borderId="19" xfId="4" applyFont="1" applyFill="1" applyBorder="1"/>
    <xf numFmtId="42" fontId="8" fillId="0" borderId="4" xfId="4" applyFont="1" applyFill="1" applyBorder="1"/>
    <xf numFmtId="42" fontId="12" fillId="0" borderId="4" xfId="4" applyFont="1" applyFill="1" applyBorder="1"/>
    <xf numFmtId="42" fontId="12" fillId="0" borderId="21" xfId="4" applyFont="1" applyFill="1" applyBorder="1"/>
    <xf numFmtId="166" fontId="8" fillId="7" borderId="13" xfId="3" applyNumberFormat="1" applyFont="1" applyFill="1" applyBorder="1"/>
    <xf numFmtId="166" fontId="5" fillId="0" borderId="21" xfId="3" applyNumberFormat="1" applyFont="1" applyFill="1" applyBorder="1"/>
    <xf numFmtId="42" fontId="0" fillId="0" borderId="4" xfId="4" applyFont="1" applyBorder="1" applyAlignment="1">
      <alignment horizontal="right" wrapText="1"/>
    </xf>
    <xf numFmtId="166" fontId="8" fillId="7" borderId="22" xfId="3" applyNumberFormat="1" applyFont="1" applyFill="1" applyBorder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5" fillId="8" borderId="27" xfId="0" applyFont="1" applyFill="1" applyBorder="1" applyAlignment="1">
      <alignment horizontal="center" vertical="top" wrapText="1"/>
    </xf>
    <xf numFmtId="0" fontId="5" fillId="8" borderId="27" xfId="0" applyFont="1" applyFill="1" applyBorder="1" applyAlignment="1">
      <alignment horizontal="center" wrapText="1"/>
    </xf>
    <xf numFmtId="0" fontId="7" fillId="9" borderId="0" xfId="0" applyFont="1" applyFill="1" applyAlignment="1">
      <alignment horizontal="center" vertical="top"/>
    </xf>
    <xf numFmtId="0" fontId="7" fillId="9" borderId="0" xfId="0" applyFont="1" applyFill="1" applyAlignment="1">
      <alignment horizontal="center"/>
    </xf>
    <xf numFmtId="166" fontId="16" fillId="0" borderId="0" xfId="3" applyNumberFormat="1" applyFont="1"/>
    <xf numFmtId="0" fontId="3" fillId="3" borderId="0" xfId="0" applyFont="1" applyFill="1" applyAlignment="1">
      <alignment horizontal="center" vertical="center"/>
    </xf>
    <xf numFmtId="164" fontId="8" fillId="0" borderId="4" xfId="0" applyNumberFormat="1" applyFont="1" applyBorder="1"/>
    <xf numFmtId="42" fontId="0" fillId="0" borderId="0" xfId="0" applyNumberFormat="1"/>
    <xf numFmtId="0" fontId="3" fillId="3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28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14" fillId="0" borderId="0" xfId="0" applyFont="1" applyAlignment="1">
      <alignment horizontal="left" wrapText="1"/>
    </xf>
  </cellXfs>
  <cellStyles count="5">
    <cellStyle name="Énfasis1" xfId="2" builtinId="29"/>
    <cellStyle name="Millares 2" xfId="3" xr:uid="{F4C43841-5A08-4C57-BD69-43F203E0FBB3}"/>
    <cellStyle name="Moneda [0]" xfId="1" builtinId="7"/>
    <cellStyle name="Moneda [0] 2" xfId="4" xr:uid="{DCC30533-51C6-4535-842C-B5D6BCFBE33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200" b="1" i="0" u="none" strike="noStrike" baseline="0"/>
              <a:t>Valor económico de medicamentos mermados (2023–2024)</a:t>
            </a:r>
            <a:endParaRPr lang="es-CL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de Mermas 2023-2024'!$J$3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'Resumen de Mermas 2023-2024'!$H$4:$I$15</c15:sqref>
                  </c15:fullRef>
                  <c15:levelRef>
                    <c15:sqref>'Resumen de Mermas 2023-2024'!$I$4:$I$15</c15:sqref>
                  </c15:levelRef>
                </c:ext>
              </c:extLst>
              <c:f>'Resumen de Mermas 2023-2024'!$I$4:$I$15</c:f>
              <c:strCache>
                <c:ptCount val="12"/>
                <c:pt idx="0">
                  <c:v>ENZALUTAMIDA CP 40 MG</c:v>
                </c:pt>
                <c:pt idx="1">
                  <c:v>AFATINIB 30MG CM RECUBIERTO</c:v>
                </c:pt>
                <c:pt idx="2">
                  <c:v>CEFEPIMA FA 2G POLVO LIOFILIZADO PARA SOLUCION INYECTABLE</c:v>
                </c:pt>
                <c:pt idx="3">
                  <c:v>COLISTINA BASE FA 3 MILLONES UI EQUIV A 100 MG</c:v>
                </c:pt>
                <c:pt idx="4">
                  <c:v>ASPARRAGINASA FA 10.000 UI</c:v>
                </c:pt>
                <c:pt idx="5">
                  <c:v>VINORELBINE 50 MG/5ML SOLUCION INYECTABLE</c:v>
                </c:pt>
                <c:pt idx="6">
                  <c:v>COLISTINA BASE 3 MILLONES UI EQUIVALENTE A 100MG FA</c:v>
                </c:pt>
                <c:pt idx="7">
                  <c:v>TEMOZOLOMIDA CP 250 MG</c:v>
                </c:pt>
                <c:pt idx="8">
                  <c:v>IMIPENEM FA 500 MG</c:v>
                </c:pt>
                <c:pt idx="9">
                  <c:v>MELFALAN 2 MG</c:v>
                </c:pt>
                <c:pt idx="10">
                  <c:v>GABAPENTINA CM 600 MG</c:v>
                </c:pt>
                <c:pt idx="11">
                  <c:v>FLUDARABINA FA 50 MG</c:v>
                </c:pt>
              </c:strCache>
            </c:strRef>
          </c:cat>
          <c:val>
            <c:numRef>
              <c:f>'Resumen de Mermas 2023-2024'!$J$4:$J$15</c:f>
              <c:numCache>
                <c:formatCode>_-"$"\ * #,##0_-;\-"$"\ * #,##0_-;_-"$"\ * "-"_-;_-@_-</c:formatCode>
                <c:ptCount val="12"/>
                <c:pt idx="0">
                  <c:v>7310380</c:v>
                </c:pt>
                <c:pt idx="1">
                  <c:v>5652780</c:v>
                </c:pt>
                <c:pt idx="2">
                  <c:v>1413720</c:v>
                </c:pt>
                <c:pt idx="3">
                  <c:v>1244145</c:v>
                </c:pt>
                <c:pt idx="4">
                  <c:v>1115140</c:v>
                </c:pt>
                <c:pt idx="5">
                  <c:v>1017450</c:v>
                </c:pt>
                <c:pt idx="6">
                  <c:v>936768</c:v>
                </c:pt>
                <c:pt idx="7">
                  <c:v>892500</c:v>
                </c:pt>
                <c:pt idx="8">
                  <c:v>793980</c:v>
                </c:pt>
                <c:pt idx="9">
                  <c:v>776700</c:v>
                </c:pt>
                <c:pt idx="10">
                  <c:v>708645</c:v>
                </c:pt>
                <c:pt idx="11">
                  <c:v>398815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2-49B1-9516-F67621EB5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7427456"/>
        <c:axId val="1407425056"/>
      </c:barChart>
      <c:catAx>
        <c:axId val="1407427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Medicamentos</a:t>
                </a:r>
              </a:p>
            </c:rich>
          </c:tx>
          <c:layout>
            <c:manualLayout>
              <c:xMode val="edge"/>
              <c:yMode val="edge"/>
              <c:x val="0.4462906824146981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7425056"/>
        <c:crosses val="autoZero"/>
        <c:auto val="1"/>
        <c:lblAlgn val="ctr"/>
        <c:lblOffset val="100"/>
        <c:noMultiLvlLbl val="0"/>
      </c:catAx>
      <c:valAx>
        <c:axId val="140742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Monto Mermado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_-&quot;$&quot;\ * #,##0_-;\-&quot;$&quot;\ * #,##0_-;_-&quot;$&quot;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742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200025</xdr:colOff>
      <xdr:row>0</xdr:row>
      <xdr:rowOff>22225</xdr:rowOff>
    </xdr:from>
    <xdr:to>
      <xdr:col>16</xdr:col>
      <xdr:colOff>149225</xdr:colOff>
      <xdr:row>14</xdr:row>
      <xdr:rowOff>53975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4DCC45-C866-71FC-3D30-235D6B16A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ED70-A711-4461-BBA9-AA639A6E0232}">
  <dimension ref="A1:K33"/>
  <sheetViews>
    <sheetView tabSelected="1" topLeftCell="C1" workbookViewId="0">
      <selection activeCell="F33" sqref="F33"/>
    </sheetView>
  </sheetViews>
  <sheetFormatPr baseColWidth="10" defaultRowHeight="14.5" x14ac:dyDescent="0.35"/>
  <cols>
    <col min="1" max="1" width="21.7265625" hidden="1" customWidth="1"/>
    <col min="2" max="2" width="22.54296875" hidden="1" customWidth="1"/>
    <col min="3" max="3" width="4.81640625" bestFit="1" customWidth="1"/>
    <col min="4" max="4" width="14.1796875" bestFit="1" customWidth="1"/>
    <col min="5" max="6" width="21.26953125" bestFit="1" customWidth="1"/>
    <col min="7" max="7" width="10.81640625" bestFit="1" customWidth="1"/>
    <col min="8" max="8" width="7.26953125" customWidth="1"/>
    <col min="9" max="9" width="48.1796875" customWidth="1"/>
    <col min="10" max="10" width="13" bestFit="1" customWidth="1"/>
    <col min="11" max="11" width="11.6328125" bestFit="1" customWidth="1"/>
  </cols>
  <sheetData>
    <row r="1" spans="1:11" ht="22.5" customHeight="1" x14ac:dyDescent="0.35">
      <c r="A1" s="92" t="s">
        <v>77</v>
      </c>
      <c r="B1" s="92"/>
      <c r="C1" s="92"/>
      <c r="D1" s="92"/>
      <c r="E1" s="92"/>
      <c r="F1" s="92"/>
      <c r="G1" s="92"/>
      <c r="H1" s="92"/>
      <c r="I1" s="92"/>
      <c r="J1" s="92"/>
    </row>
    <row r="2" spans="1:11" ht="22.5" customHeight="1" x14ac:dyDescent="0.35">
      <c r="A2" s="89"/>
      <c r="B2" s="89"/>
      <c r="C2" s="93" t="s">
        <v>75</v>
      </c>
      <c r="D2" s="93"/>
      <c r="E2" s="93"/>
      <c r="F2" s="93"/>
      <c r="G2" s="89"/>
      <c r="H2" s="93" t="s">
        <v>76</v>
      </c>
      <c r="I2" s="93"/>
      <c r="J2" s="93"/>
    </row>
    <row r="3" spans="1:11" ht="27.75" customHeight="1" x14ac:dyDescent="0.35">
      <c r="A3" s="1" t="s">
        <v>0</v>
      </c>
      <c r="B3" s="1" t="s">
        <v>1</v>
      </c>
      <c r="C3" s="9" t="s">
        <v>40</v>
      </c>
      <c r="D3" s="9" t="s">
        <v>41</v>
      </c>
      <c r="E3" s="9" t="s">
        <v>2</v>
      </c>
      <c r="F3" s="9" t="s">
        <v>3</v>
      </c>
      <c r="H3" s="10" t="s">
        <v>39</v>
      </c>
      <c r="I3" s="11" t="s">
        <v>4</v>
      </c>
      <c r="J3" s="11" t="s">
        <v>5</v>
      </c>
    </row>
    <row r="4" spans="1:11" x14ac:dyDescent="0.35">
      <c r="A4" s="2">
        <v>109010</v>
      </c>
      <c r="B4" s="2">
        <v>109103</v>
      </c>
      <c r="C4" s="2">
        <v>2023</v>
      </c>
      <c r="D4" s="2" t="s">
        <v>6</v>
      </c>
      <c r="E4" s="3">
        <v>848817516</v>
      </c>
      <c r="F4" s="4">
        <v>304171</v>
      </c>
      <c r="H4" s="2">
        <v>2023</v>
      </c>
      <c r="I4" s="5" t="s">
        <v>9</v>
      </c>
      <c r="J4" s="6">
        <v>7310380</v>
      </c>
    </row>
    <row r="5" spans="1:11" x14ac:dyDescent="0.35">
      <c r="A5" s="2">
        <v>109010</v>
      </c>
      <c r="B5" s="2">
        <v>109103</v>
      </c>
      <c r="C5" s="2">
        <v>2023</v>
      </c>
      <c r="D5" s="2" t="s">
        <v>8</v>
      </c>
      <c r="E5" s="7">
        <v>496570569</v>
      </c>
      <c r="F5" s="4">
        <v>196416</v>
      </c>
      <c r="H5" s="2">
        <v>2023</v>
      </c>
      <c r="I5" s="5" t="s">
        <v>7</v>
      </c>
      <c r="J5" s="6">
        <v>5652780</v>
      </c>
      <c r="K5" s="8"/>
    </row>
    <row r="6" spans="1:11" ht="16.5" customHeight="1" x14ac:dyDescent="0.35">
      <c r="A6" s="2">
        <v>109010</v>
      </c>
      <c r="B6" s="2">
        <v>109103</v>
      </c>
      <c r="C6" s="2">
        <v>2023</v>
      </c>
      <c r="D6" s="2" t="s">
        <v>10</v>
      </c>
      <c r="E6" s="7">
        <v>333372206</v>
      </c>
      <c r="F6" s="4">
        <v>6527049</v>
      </c>
      <c r="H6" s="2">
        <v>2024</v>
      </c>
      <c r="I6" s="5" t="s">
        <v>31</v>
      </c>
      <c r="J6" s="6">
        <v>1413720</v>
      </c>
    </row>
    <row r="7" spans="1:11" x14ac:dyDescent="0.35">
      <c r="A7" s="2">
        <v>109010</v>
      </c>
      <c r="B7" s="2">
        <v>109103</v>
      </c>
      <c r="C7" s="2">
        <v>2023</v>
      </c>
      <c r="D7" s="2" t="s">
        <v>12</v>
      </c>
      <c r="E7" s="7">
        <v>510412958</v>
      </c>
      <c r="F7" s="4">
        <v>5386307</v>
      </c>
      <c r="H7" s="2">
        <v>2024</v>
      </c>
      <c r="I7" s="5" t="s">
        <v>32</v>
      </c>
      <c r="J7" s="6">
        <v>1244145</v>
      </c>
    </row>
    <row r="8" spans="1:11" x14ac:dyDescent="0.35">
      <c r="A8" s="2">
        <v>109010</v>
      </c>
      <c r="B8" s="2">
        <v>109103</v>
      </c>
      <c r="C8" s="2">
        <v>2023</v>
      </c>
      <c r="D8" s="2" t="s">
        <v>14</v>
      </c>
      <c r="E8" s="7">
        <v>704801070.3299998</v>
      </c>
      <c r="F8" s="4">
        <v>170691</v>
      </c>
      <c r="H8" s="2">
        <v>2023</v>
      </c>
      <c r="I8" s="2" t="s">
        <v>11</v>
      </c>
      <c r="J8" s="6">
        <v>1115140</v>
      </c>
    </row>
    <row r="9" spans="1:11" x14ac:dyDescent="0.35">
      <c r="A9" s="2">
        <v>109010</v>
      </c>
      <c r="B9" s="2">
        <v>109103</v>
      </c>
      <c r="C9" s="2">
        <v>2023</v>
      </c>
      <c r="D9" s="2" t="s">
        <v>16</v>
      </c>
      <c r="E9" s="7">
        <v>566176432.25500011</v>
      </c>
      <c r="F9" s="4">
        <v>129376</v>
      </c>
      <c r="H9" s="2">
        <v>2024</v>
      </c>
      <c r="I9" s="5" t="s">
        <v>33</v>
      </c>
      <c r="J9" s="6">
        <v>1017450</v>
      </c>
    </row>
    <row r="10" spans="1:11" x14ac:dyDescent="0.35">
      <c r="A10" s="2">
        <v>109010</v>
      </c>
      <c r="B10" s="2">
        <v>109103</v>
      </c>
      <c r="C10" s="2">
        <v>2023</v>
      </c>
      <c r="D10" s="2" t="s">
        <v>18</v>
      </c>
      <c r="E10" s="3">
        <v>575977069.36000013</v>
      </c>
      <c r="F10" s="4">
        <v>1513718</v>
      </c>
      <c r="H10" s="2">
        <v>2023</v>
      </c>
      <c r="I10" s="2" t="s">
        <v>13</v>
      </c>
      <c r="J10" s="6">
        <v>936768</v>
      </c>
    </row>
    <row r="11" spans="1:11" x14ac:dyDescent="0.35">
      <c r="A11" s="2">
        <v>109010</v>
      </c>
      <c r="B11" s="2">
        <v>109103</v>
      </c>
      <c r="C11" s="2">
        <v>2023</v>
      </c>
      <c r="D11" s="2" t="s">
        <v>20</v>
      </c>
      <c r="E11" s="7">
        <v>532472416.28000009</v>
      </c>
      <c r="F11" s="4"/>
      <c r="H11" s="2">
        <v>2024</v>
      </c>
      <c r="I11" s="5" t="s">
        <v>34</v>
      </c>
      <c r="J11" s="6">
        <v>892500</v>
      </c>
    </row>
    <row r="12" spans="1:11" ht="16.5" customHeight="1" x14ac:dyDescent="0.35">
      <c r="A12" s="2">
        <v>109010</v>
      </c>
      <c r="B12" s="2">
        <v>109103</v>
      </c>
      <c r="C12" s="2">
        <v>2023</v>
      </c>
      <c r="D12" s="2" t="s">
        <v>22</v>
      </c>
      <c r="E12" s="7">
        <v>716438711.82099998</v>
      </c>
      <c r="F12" s="4">
        <v>2877445</v>
      </c>
      <c r="H12" s="2">
        <v>2024</v>
      </c>
      <c r="I12" s="5" t="s">
        <v>35</v>
      </c>
      <c r="J12" s="6">
        <v>793980</v>
      </c>
    </row>
    <row r="13" spans="1:11" x14ac:dyDescent="0.35">
      <c r="A13" s="2">
        <v>109010</v>
      </c>
      <c r="B13" s="2">
        <v>109103</v>
      </c>
      <c r="C13" s="2">
        <v>2023</v>
      </c>
      <c r="D13" s="2" t="s">
        <v>24</v>
      </c>
      <c r="E13" s="7">
        <v>653352213.70999992</v>
      </c>
      <c r="F13" s="4">
        <v>96781</v>
      </c>
      <c r="H13" s="2">
        <v>2023</v>
      </c>
      <c r="I13" s="5" t="s">
        <v>15</v>
      </c>
      <c r="J13" s="6">
        <v>776700</v>
      </c>
    </row>
    <row r="14" spans="1:11" x14ac:dyDescent="0.35">
      <c r="A14" s="2">
        <v>109010</v>
      </c>
      <c r="B14" s="2">
        <v>109103</v>
      </c>
      <c r="C14" s="2">
        <v>2023</v>
      </c>
      <c r="D14" s="2" t="s">
        <v>26</v>
      </c>
      <c r="E14" s="7">
        <v>724648664.78199983</v>
      </c>
      <c r="F14" s="4">
        <v>660845</v>
      </c>
      <c r="H14" s="2">
        <v>2024</v>
      </c>
      <c r="I14" s="5" t="s">
        <v>36</v>
      </c>
      <c r="J14" s="6">
        <v>708645</v>
      </c>
    </row>
    <row r="15" spans="1:11" x14ac:dyDescent="0.35">
      <c r="A15" s="2">
        <v>109010</v>
      </c>
      <c r="B15" s="2">
        <v>109103</v>
      </c>
      <c r="C15" s="2">
        <v>2023</v>
      </c>
      <c r="D15" s="2" t="s">
        <v>28</v>
      </c>
      <c r="E15" s="7">
        <v>707647331.48899984</v>
      </c>
      <c r="F15" s="4">
        <v>638829</v>
      </c>
      <c r="H15" s="2">
        <v>2023</v>
      </c>
      <c r="I15" s="2" t="s">
        <v>17</v>
      </c>
      <c r="J15" s="6">
        <v>398815</v>
      </c>
    </row>
    <row r="16" spans="1:11" x14ac:dyDescent="0.35">
      <c r="C16" s="2">
        <v>2024</v>
      </c>
      <c r="D16" s="2" t="s">
        <v>30</v>
      </c>
      <c r="E16" s="7">
        <v>567735692.87259996</v>
      </c>
      <c r="F16" s="4">
        <v>884374</v>
      </c>
      <c r="H16" s="2">
        <v>2024</v>
      </c>
      <c r="I16" s="5" t="s">
        <v>37</v>
      </c>
      <c r="J16" s="6">
        <v>277880</v>
      </c>
    </row>
    <row r="17" spans="3:10" x14ac:dyDescent="0.35">
      <c r="C17" s="2">
        <v>2024</v>
      </c>
      <c r="D17" s="2" t="s">
        <v>8</v>
      </c>
      <c r="E17" s="7">
        <v>710974234.95699966</v>
      </c>
      <c r="F17" s="4">
        <v>93243</v>
      </c>
      <c r="H17" s="2">
        <v>2023</v>
      </c>
      <c r="I17" s="2" t="s">
        <v>19</v>
      </c>
      <c r="J17" s="6">
        <v>213486</v>
      </c>
    </row>
    <row r="18" spans="3:10" x14ac:dyDescent="0.35">
      <c r="C18" s="2">
        <v>2024</v>
      </c>
      <c r="D18" s="2" t="s">
        <v>10</v>
      </c>
      <c r="E18" s="7">
        <v>717163966.40699983</v>
      </c>
      <c r="F18" s="4">
        <v>57889</v>
      </c>
      <c r="H18" s="2">
        <v>2023</v>
      </c>
      <c r="I18" s="2" t="s">
        <v>21</v>
      </c>
      <c r="J18" s="6">
        <v>197780</v>
      </c>
    </row>
    <row r="19" spans="3:10" x14ac:dyDescent="0.35">
      <c r="C19" s="2">
        <v>2024</v>
      </c>
      <c r="D19" s="2" t="s">
        <v>12</v>
      </c>
      <c r="E19" s="7">
        <v>479295420.94699991</v>
      </c>
      <c r="F19" s="4">
        <v>760493</v>
      </c>
      <c r="H19" s="2">
        <v>2024</v>
      </c>
      <c r="I19" s="5" t="s">
        <v>38</v>
      </c>
      <c r="J19" s="6">
        <v>192060</v>
      </c>
    </row>
    <row r="20" spans="3:10" x14ac:dyDescent="0.35">
      <c r="C20" s="2">
        <v>2024</v>
      </c>
      <c r="D20" s="2" t="s">
        <v>14</v>
      </c>
      <c r="E20" s="7">
        <v>836242298.15699959</v>
      </c>
      <c r="F20" s="4">
        <v>0</v>
      </c>
      <c r="H20" s="2">
        <v>2023</v>
      </c>
      <c r="I20" s="5" t="s">
        <v>23</v>
      </c>
      <c r="J20" s="6">
        <v>176001</v>
      </c>
    </row>
    <row r="21" spans="3:10" x14ac:dyDescent="0.35">
      <c r="C21" s="2">
        <v>2024</v>
      </c>
      <c r="D21" s="2" t="s">
        <v>16</v>
      </c>
      <c r="E21" s="7">
        <v>707762867.722</v>
      </c>
      <c r="F21" s="4">
        <v>305808</v>
      </c>
      <c r="H21" s="2">
        <v>2023</v>
      </c>
      <c r="I21" s="2" t="s">
        <v>25</v>
      </c>
      <c r="J21" s="6">
        <v>171810</v>
      </c>
    </row>
    <row r="22" spans="3:10" x14ac:dyDescent="0.35">
      <c r="C22" s="2">
        <v>2024</v>
      </c>
      <c r="D22" s="2" t="s">
        <v>18</v>
      </c>
      <c r="E22" s="7">
        <v>706717212.37600017</v>
      </c>
      <c r="F22" s="4">
        <v>0</v>
      </c>
      <c r="H22" s="2">
        <v>2023</v>
      </c>
      <c r="I22" s="5" t="s">
        <v>27</v>
      </c>
      <c r="J22" s="6">
        <v>157080</v>
      </c>
    </row>
    <row r="23" spans="3:10" x14ac:dyDescent="0.35">
      <c r="C23" s="2">
        <v>2024</v>
      </c>
      <c r="D23" s="2" t="s">
        <v>20</v>
      </c>
      <c r="E23" s="7">
        <v>836242298.15699959</v>
      </c>
      <c r="F23" s="4">
        <v>1974334</v>
      </c>
      <c r="H23" s="2">
        <v>2023</v>
      </c>
      <c r="I23" s="5" t="s">
        <v>29</v>
      </c>
      <c r="J23" s="6">
        <v>147810</v>
      </c>
    </row>
    <row r="24" spans="3:10" x14ac:dyDescent="0.35">
      <c r="C24" s="2">
        <v>2024</v>
      </c>
      <c r="D24" s="2" t="s">
        <v>22</v>
      </c>
      <c r="E24" s="7">
        <v>854992537.91699994</v>
      </c>
      <c r="F24" s="4">
        <v>236993</v>
      </c>
      <c r="J24" s="90">
        <f>SUM(J4:J23)</f>
        <v>23794930</v>
      </c>
    </row>
    <row r="25" spans="3:10" x14ac:dyDescent="0.35">
      <c r="C25" s="2">
        <v>2024</v>
      </c>
      <c r="D25" s="2" t="s">
        <v>24</v>
      </c>
      <c r="E25" s="7">
        <v>954051719.94790006</v>
      </c>
      <c r="F25" s="4">
        <v>2360450</v>
      </c>
    </row>
    <row r="26" spans="3:10" x14ac:dyDescent="0.35">
      <c r="C26" s="2">
        <v>2024</v>
      </c>
      <c r="D26" s="2" t="s">
        <v>26</v>
      </c>
      <c r="E26" s="7">
        <v>958666793.64399958</v>
      </c>
      <c r="F26" s="4">
        <v>137513</v>
      </c>
    </row>
    <row r="27" spans="3:10" x14ac:dyDescent="0.35">
      <c r="C27" s="2">
        <v>2024</v>
      </c>
      <c r="D27" s="2" t="s">
        <v>28</v>
      </c>
      <c r="E27" s="7">
        <v>520223387.79250014</v>
      </c>
      <c r="F27" s="4">
        <v>1178970</v>
      </c>
    </row>
    <row r="28" spans="3:10" x14ac:dyDescent="0.35">
      <c r="D28" s="12" t="s">
        <v>42</v>
      </c>
      <c r="E28" s="13">
        <f>SUM(E4:E27)</f>
        <v>16220755589.923998</v>
      </c>
      <c r="F28" s="14">
        <f>SUM(F4:F27)</f>
        <v>26491695</v>
      </c>
    </row>
    <row r="31" spans="3:10" x14ac:dyDescent="0.35">
      <c r="E31" t="s">
        <v>78</v>
      </c>
      <c r="F31" s="91">
        <f>SUM(F4:F15)</f>
        <v>18501628</v>
      </c>
    </row>
    <row r="32" spans="3:10" x14ac:dyDescent="0.35">
      <c r="E32" t="s">
        <v>79</v>
      </c>
      <c r="F32" s="91">
        <f>SUM(F16:F27)</f>
        <v>7990067</v>
      </c>
    </row>
    <row r="33" spans="5:6" x14ac:dyDescent="0.35">
      <c r="E33" t="s">
        <v>80</v>
      </c>
      <c r="F33" s="91">
        <f>AVERAGE(F31:F32)</f>
        <v>13245847.5</v>
      </c>
    </row>
  </sheetData>
  <sheetProtection insertRows="0" deleteRows="0"/>
  <sortState xmlns:xlrd2="http://schemas.microsoft.com/office/spreadsheetml/2017/richdata2" ref="H4:J23">
    <sortCondition descending="1" ref="J4:J23"/>
  </sortState>
  <mergeCells count="3">
    <mergeCell ref="A1:J1"/>
    <mergeCell ref="C2:F2"/>
    <mergeCell ref="H2:J2"/>
  </mergeCells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D985-7C51-46B0-9125-81151C3F2F59}">
  <sheetPr>
    <pageSetUpPr fitToPage="1"/>
  </sheetPr>
  <dimension ref="A1:AG23"/>
  <sheetViews>
    <sheetView topLeftCell="A3" zoomScale="82" zoomScaleNormal="82" workbookViewId="0">
      <selection activeCell="D8" sqref="D8"/>
    </sheetView>
  </sheetViews>
  <sheetFormatPr baseColWidth="10" defaultRowHeight="14.5" x14ac:dyDescent="0.35"/>
  <cols>
    <col min="1" max="1" width="24.90625" style="18" bestFit="1" customWidth="1"/>
    <col min="2" max="2" width="26.7265625" style="18" customWidth="1"/>
    <col min="3" max="3" width="13.453125" style="17" customWidth="1"/>
    <col min="4" max="8" width="13.453125" style="15" customWidth="1"/>
    <col min="9" max="9" width="23.1796875" style="15" customWidth="1"/>
    <col min="10" max="11" width="13.453125" style="15" customWidth="1"/>
    <col min="12" max="12" width="17.26953125" style="15" customWidth="1"/>
    <col min="13" max="13" width="16.1796875" style="16" customWidth="1"/>
    <col min="14" max="14" width="13.7265625" style="15" bestFit="1" customWidth="1"/>
    <col min="15" max="15" width="19.26953125" style="15" customWidth="1"/>
    <col min="16" max="16" width="27.453125" style="15" customWidth="1"/>
    <col min="17" max="17" width="26.54296875" style="15" customWidth="1"/>
    <col min="18" max="33" width="10.90625" style="15"/>
  </cols>
  <sheetData>
    <row r="1" spans="1:33" ht="15" thickBot="1" x14ac:dyDescent="0.4">
      <c r="A1" s="18" t="s">
        <v>74</v>
      </c>
      <c r="N1" s="88" t="s">
        <v>73</v>
      </c>
      <c r="O1" s="88"/>
      <c r="P1" s="88"/>
    </row>
    <row r="2" spans="1:33" ht="31.15" customHeight="1" thickBot="1" x14ac:dyDescent="0.4">
      <c r="A2" s="94" t="s">
        <v>72</v>
      </c>
      <c r="B2" s="95"/>
      <c r="C2" s="95"/>
      <c r="D2" s="95"/>
      <c r="E2" s="95"/>
      <c r="F2" s="95"/>
      <c r="G2" s="96"/>
    </row>
    <row r="3" spans="1:33" x14ac:dyDescent="0.35">
      <c r="A3" s="87" t="s">
        <v>71</v>
      </c>
      <c r="B3" s="86" t="s">
        <v>70</v>
      </c>
    </row>
    <row r="4" spans="1:33" ht="15" thickBot="1" x14ac:dyDescent="0.4">
      <c r="A4" s="85" t="s">
        <v>69</v>
      </c>
      <c r="B4" s="84" t="s">
        <v>68</v>
      </c>
      <c r="G4" s="64"/>
      <c r="H4" s="64"/>
      <c r="I4" s="64"/>
    </row>
    <row r="5" spans="1:33" x14ac:dyDescent="0.35">
      <c r="A5" s="83"/>
      <c r="B5" s="82"/>
      <c r="C5" s="67"/>
      <c r="D5" s="16"/>
      <c r="E5" s="16"/>
      <c r="F5" s="16"/>
      <c r="G5" s="16"/>
      <c r="H5" s="16"/>
      <c r="I5" s="16"/>
      <c r="J5" s="16"/>
      <c r="K5" s="16"/>
      <c r="L5" s="16"/>
      <c r="M5" s="65"/>
      <c r="N5" s="65"/>
      <c r="O5" s="65"/>
      <c r="P5" s="65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ht="15" thickBot="1" x14ac:dyDescent="0.4">
      <c r="A6" s="66" t="s">
        <v>67</v>
      </c>
      <c r="C6" s="64"/>
      <c r="D6" s="64"/>
      <c r="E6" s="64"/>
      <c r="F6" s="64"/>
      <c r="H6" s="64"/>
      <c r="I6" s="64"/>
      <c r="J6" s="64"/>
      <c r="K6" s="64"/>
      <c r="L6" s="64"/>
      <c r="M6" s="65"/>
      <c r="N6" s="64"/>
      <c r="O6" s="64"/>
      <c r="P6" s="64"/>
    </row>
    <row r="7" spans="1:33" x14ac:dyDescent="0.35">
      <c r="A7" s="63" t="s">
        <v>63</v>
      </c>
      <c r="B7" s="62"/>
      <c r="C7" s="61" t="s">
        <v>62</v>
      </c>
      <c r="D7" s="58" t="s">
        <v>61</v>
      </c>
      <c r="E7" s="58" t="s">
        <v>60</v>
      </c>
      <c r="F7" s="58" t="s">
        <v>59</v>
      </c>
      <c r="G7" s="58" t="s">
        <v>58</v>
      </c>
      <c r="H7" s="57" t="s">
        <v>57</v>
      </c>
      <c r="I7" s="81" t="s">
        <v>56</v>
      </c>
      <c r="J7" s="60" t="s">
        <v>55</v>
      </c>
      <c r="K7" s="58" t="s">
        <v>54</v>
      </c>
      <c r="L7" s="58" t="s">
        <v>53</v>
      </c>
      <c r="M7" s="59" t="s">
        <v>52</v>
      </c>
      <c r="N7" s="58" t="s">
        <v>51</v>
      </c>
      <c r="O7" s="57" t="s">
        <v>50</v>
      </c>
      <c r="P7" s="81" t="s">
        <v>49</v>
      </c>
      <c r="Q7" s="81" t="s">
        <v>66</v>
      </c>
    </row>
    <row r="8" spans="1:33" ht="27.65" customHeight="1" x14ac:dyDescent="0.35">
      <c r="A8" s="97" t="s">
        <v>47</v>
      </c>
      <c r="B8" s="98"/>
      <c r="C8" s="45">
        <v>304171</v>
      </c>
      <c r="D8" s="41">
        <v>196416</v>
      </c>
      <c r="E8" s="48">
        <v>6527049</v>
      </c>
      <c r="F8" s="80">
        <v>5386307</v>
      </c>
      <c r="G8" s="41">
        <v>170691</v>
      </c>
      <c r="H8" s="41">
        <v>129376</v>
      </c>
      <c r="I8" s="73">
        <f>SUM(C8:H8)</f>
        <v>12714010</v>
      </c>
      <c r="J8" s="52">
        <v>1513718</v>
      </c>
      <c r="K8" s="41">
        <v>0</v>
      </c>
      <c r="L8" s="41">
        <v>2877445</v>
      </c>
      <c r="M8" s="4">
        <v>96781</v>
      </c>
      <c r="N8" s="4">
        <v>660845</v>
      </c>
      <c r="O8" s="4">
        <v>638829</v>
      </c>
      <c r="P8" s="73">
        <f>SUM(J8:O8)</f>
        <v>5787618</v>
      </c>
      <c r="Q8" s="73">
        <f>I8+P8</f>
        <v>18501628</v>
      </c>
    </row>
    <row r="9" spans="1:33" ht="28.15" customHeight="1" x14ac:dyDescent="0.35">
      <c r="A9" s="51"/>
      <c r="B9" s="50"/>
      <c r="C9" s="79"/>
      <c r="D9" s="48"/>
      <c r="E9" s="48"/>
      <c r="F9" s="48"/>
      <c r="G9" s="48"/>
      <c r="H9" s="47"/>
      <c r="I9" s="78"/>
      <c r="J9" s="49"/>
      <c r="K9" s="48"/>
      <c r="L9" s="48"/>
      <c r="M9" s="48"/>
      <c r="N9" s="48"/>
      <c r="O9" s="47"/>
      <c r="P9" s="78"/>
      <c r="Q9" s="78"/>
    </row>
    <row r="10" spans="1:33" s="37" customFormat="1" ht="30.75" customHeight="1" x14ac:dyDescent="0.35">
      <c r="A10" s="99" t="s">
        <v>46</v>
      </c>
      <c r="B10" s="100"/>
      <c r="C10" s="77">
        <v>848817516.36500025</v>
      </c>
      <c r="D10" s="76">
        <v>496570568.54999995</v>
      </c>
      <c r="E10" s="75">
        <v>333372206.08999985</v>
      </c>
      <c r="F10" s="75">
        <v>510412958.4749999</v>
      </c>
      <c r="G10" s="75">
        <v>704801070.3299998</v>
      </c>
      <c r="H10" s="74">
        <v>566176432.25500011</v>
      </c>
      <c r="I10" s="72">
        <f>SUM(C10:H10)</f>
        <v>3460150752.0650001</v>
      </c>
      <c r="J10" s="42">
        <v>575977069.36000013</v>
      </c>
      <c r="K10" s="41">
        <v>532472416.28000009</v>
      </c>
      <c r="L10" s="41">
        <v>716438711.82099998</v>
      </c>
      <c r="M10" s="41">
        <v>653352213.70999992</v>
      </c>
      <c r="N10" s="41">
        <v>724648664.78199983</v>
      </c>
      <c r="O10" s="40">
        <v>707647331.48899984</v>
      </c>
      <c r="P10" s="73">
        <f>SUM(J10:O10)</f>
        <v>3910536407.4419999</v>
      </c>
      <c r="Q10" s="72">
        <f>I10+P10</f>
        <v>7370687159.507</v>
      </c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</row>
    <row r="11" spans="1:33" s="20" customFormat="1" ht="15" thickBot="1" x14ac:dyDescent="0.4">
      <c r="A11" s="36" t="s">
        <v>45</v>
      </c>
      <c r="B11" s="35"/>
      <c r="C11" s="34">
        <f t="shared" ref="C11:H11" si="0">100-((C8)/C10)*100</f>
        <v>99.964165324803545</v>
      </c>
      <c r="D11" s="32">
        <f t="shared" si="0"/>
        <v>99.960445501115075</v>
      </c>
      <c r="E11" s="32">
        <f t="shared" si="0"/>
        <v>98.042113625321875</v>
      </c>
      <c r="F11" s="32">
        <f t="shared" si="0"/>
        <v>98.944715859861176</v>
      </c>
      <c r="G11" s="32">
        <f t="shared" si="0"/>
        <v>99.975781676960267</v>
      </c>
      <c r="H11" s="31">
        <f t="shared" si="0"/>
        <v>99.977149172478846</v>
      </c>
      <c r="I11" s="71"/>
      <c r="J11" s="33">
        <f t="shared" ref="J11:O11" si="1">100-((J8)/J10)*100</f>
        <v>99.737191273659221</v>
      </c>
      <c r="K11" s="32">
        <f t="shared" si="1"/>
        <v>100</v>
      </c>
      <c r="L11" s="32">
        <f t="shared" si="1"/>
        <v>99.598368296893639</v>
      </c>
      <c r="M11" s="32">
        <f t="shared" si="1"/>
        <v>99.98518700970638</v>
      </c>
      <c r="N11" s="32">
        <f t="shared" si="1"/>
        <v>99.908804772282465</v>
      </c>
      <c r="O11" s="31">
        <f t="shared" si="1"/>
        <v>99.90972494750234</v>
      </c>
      <c r="P11" s="71"/>
      <c r="Q11" s="70"/>
    </row>
    <row r="12" spans="1:33" s="20" customFormat="1" ht="15" thickBot="1" x14ac:dyDescent="0.4">
      <c r="A12" s="28" t="s">
        <v>44</v>
      </c>
      <c r="B12" s="27"/>
      <c r="C12" s="26">
        <f t="shared" ref="C12:H12" si="2">100-C11</f>
        <v>3.5834675196454668E-2</v>
      </c>
      <c r="D12" s="24">
        <f t="shared" si="2"/>
        <v>3.9554498884925238E-2</v>
      </c>
      <c r="E12" s="24">
        <f t="shared" si="2"/>
        <v>1.9578863746781252</v>
      </c>
      <c r="F12" s="24">
        <f t="shared" si="2"/>
        <v>1.0552841401388235</v>
      </c>
      <c r="G12" s="24">
        <f t="shared" si="2"/>
        <v>2.4218323039733036E-2</v>
      </c>
      <c r="H12" s="23">
        <f t="shared" si="2"/>
        <v>2.285082752115386E-2</v>
      </c>
      <c r="I12" s="69">
        <f>I8*100/I10</f>
        <v>0.36744092702933084</v>
      </c>
      <c r="J12" s="25">
        <f t="shared" ref="J12:O12" si="3">100-J11</f>
        <v>0.26280872634077923</v>
      </c>
      <c r="K12" s="24">
        <f t="shared" si="3"/>
        <v>0</v>
      </c>
      <c r="L12" s="24">
        <f t="shared" si="3"/>
        <v>0.40163170310636076</v>
      </c>
      <c r="M12" s="24">
        <f t="shared" si="3"/>
        <v>1.4812990293620487E-2</v>
      </c>
      <c r="N12" s="24">
        <f t="shared" si="3"/>
        <v>9.1195227717534522E-2</v>
      </c>
      <c r="O12" s="23">
        <f t="shared" si="3"/>
        <v>9.0275052497659658E-2</v>
      </c>
      <c r="P12" s="69">
        <f>P8*100/P10</f>
        <v>0.14800061671810022</v>
      </c>
      <c r="Q12" s="68">
        <f>Q8*100/Q10</f>
        <v>0.25101632452458489</v>
      </c>
    </row>
    <row r="13" spans="1:33" x14ac:dyDescent="0.35">
      <c r="A13" s="19"/>
      <c r="B13" s="19"/>
    </row>
    <row r="14" spans="1:33" ht="21" x14ac:dyDescent="0.5">
      <c r="A14" s="102" t="s">
        <v>65</v>
      </c>
      <c r="B14" s="102"/>
      <c r="C14" s="67"/>
      <c r="D14" s="16"/>
      <c r="E14" s="16"/>
      <c r="F14" s="16"/>
      <c r="G14" s="16"/>
      <c r="H14" s="16"/>
      <c r="I14" s="16"/>
      <c r="J14" s="16"/>
      <c r="K14" s="16"/>
      <c r="L14" s="16"/>
      <c r="M14" s="65"/>
      <c r="N14" s="65"/>
      <c r="O14" s="65"/>
      <c r="P14" s="65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1:33" ht="15" thickBot="1" x14ac:dyDescent="0.4">
      <c r="A15" s="66" t="s">
        <v>64</v>
      </c>
      <c r="C15" s="64"/>
      <c r="D15" s="64"/>
      <c r="E15" s="64"/>
      <c r="F15" s="64"/>
      <c r="H15" s="64"/>
      <c r="I15" s="64"/>
      <c r="J15" s="64"/>
      <c r="K15" s="64"/>
      <c r="L15" s="64"/>
      <c r="M15" s="65"/>
      <c r="N15" s="64"/>
      <c r="O15" s="64"/>
      <c r="P15" s="64"/>
    </row>
    <row r="16" spans="1:33" x14ac:dyDescent="0.35">
      <c r="A16" s="63" t="s">
        <v>63</v>
      </c>
      <c r="B16" s="62"/>
      <c r="C16" s="61" t="s">
        <v>62</v>
      </c>
      <c r="D16" s="58" t="s">
        <v>61</v>
      </c>
      <c r="E16" s="58" t="s">
        <v>60</v>
      </c>
      <c r="F16" s="58" t="s">
        <v>59</v>
      </c>
      <c r="G16" s="58" t="s">
        <v>58</v>
      </c>
      <c r="H16" s="57" t="s">
        <v>57</v>
      </c>
      <c r="I16" s="56" t="s">
        <v>56</v>
      </c>
      <c r="J16" s="60" t="s">
        <v>55</v>
      </c>
      <c r="K16" s="58" t="s">
        <v>54</v>
      </c>
      <c r="L16" s="58" t="s">
        <v>53</v>
      </c>
      <c r="M16" s="59" t="s">
        <v>52</v>
      </c>
      <c r="N16" s="58" t="s">
        <v>51</v>
      </c>
      <c r="O16" s="57" t="s">
        <v>50</v>
      </c>
      <c r="P16" s="56" t="s">
        <v>49</v>
      </c>
      <c r="Q16" s="56" t="s">
        <v>48</v>
      </c>
    </row>
    <row r="17" spans="1:33" ht="19.5" customHeight="1" x14ac:dyDescent="0.35">
      <c r="A17" s="97" t="s">
        <v>47</v>
      </c>
      <c r="B17" s="98"/>
      <c r="C17" s="55">
        <v>884374</v>
      </c>
      <c r="D17" s="54">
        <v>93243</v>
      </c>
      <c r="E17" s="44">
        <v>57889</v>
      </c>
      <c r="F17" s="53">
        <v>760493</v>
      </c>
      <c r="G17" s="41">
        <v>0</v>
      </c>
      <c r="H17" s="41">
        <v>305808</v>
      </c>
      <c r="I17" s="39">
        <f>SUM(C17:H17)</f>
        <v>2101807</v>
      </c>
      <c r="J17" s="52">
        <v>0</v>
      </c>
      <c r="K17" s="41">
        <v>1974334</v>
      </c>
      <c r="L17" s="41">
        <v>236993</v>
      </c>
      <c r="M17" s="4">
        <v>2360450</v>
      </c>
      <c r="N17" s="4">
        <v>137513</v>
      </c>
      <c r="O17" s="4">
        <v>1178970</v>
      </c>
      <c r="P17" s="39">
        <f>SUM(J17:O17)</f>
        <v>5888260</v>
      </c>
      <c r="Q17" s="39">
        <f>I17+P17</f>
        <v>7990067</v>
      </c>
    </row>
    <row r="18" spans="1:33" x14ac:dyDescent="0.35">
      <c r="A18" s="51"/>
      <c r="B18" s="50"/>
      <c r="C18" s="45"/>
      <c r="D18" s="41"/>
      <c r="E18" s="41"/>
      <c r="F18" s="48"/>
      <c r="G18" s="48"/>
      <c r="H18" s="47"/>
      <c r="I18" s="46"/>
      <c r="J18" s="49"/>
      <c r="K18" s="48"/>
      <c r="L18" s="48"/>
      <c r="M18" s="48"/>
      <c r="N18" s="48"/>
      <c r="O18" s="47"/>
      <c r="P18" s="46"/>
      <c r="Q18" s="46"/>
    </row>
    <row r="19" spans="1:33" s="37" customFormat="1" ht="24.75" customHeight="1" x14ac:dyDescent="0.35">
      <c r="A19" s="99" t="s">
        <v>46</v>
      </c>
      <c r="B19" s="100"/>
      <c r="C19" s="45">
        <v>567735692.87259996</v>
      </c>
      <c r="D19" s="41">
        <v>710974234.95699966</v>
      </c>
      <c r="E19" s="41">
        <v>717163966.40699983</v>
      </c>
      <c r="F19" s="41">
        <v>479295420.94699991</v>
      </c>
      <c r="G19" s="44">
        <v>836242298.15699959</v>
      </c>
      <c r="H19" s="43">
        <v>707762867.722</v>
      </c>
      <c r="I19" s="39">
        <f>SUM(C19:H19)</f>
        <v>4019174481.0625992</v>
      </c>
      <c r="J19" s="42">
        <v>706717212.37600017</v>
      </c>
      <c r="K19" s="41">
        <v>836242298.15699959</v>
      </c>
      <c r="L19" s="41">
        <v>854992537.91699994</v>
      </c>
      <c r="M19" s="41">
        <v>954051719.94790006</v>
      </c>
      <c r="N19" s="41">
        <v>958666793.64399958</v>
      </c>
      <c r="O19" s="40">
        <v>520223387.79250014</v>
      </c>
      <c r="P19" s="39">
        <f>SUM(J19:O19)</f>
        <v>4830893949.8343992</v>
      </c>
      <c r="Q19" s="39">
        <f>I19+P19</f>
        <v>8850068430.8969994</v>
      </c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</row>
    <row r="20" spans="1:33" s="20" customFormat="1" ht="15" thickBot="1" x14ac:dyDescent="0.4">
      <c r="A20" s="36" t="s">
        <v>45</v>
      </c>
      <c r="B20" s="35"/>
      <c r="C20" s="34">
        <f t="shared" ref="C20:H20" si="4">100-((C17)/C19)*100</f>
        <v>99.844227866751638</v>
      </c>
      <c r="D20" s="32">
        <f t="shared" si="4"/>
        <v>99.986885178756779</v>
      </c>
      <c r="E20" s="32">
        <f t="shared" si="4"/>
        <v>99.991928066284473</v>
      </c>
      <c r="F20" s="32">
        <f t="shared" si="4"/>
        <v>99.841331052465009</v>
      </c>
      <c r="G20" s="32">
        <f t="shared" si="4"/>
        <v>100</v>
      </c>
      <c r="H20" s="31">
        <f t="shared" si="4"/>
        <v>99.956792307996565</v>
      </c>
      <c r="I20" s="30"/>
      <c r="J20" s="33">
        <f t="shared" ref="J20:O20" si="5">100-((J17)/J19)*100</f>
        <v>100</v>
      </c>
      <c r="K20" s="32">
        <f t="shared" si="5"/>
        <v>99.763904073693567</v>
      </c>
      <c r="L20" s="32">
        <f t="shared" si="5"/>
        <v>99.972281278550412</v>
      </c>
      <c r="M20" s="32">
        <f t="shared" si="5"/>
        <v>99.752586788467937</v>
      </c>
      <c r="N20" s="32">
        <f t="shared" si="5"/>
        <v>99.985655808575856</v>
      </c>
      <c r="O20" s="31">
        <f t="shared" si="5"/>
        <v>99.773372357401541</v>
      </c>
      <c r="P20" s="30"/>
      <c r="Q20" s="29"/>
    </row>
    <row r="21" spans="1:33" s="20" customFormat="1" ht="15" thickBot="1" x14ac:dyDescent="0.4">
      <c r="A21" s="28" t="s">
        <v>44</v>
      </c>
      <c r="B21" s="27"/>
      <c r="C21" s="26">
        <f t="shared" ref="C21:H21" si="6">100-C20</f>
        <v>0.15577213324836237</v>
      </c>
      <c r="D21" s="24">
        <f t="shared" si="6"/>
        <v>1.3114821243220831E-2</v>
      </c>
      <c r="E21" s="24">
        <f t="shared" si="6"/>
        <v>8.0719337155272797E-3</v>
      </c>
      <c r="F21" s="24">
        <f t="shared" si="6"/>
        <v>0.15866894753499139</v>
      </c>
      <c r="G21" s="24">
        <f t="shared" si="6"/>
        <v>0</v>
      </c>
      <c r="H21" s="23">
        <f t="shared" si="6"/>
        <v>4.3207692003434772E-2</v>
      </c>
      <c r="I21" s="22">
        <f>I17*100/I19</f>
        <v>5.229449504875238E-2</v>
      </c>
      <c r="J21" s="25">
        <f t="shared" ref="J21:O21" si="7">100-J20</f>
        <v>0</v>
      </c>
      <c r="K21" s="24">
        <f t="shared" si="7"/>
        <v>0.23609592630643306</v>
      </c>
      <c r="L21" s="24">
        <f t="shared" si="7"/>
        <v>2.7718721449588202E-2</v>
      </c>
      <c r="M21" s="24">
        <f t="shared" si="7"/>
        <v>0.24741321153206286</v>
      </c>
      <c r="N21" s="24">
        <f t="shared" si="7"/>
        <v>1.434419142414356E-2</v>
      </c>
      <c r="O21" s="23">
        <f t="shared" si="7"/>
        <v>0.22662764259845858</v>
      </c>
      <c r="P21" s="22">
        <f>P17*100/P19</f>
        <v>0.12188758563416294</v>
      </c>
      <c r="Q21" s="21">
        <f>Q17*100/Q19</f>
        <v>9.0282544845703139E-2</v>
      </c>
    </row>
    <row r="22" spans="1:33" x14ac:dyDescent="0.35">
      <c r="A22" s="19"/>
      <c r="B22" s="19"/>
    </row>
    <row r="23" spans="1:33" ht="30" customHeight="1" x14ac:dyDescent="0.35">
      <c r="A23" s="101" t="s">
        <v>43</v>
      </c>
      <c r="B23" s="101"/>
    </row>
  </sheetData>
  <mergeCells count="7">
    <mergeCell ref="A2:G2"/>
    <mergeCell ref="A8:B8"/>
    <mergeCell ref="A10:B10"/>
    <mergeCell ref="A23:B23"/>
    <mergeCell ref="A14:B14"/>
    <mergeCell ref="A17:B17"/>
    <mergeCell ref="A19:B19"/>
  </mergeCells>
  <pageMargins left="0.7" right="0.7" top="0.75" bottom="0.75" header="0.3" footer="0.3"/>
  <pageSetup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de Mermas 2023-2024</vt:lpstr>
      <vt:lpstr>Ingreso Merma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Castro</dc:creator>
  <cp:lastModifiedBy>Evelyn Castro</cp:lastModifiedBy>
  <dcterms:created xsi:type="dcterms:W3CDTF">2025-09-28T16:04:44Z</dcterms:created>
  <dcterms:modified xsi:type="dcterms:W3CDTF">2025-10-04T01:08:37Z</dcterms:modified>
</cp:coreProperties>
</file>