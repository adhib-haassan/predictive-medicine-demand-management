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9" documentId="8_{6F7DEC71-2D98-4529-B56C-6CAACB6EE1CA}" xr6:coauthVersionLast="47" xr6:coauthVersionMax="47" xr10:uidLastSave="{4A10F478-D883-4DCF-8BDD-A0D540D246B7}"/>
  <bookViews>
    <workbookView xWindow="-110" yWindow="-110" windowWidth="19420" windowHeight="10300" xr2:uid="{D750B227-587E-45E8-BB0D-73AD9A39BD5D}"/>
  </bookViews>
  <sheets>
    <sheet name="Hoja1" sheetId="1" r:id="rId1"/>
  </sheets>
  <definedNames>
    <definedName name="_xlnm._FilterDatabase" localSheetId="0" hidden="1">Hoja1!$A$2:$H$2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G38" i="1"/>
</calcChain>
</file>

<file path=xl/sharedStrings.xml><?xml version="1.0" encoding="utf-8"?>
<sst xmlns="http://schemas.openxmlformats.org/spreadsheetml/2006/main" count="114" uniqueCount="75">
  <si>
    <t>N°</t>
  </si>
  <si>
    <t>PROFESIONALES QUE FORMAN PARTE DEL PROCESO DE LICITACIÓN</t>
  </si>
  <si>
    <t>RENTA BRUTA</t>
  </si>
  <si>
    <t>VALOR HORA</t>
  </si>
  <si>
    <t>HORAS DESTINADAS A LICITACIÓN</t>
  </si>
  <si>
    <t>1.0</t>
  </si>
  <si>
    <t>Levantamiento de especificaciones técnicas del producto o servicio...</t>
  </si>
  <si>
    <t>Referente Técnico (Profesional)</t>
  </si>
  <si>
    <t>2.0</t>
  </si>
  <si>
    <t>Presentación de requerimiento a Subdirección Administrativa...</t>
  </si>
  <si>
    <t>SDA</t>
  </si>
  <si>
    <t>3.0</t>
  </si>
  <si>
    <t>Evaluación de factibilidad presupuestaria.</t>
  </si>
  <si>
    <t>4.0</t>
  </si>
  <si>
    <t>Envío de autorización a Abastecimiento.</t>
  </si>
  <si>
    <t>5.1</t>
  </si>
  <si>
    <t>Construcción conjunta del proceso de compra (Bases o Términos de Referencia)...</t>
  </si>
  <si>
    <t>Referente Técnico - Jefe Abastecimiento - Abogado</t>
  </si>
  <si>
    <t>5.2</t>
  </si>
  <si>
    <t>Construcción conjunta del proceso de compra...</t>
  </si>
  <si>
    <t>5.3</t>
  </si>
  <si>
    <t>5.4</t>
  </si>
  <si>
    <t>6.1</t>
  </si>
  <si>
    <t>Revisión y visación del proceso de compra.</t>
  </si>
  <si>
    <t>Referente Técnico - Jefe Abastecimiento - Abogado - SDA - Dirección</t>
  </si>
  <si>
    <t>6.2</t>
  </si>
  <si>
    <t>6.3</t>
  </si>
  <si>
    <t>6.4</t>
  </si>
  <si>
    <t>6.5</t>
  </si>
  <si>
    <t>7.0</t>
  </si>
  <si>
    <t>Formalización y difusión en Oficina de Partes.</t>
  </si>
  <si>
    <t>Administrativo</t>
  </si>
  <si>
    <t>8.0</t>
  </si>
  <si>
    <t>Publicación del proceso en MercadoPublico.cl.</t>
  </si>
  <si>
    <t>Profesional Abastecimiento</t>
  </si>
  <si>
    <t>9.0</t>
  </si>
  <si>
    <t>Asignación de Certificado de Disponibilidad Presupuestaria...</t>
  </si>
  <si>
    <t>Jefe Abastecimiento</t>
  </si>
  <si>
    <t>10.0</t>
  </si>
  <si>
    <t>Autorización del proceso en MercadoPublico.cl.</t>
  </si>
  <si>
    <t>11.1</t>
  </si>
  <si>
    <t>Formulación de respuestas y aclaraciones.</t>
  </si>
  <si>
    <t>Referente Técnico - Profesional Abastecimiento</t>
  </si>
  <si>
    <t>11.2</t>
  </si>
  <si>
    <t>12.1</t>
  </si>
  <si>
    <t>Evaluación y adjudicación de ofertas (informe de análisis).</t>
  </si>
  <si>
    <t>12.2</t>
  </si>
  <si>
    <t>12.3</t>
  </si>
  <si>
    <t>12.4</t>
  </si>
  <si>
    <t>12.5</t>
  </si>
  <si>
    <t>13.1</t>
  </si>
  <si>
    <t>Construcción de resolución de adjudicación.</t>
  </si>
  <si>
    <t>Referente Técnico - Profesional Abastecimiento - Abogado</t>
  </si>
  <si>
    <t>13.2</t>
  </si>
  <si>
    <t>14.0</t>
  </si>
  <si>
    <t>Revisión y visación de la adjudicación.</t>
  </si>
  <si>
    <t>14.1</t>
  </si>
  <si>
    <t>14.2</t>
  </si>
  <si>
    <t>14.3</t>
  </si>
  <si>
    <t>15.0</t>
  </si>
  <si>
    <t>Publicación de la adjudicación.</t>
  </si>
  <si>
    <t>16.0</t>
  </si>
  <si>
    <t>Elaboración de contrato.</t>
  </si>
  <si>
    <t>Abogado</t>
  </si>
  <si>
    <t>17.0</t>
  </si>
  <si>
    <t>Formalización de contrato.</t>
  </si>
  <si>
    <t>Abogado - SDA - Dirección</t>
  </si>
  <si>
    <t>18.0</t>
  </si>
  <si>
    <t>Elaboración de resolución aprueba contrato.</t>
  </si>
  <si>
    <t>19.0</t>
  </si>
  <si>
    <t>Formalización de la resolución aprueba contrato y difusión en Oficina de Partes.</t>
  </si>
  <si>
    <t>Valorizado Licitación</t>
  </si>
  <si>
    <t>COSTO TOTAL DEL PROCESO</t>
  </si>
  <si>
    <t xml:space="preserve">ACTIVIDADES GENERACIÓN PROCESO DE COMPRA </t>
  </si>
  <si>
    <t>Valor hora 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</si>
</sst>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2" fontId="3" fillId="0" borderId="4" xfId="1" applyFont="1" applyBorder="1" applyAlignment="1">
      <alignment vertical="center" wrapText="1"/>
    </xf>
    <xf numFmtId="42" fontId="0" fillId="0" borderId="0" xfId="0" applyNumberFormat="1"/>
    <xf numFmtId="42" fontId="2" fillId="0" borderId="1" xfId="1" applyFont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DFAA-F87C-4781-BB7B-FCB04C1B4757}">
  <dimension ref="A1:H39"/>
  <sheetViews>
    <sheetView tabSelected="1" topLeftCell="A31" workbookViewId="0">
      <selection activeCell="G42" sqref="G42"/>
    </sheetView>
  </sheetViews>
  <sheetFormatPr baseColWidth="10" defaultRowHeight="14.5" x14ac:dyDescent="0.35"/>
  <cols>
    <col min="1" max="1" width="3.1796875" bestFit="1" customWidth="1"/>
    <col min="2" max="2" width="38.1796875" customWidth="1"/>
    <col min="3" max="3" width="38.08984375" customWidth="1"/>
    <col min="4" max="4" width="9.36328125" hidden="1" customWidth="1"/>
    <col min="5" max="5" width="7.6328125" hidden="1" customWidth="1"/>
    <col min="6" max="6" width="9.81640625" bestFit="1" customWidth="1"/>
    <col min="7" max="7" width="10.6328125" bestFit="1" customWidth="1"/>
  </cols>
  <sheetData>
    <row r="1" spans="1:8" ht="15" thickBot="1" x14ac:dyDescent="0.4"/>
    <row r="2" spans="1:8" ht="32" thickBot="1" x14ac:dyDescent="0.4">
      <c r="A2" s="8" t="s">
        <v>0</v>
      </c>
      <c r="B2" s="9" t="s">
        <v>73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71</v>
      </c>
    </row>
    <row r="3" spans="1:8" ht="21.5" thickBot="1" x14ac:dyDescent="0.4">
      <c r="A3" s="1" t="s">
        <v>5</v>
      </c>
      <c r="B3" s="2" t="s">
        <v>6</v>
      </c>
      <c r="C3" s="2" t="s">
        <v>7</v>
      </c>
      <c r="D3" s="3">
        <v>2575012</v>
      </c>
      <c r="E3" s="3">
        <v>14631</v>
      </c>
      <c r="F3" s="2">
        <v>18</v>
      </c>
      <c r="G3" s="3">
        <v>263354</v>
      </c>
      <c r="H3" s="4"/>
    </row>
    <row r="4" spans="1:8" ht="15" thickBot="1" x14ac:dyDescent="0.4">
      <c r="A4" s="1" t="s">
        <v>8</v>
      </c>
      <c r="B4" s="2" t="s">
        <v>9</v>
      </c>
      <c r="C4" s="2" t="s">
        <v>10</v>
      </c>
      <c r="D4" s="3">
        <v>3833436</v>
      </c>
      <c r="E4" s="3">
        <v>21781</v>
      </c>
      <c r="F4" s="2">
        <v>3</v>
      </c>
      <c r="G4" s="3">
        <v>65343</v>
      </c>
    </row>
    <row r="5" spans="1:8" ht="15" thickBot="1" x14ac:dyDescent="0.4">
      <c r="A5" s="1" t="s">
        <v>11</v>
      </c>
      <c r="B5" s="2" t="s">
        <v>12</v>
      </c>
      <c r="C5" s="2" t="s">
        <v>10</v>
      </c>
      <c r="D5" s="3">
        <v>3833436</v>
      </c>
      <c r="E5" s="3">
        <v>21781</v>
      </c>
      <c r="F5" s="2">
        <v>3</v>
      </c>
      <c r="G5" s="3">
        <v>65343</v>
      </c>
    </row>
    <row r="6" spans="1:8" ht="15" thickBot="1" x14ac:dyDescent="0.4">
      <c r="A6" s="1" t="s">
        <v>13</v>
      </c>
      <c r="B6" s="2" t="s">
        <v>14</v>
      </c>
      <c r="C6" s="2" t="s">
        <v>10</v>
      </c>
      <c r="D6" s="3">
        <v>3833436</v>
      </c>
      <c r="E6" s="3">
        <v>21781</v>
      </c>
      <c r="F6" s="2">
        <v>3</v>
      </c>
      <c r="G6" s="3">
        <v>65343</v>
      </c>
    </row>
    <row r="7" spans="1:8" ht="21.5" thickBot="1" x14ac:dyDescent="0.4">
      <c r="A7" s="1" t="s">
        <v>15</v>
      </c>
      <c r="B7" s="2" t="s">
        <v>16</v>
      </c>
      <c r="C7" s="2" t="s">
        <v>17</v>
      </c>
      <c r="D7" s="3">
        <v>7650729</v>
      </c>
      <c r="E7" s="3">
        <v>43470</v>
      </c>
      <c r="F7" s="2">
        <v>12</v>
      </c>
      <c r="G7" s="3">
        <v>521641</v>
      </c>
    </row>
    <row r="8" spans="1:8" ht="15" thickBot="1" x14ac:dyDescent="0.4">
      <c r="A8" s="1" t="s">
        <v>18</v>
      </c>
      <c r="B8" s="2" t="s">
        <v>19</v>
      </c>
      <c r="C8" s="2" t="s">
        <v>17</v>
      </c>
      <c r="D8" s="3">
        <v>2575012</v>
      </c>
      <c r="E8" s="3">
        <v>14631</v>
      </c>
      <c r="F8" s="2">
        <v>12</v>
      </c>
      <c r="G8" s="3">
        <v>175569</v>
      </c>
    </row>
    <row r="9" spans="1:8" ht="15" thickBot="1" x14ac:dyDescent="0.4">
      <c r="A9" s="1" t="s">
        <v>20</v>
      </c>
      <c r="B9" s="2" t="s">
        <v>19</v>
      </c>
      <c r="C9" s="2" t="s">
        <v>17</v>
      </c>
      <c r="D9" s="3">
        <v>3020842</v>
      </c>
      <c r="E9" s="3">
        <v>17164</v>
      </c>
      <c r="F9" s="2">
        <v>12</v>
      </c>
      <c r="G9" s="3">
        <v>205967</v>
      </c>
    </row>
    <row r="10" spans="1:8" ht="15" thickBot="1" x14ac:dyDescent="0.4">
      <c r="A10" s="1" t="s">
        <v>21</v>
      </c>
      <c r="B10" s="2" t="s">
        <v>19</v>
      </c>
      <c r="C10" s="2" t="s">
        <v>17</v>
      </c>
      <c r="D10" s="3">
        <v>2552146</v>
      </c>
      <c r="E10" s="3">
        <v>14501</v>
      </c>
      <c r="F10" s="2">
        <v>12</v>
      </c>
      <c r="G10" s="3">
        <v>174010</v>
      </c>
    </row>
    <row r="11" spans="1:8" ht="21.5" thickBot="1" x14ac:dyDescent="0.4">
      <c r="A11" s="1" t="s">
        <v>22</v>
      </c>
      <c r="B11" s="2" t="s">
        <v>23</v>
      </c>
      <c r="C11" s="2" t="s">
        <v>24</v>
      </c>
      <c r="D11" s="3">
        <v>2575012</v>
      </c>
      <c r="E11" s="3">
        <v>14631</v>
      </c>
      <c r="F11" s="2">
        <v>8</v>
      </c>
      <c r="G11" s="3">
        <v>117046</v>
      </c>
    </row>
    <row r="12" spans="1:8" ht="21.5" thickBot="1" x14ac:dyDescent="0.4">
      <c r="A12" s="1" t="s">
        <v>25</v>
      </c>
      <c r="B12" s="2" t="s">
        <v>23</v>
      </c>
      <c r="C12" s="2" t="s">
        <v>24</v>
      </c>
      <c r="D12" s="3">
        <v>3020842</v>
      </c>
      <c r="E12" s="3">
        <v>17164</v>
      </c>
      <c r="F12" s="2">
        <v>8</v>
      </c>
      <c r="G12" s="3">
        <v>137311</v>
      </c>
    </row>
    <row r="13" spans="1:8" ht="21.5" thickBot="1" x14ac:dyDescent="0.4">
      <c r="A13" s="1" t="s">
        <v>26</v>
      </c>
      <c r="B13" s="2" t="s">
        <v>23</v>
      </c>
      <c r="C13" s="2" t="s">
        <v>24</v>
      </c>
      <c r="D13" s="3">
        <v>2552146</v>
      </c>
      <c r="E13" s="3">
        <v>14501</v>
      </c>
      <c r="F13" s="2">
        <v>8</v>
      </c>
      <c r="G13" s="3">
        <v>116007</v>
      </c>
    </row>
    <row r="14" spans="1:8" ht="21.5" thickBot="1" x14ac:dyDescent="0.4">
      <c r="A14" s="1" t="s">
        <v>27</v>
      </c>
      <c r="B14" s="2" t="s">
        <v>23</v>
      </c>
      <c r="C14" s="2" t="s">
        <v>24</v>
      </c>
      <c r="D14" s="3">
        <v>3833436</v>
      </c>
      <c r="E14" s="3">
        <v>21781</v>
      </c>
      <c r="F14" s="2">
        <v>8</v>
      </c>
      <c r="G14" s="3">
        <v>174247</v>
      </c>
    </row>
    <row r="15" spans="1:8" ht="21.5" thickBot="1" x14ac:dyDescent="0.4">
      <c r="A15" s="1" t="s">
        <v>28</v>
      </c>
      <c r="B15" s="2" t="s">
        <v>23</v>
      </c>
      <c r="C15" s="2" t="s">
        <v>24</v>
      </c>
      <c r="D15" s="3">
        <v>8790734</v>
      </c>
      <c r="E15" s="3">
        <v>49947</v>
      </c>
      <c r="F15" s="2">
        <v>8</v>
      </c>
      <c r="G15" s="3">
        <v>399579</v>
      </c>
    </row>
    <row r="16" spans="1:8" ht="15" thickBot="1" x14ac:dyDescent="0.4">
      <c r="A16" s="1" t="s">
        <v>29</v>
      </c>
      <c r="B16" s="2" t="s">
        <v>30</v>
      </c>
      <c r="C16" s="2" t="s">
        <v>31</v>
      </c>
      <c r="D16" s="3">
        <v>832973</v>
      </c>
      <c r="E16" s="3">
        <v>4733</v>
      </c>
      <c r="F16" s="2">
        <v>1</v>
      </c>
      <c r="G16" s="3">
        <v>4733</v>
      </c>
    </row>
    <row r="17" spans="1:7" ht="15" thickBot="1" x14ac:dyDescent="0.4">
      <c r="A17" s="1" t="s">
        <v>32</v>
      </c>
      <c r="B17" s="2" t="s">
        <v>33</v>
      </c>
      <c r="C17" s="2" t="s">
        <v>34</v>
      </c>
      <c r="D17" s="3">
        <v>1976948</v>
      </c>
      <c r="E17" s="3">
        <v>11233</v>
      </c>
      <c r="F17" s="2">
        <v>2</v>
      </c>
      <c r="G17" s="3">
        <v>22465</v>
      </c>
    </row>
    <row r="18" spans="1:7" ht="15" thickBot="1" x14ac:dyDescent="0.4">
      <c r="A18" s="1" t="s">
        <v>35</v>
      </c>
      <c r="B18" s="2" t="s">
        <v>36</v>
      </c>
      <c r="C18" s="2" t="s">
        <v>37</v>
      </c>
      <c r="D18" s="3">
        <v>3020842</v>
      </c>
      <c r="E18" s="3">
        <v>17164</v>
      </c>
      <c r="F18" s="2">
        <v>2</v>
      </c>
      <c r="G18" s="3">
        <v>34328</v>
      </c>
    </row>
    <row r="19" spans="1:7" ht="15" thickBot="1" x14ac:dyDescent="0.4">
      <c r="A19" s="1" t="s">
        <v>38</v>
      </c>
      <c r="B19" s="2" t="s">
        <v>39</v>
      </c>
      <c r="C19" s="2" t="s">
        <v>37</v>
      </c>
      <c r="D19" s="3">
        <v>3020842</v>
      </c>
      <c r="E19" s="3">
        <v>17164</v>
      </c>
      <c r="F19" s="2">
        <v>1</v>
      </c>
      <c r="G19" s="3">
        <v>17164</v>
      </c>
    </row>
    <row r="20" spans="1:7" ht="15" thickBot="1" x14ac:dyDescent="0.4">
      <c r="A20" s="1" t="s">
        <v>40</v>
      </c>
      <c r="B20" s="2" t="s">
        <v>41</v>
      </c>
      <c r="C20" s="2" t="s">
        <v>42</v>
      </c>
      <c r="D20" s="3">
        <v>2575012</v>
      </c>
      <c r="E20" s="3">
        <v>14631</v>
      </c>
      <c r="F20" s="2">
        <v>12</v>
      </c>
      <c r="G20" s="3">
        <v>175569</v>
      </c>
    </row>
    <row r="21" spans="1:7" ht="15" thickBot="1" x14ac:dyDescent="0.4">
      <c r="A21" s="1" t="s">
        <v>43</v>
      </c>
      <c r="B21" s="2" t="s">
        <v>41</v>
      </c>
      <c r="C21" s="2" t="s">
        <v>42</v>
      </c>
      <c r="D21" s="3">
        <v>1976948</v>
      </c>
      <c r="E21" s="3">
        <v>11233</v>
      </c>
      <c r="F21" s="2">
        <v>12</v>
      </c>
      <c r="G21" s="3">
        <v>134792</v>
      </c>
    </row>
    <row r="22" spans="1:7" ht="15" thickBot="1" x14ac:dyDescent="0.4">
      <c r="A22" s="1" t="s">
        <v>44</v>
      </c>
      <c r="B22" s="2" t="s">
        <v>45</v>
      </c>
      <c r="C22" s="2" t="s">
        <v>42</v>
      </c>
      <c r="D22" s="3">
        <v>1976948</v>
      </c>
      <c r="E22" s="3">
        <v>11233</v>
      </c>
      <c r="F22" s="2">
        <v>18</v>
      </c>
      <c r="G22" s="3">
        <v>202188</v>
      </c>
    </row>
    <row r="23" spans="1:7" ht="15" thickBot="1" x14ac:dyDescent="0.4">
      <c r="A23" s="1" t="s">
        <v>46</v>
      </c>
      <c r="B23" s="2" t="s">
        <v>45</v>
      </c>
      <c r="C23" s="2" t="s">
        <v>42</v>
      </c>
      <c r="D23" s="3">
        <v>7650729</v>
      </c>
      <c r="E23" s="3">
        <v>43470</v>
      </c>
      <c r="F23" s="2">
        <v>18</v>
      </c>
      <c r="G23" s="3">
        <v>782461</v>
      </c>
    </row>
    <row r="24" spans="1:7" ht="15" thickBot="1" x14ac:dyDescent="0.4">
      <c r="A24" s="1" t="s">
        <v>47</v>
      </c>
      <c r="B24" s="2" t="s">
        <v>45</v>
      </c>
      <c r="C24" s="2" t="s">
        <v>42</v>
      </c>
      <c r="D24" s="3">
        <v>5003767</v>
      </c>
      <c r="E24" s="3">
        <v>28430</v>
      </c>
      <c r="F24" s="2">
        <v>18</v>
      </c>
      <c r="G24" s="3">
        <v>511749</v>
      </c>
    </row>
    <row r="25" spans="1:7" ht="15" thickBot="1" x14ac:dyDescent="0.4">
      <c r="A25" s="1" t="s">
        <v>48</v>
      </c>
      <c r="B25" s="2" t="s">
        <v>45</v>
      </c>
      <c r="C25" s="2" t="s">
        <v>42</v>
      </c>
      <c r="D25" s="3">
        <v>6642363</v>
      </c>
      <c r="E25" s="3">
        <v>37741</v>
      </c>
      <c r="F25" s="2">
        <v>18</v>
      </c>
      <c r="G25" s="3">
        <v>679333</v>
      </c>
    </row>
    <row r="26" spans="1:7" ht="15" thickBot="1" x14ac:dyDescent="0.4">
      <c r="A26" s="1" t="s">
        <v>49</v>
      </c>
      <c r="B26" s="2" t="s">
        <v>45</v>
      </c>
      <c r="C26" s="2" t="s">
        <v>42</v>
      </c>
      <c r="D26" s="3">
        <v>2575012</v>
      </c>
      <c r="E26" s="3">
        <v>14631</v>
      </c>
      <c r="F26" s="2">
        <v>12</v>
      </c>
      <c r="G26" s="3">
        <v>175569</v>
      </c>
    </row>
    <row r="27" spans="1:7" ht="15" thickBot="1" x14ac:dyDescent="0.4">
      <c r="A27" s="1" t="s">
        <v>50</v>
      </c>
      <c r="B27" s="2" t="s">
        <v>51</v>
      </c>
      <c r="C27" s="2" t="s">
        <v>52</v>
      </c>
      <c r="D27" s="3">
        <v>1976948</v>
      </c>
      <c r="E27" s="3">
        <v>11233</v>
      </c>
      <c r="F27" s="2">
        <v>8</v>
      </c>
      <c r="G27" s="3">
        <v>89681</v>
      </c>
    </row>
    <row r="28" spans="1:7" ht="15" thickBot="1" x14ac:dyDescent="0.4">
      <c r="A28" s="1" t="s">
        <v>53</v>
      </c>
      <c r="B28" s="2" t="s">
        <v>51</v>
      </c>
      <c r="C28" s="2" t="s">
        <v>52</v>
      </c>
      <c r="D28" s="3">
        <v>2552146</v>
      </c>
      <c r="E28" s="3">
        <v>14501</v>
      </c>
      <c r="F28" s="2">
        <v>8</v>
      </c>
      <c r="G28" s="3">
        <v>116007</v>
      </c>
    </row>
    <row r="29" spans="1:7" ht="21.5" thickBot="1" x14ac:dyDescent="0.4">
      <c r="A29" s="1" t="s">
        <v>54</v>
      </c>
      <c r="B29" s="2" t="s">
        <v>55</v>
      </c>
      <c r="C29" s="2" t="s">
        <v>24</v>
      </c>
      <c r="D29" s="3">
        <v>3020842</v>
      </c>
      <c r="E29" s="3">
        <v>17164</v>
      </c>
      <c r="F29" s="2">
        <v>14</v>
      </c>
      <c r="G29" s="3">
        <v>240294</v>
      </c>
    </row>
    <row r="30" spans="1:7" ht="21.5" thickBot="1" x14ac:dyDescent="0.4">
      <c r="A30" s="1" t="s">
        <v>56</v>
      </c>
      <c r="B30" s="2" t="s">
        <v>55</v>
      </c>
      <c r="C30" s="2" t="s">
        <v>24</v>
      </c>
      <c r="D30" s="3">
        <v>2552146</v>
      </c>
      <c r="E30" s="3">
        <v>14501</v>
      </c>
      <c r="F30" s="2">
        <v>14</v>
      </c>
      <c r="G30" s="3">
        <v>203012</v>
      </c>
    </row>
    <row r="31" spans="1:7" ht="21.5" thickBot="1" x14ac:dyDescent="0.4">
      <c r="A31" s="1" t="s">
        <v>57</v>
      </c>
      <c r="B31" s="2" t="s">
        <v>55</v>
      </c>
      <c r="C31" s="2" t="s">
        <v>24</v>
      </c>
      <c r="D31" s="3">
        <v>3833436</v>
      </c>
      <c r="E31" s="3">
        <v>21781</v>
      </c>
      <c r="F31" s="2">
        <v>14</v>
      </c>
      <c r="G31" s="3">
        <v>304932</v>
      </c>
    </row>
    <row r="32" spans="1:7" ht="21.5" thickBot="1" x14ac:dyDescent="0.4">
      <c r="A32" s="1" t="s">
        <v>58</v>
      </c>
      <c r="B32" s="2" t="s">
        <v>55</v>
      </c>
      <c r="C32" s="2" t="s">
        <v>24</v>
      </c>
      <c r="D32" s="3">
        <v>8790734</v>
      </c>
      <c r="E32" s="3">
        <v>49947</v>
      </c>
      <c r="F32" s="2">
        <v>14</v>
      </c>
      <c r="G32" s="3">
        <v>699263</v>
      </c>
    </row>
    <row r="33" spans="1:7" ht="15" thickBot="1" x14ac:dyDescent="0.4">
      <c r="A33" s="1" t="s">
        <v>59</v>
      </c>
      <c r="B33" s="2" t="s">
        <v>60</v>
      </c>
      <c r="C33" s="2" t="s">
        <v>34</v>
      </c>
      <c r="D33" s="3">
        <v>1976948</v>
      </c>
      <c r="E33" s="3">
        <v>1233</v>
      </c>
      <c r="F33" s="2">
        <v>3</v>
      </c>
      <c r="G33" s="3">
        <v>33698</v>
      </c>
    </row>
    <row r="34" spans="1:7" ht="15" thickBot="1" x14ac:dyDescent="0.4">
      <c r="A34" s="1" t="s">
        <v>61</v>
      </c>
      <c r="B34" s="2" t="s">
        <v>62</v>
      </c>
      <c r="C34" s="2" t="s">
        <v>63</v>
      </c>
      <c r="D34" s="3">
        <v>2552146</v>
      </c>
      <c r="E34" s="3">
        <v>14501</v>
      </c>
      <c r="F34" s="2">
        <v>8</v>
      </c>
      <c r="G34" s="3">
        <v>116007</v>
      </c>
    </row>
    <row r="35" spans="1:7" ht="15" thickBot="1" x14ac:dyDescent="0.4">
      <c r="A35" s="1" t="s">
        <v>64</v>
      </c>
      <c r="B35" s="2" t="s">
        <v>65</v>
      </c>
      <c r="C35" s="2" t="s">
        <v>66</v>
      </c>
      <c r="D35" s="3">
        <v>2552146</v>
      </c>
      <c r="E35" s="3">
        <v>14501</v>
      </c>
      <c r="F35" s="2">
        <v>3</v>
      </c>
      <c r="G35" s="3">
        <v>43502</v>
      </c>
    </row>
    <row r="36" spans="1:7" ht="15" thickBot="1" x14ac:dyDescent="0.4">
      <c r="A36" s="1" t="s">
        <v>67</v>
      </c>
      <c r="B36" s="2" t="s">
        <v>68</v>
      </c>
      <c r="C36" s="2" t="s">
        <v>66</v>
      </c>
      <c r="D36" s="3">
        <v>2552146</v>
      </c>
      <c r="E36" s="3">
        <v>14501</v>
      </c>
      <c r="F36" s="2">
        <v>3</v>
      </c>
      <c r="G36" s="3">
        <v>43502</v>
      </c>
    </row>
    <row r="37" spans="1:7" ht="21.5" thickBot="1" x14ac:dyDescent="0.4">
      <c r="A37" s="1" t="s">
        <v>69</v>
      </c>
      <c r="B37" s="2" t="s">
        <v>70</v>
      </c>
      <c r="C37" s="2" t="s">
        <v>31</v>
      </c>
      <c r="D37" s="3">
        <v>694489</v>
      </c>
      <c r="E37" s="3">
        <v>3946</v>
      </c>
      <c r="F37" s="2">
        <v>3</v>
      </c>
      <c r="G37" s="3">
        <v>11838</v>
      </c>
    </row>
    <row r="38" spans="1:7" ht="15" thickBot="1" x14ac:dyDescent="0.4">
      <c r="C38" s="7" t="s">
        <v>72</v>
      </c>
      <c r="F38" s="6">
        <f>SUM(F3:F37)</f>
        <v>321</v>
      </c>
      <c r="G38" s="5">
        <f>SUM(G3:G37)</f>
        <v>7122847</v>
      </c>
    </row>
    <row r="39" spans="1:7" ht="15" thickBot="1" x14ac:dyDescent="0.4">
      <c r="C39" s="5" t="s">
        <v>74</v>
      </c>
      <c r="D39" s="10"/>
      <c r="E39" s="10"/>
      <c r="F39" s="5">
        <f>G38/F38</f>
        <v>22189.554517133958</v>
      </c>
      <c r="G39" s="5"/>
    </row>
  </sheetData>
  <autoFilter ref="A2:H2" xr:uid="{5261DFAA-F87C-4781-BB7B-FCB04C1B47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2025-08-27T04:41:44Z</dcterms:created>
  <dcterms:modified xsi:type="dcterms:W3CDTF">2025-10-15T04:03:25Z</dcterms:modified>
</cp:coreProperties>
</file>