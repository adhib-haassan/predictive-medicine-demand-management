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pivotCache/pivotCacheDefinition5.xml" ContentType="application/vnd.openxmlformats-officedocument.spreadsheetml.pivotCacheDefinition+xml"/>
  <Override PartName="/xl/pivotCache/pivotCacheRecords5.xml" ContentType="application/vnd.openxmlformats-officedocument.spreadsheetml.pivotCacheRecords+xml"/>
  <Override PartName="/xl/pivotCache/pivotCacheDefinition6.xml" ContentType="application/vnd.openxmlformats-officedocument.spreadsheetml.pivotCacheDefinition+xml"/>
  <Override PartName="/xl/pivotCache/pivotCacheRecords6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1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hidePivotFieldList="1"/>
  <mc:AlternateContent xmlns:mc="http://schemas.openxmlformats.org/markup-compatibility/2006">
    <mc:Choice Requires="x15">
      <x15ac:absPath xmlns:x15ac="http://schemas.microsoft.com/office/spreadsheetml/2010/11/ac" url="https://d.docs.live.net/7c0b010b5f11b40e/Escritorio/3. Proyecto TFG/TFG/Bases de datos/Bases de Datos Final/"/>
    </mc:Choice>
  </mc:AlternateContent>
  <xr:revisionPtr revIDLastSave="297" documentId="8_{F452767F-D747-4DF4-AEAE-2BC39A7C4720}" xr6:coauthVersionLast="47" xr6:coauthVersionMax="47" xr10:uidLastSave="{5E21258C-E992-44A7-BFB7-DC796659D5C4}"/>
  <bookViews>
    <workbookView xWindow="-110" yWindow="-110" windowWidth="19420" windowHeight="10300" activeTab="1" xr2:uid="{00000000-000D-0000-FFFF-FFFF00000000}"/>
  </bookViews>
  <sheets>
    <sheet name="Anexo Cumplimiento Cenabast " sheetId="15" r:id="rId1"/>
    <sheet name="IC 0% 2023-2025 Resultados" sheetId="9" r:id="rId2"/>
    <sheet name="IC 0% 2023" sheetId="10" r:id="rId3"/>
    <sheet name="IC 0% 2024" sheetId="12" r:id="rId4"/>
    <sheet name="IC 0% 2025" sheetId="13" r:id="rId5"/>
    <sheet name="Cruce con Pareto" sheetId="14" r:id="rId6"/>
    <sheet name="IC 0% 2023-2025" sheetId="6" r:id="rId7"/>
    <sheet name="IC 50% abajo 2023-2025" sheetId="7" r:id="rId8"/>
    <sheet name="2023" sheetId="5" r:id="rId9"/>
    <sheet name="2024" sheetId="3" r:id="rId10"/>
    <sheet name="2025" sheetId="4" r:id="rId11"/>
  </sheets>
  <definedNames>
    <definedName name="_xlnm._FilterDatabase" localSheetId="8" hidden="1">'2023'!$A$1:$J$179</definedName>
    <definedName name="_xlnm._FilterDatabase" localSheetId="9" hidden="1">'2024'!$A$1:$I$173</definedName>
    <definedName name="_xlnm._FilterDatabase" localSheetId="10" hidden="1">'2025'!$A$1:$I$106</definedName>
    <definedName name="_xlnm._FilterDatabase" localSheetId="5" hidden="1">'Cruce con Pareto'!$A$1:$D$388</definedName>
  </definedNames>
  <calcPr calcId="191029"/>
  <pivotCaches>
    <pivotCache cacheId="2" r:id="rId12"/>
    <pivotCache cacheId="3" r:id="rId13"/>
    <pivotCache cacheId="4" r:id="rId14"/>
    <pivotCache cacheId="5" r:id="rId15"/>
    <pivotCache cacheId="6" r:id="rId16"/>
    <pivotCache cacheId="7" r:id="rId17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6" i="15" l="1"/>
  <c r="E31" i="15"/>
  <c r="E30" i="15"/>
  <c r="E29" i="15"/>
  <c r="E28" i="15"/>
  <c r="E27" i="15"/>
  <c r="L5" i="15"/>
  <c r="L4" i="15"/>
  <c r="K6" i="15"/>
  <c r="E3" i="15"/>
  <c r="E4" i="15"/>
  <c r="E5" i="15"/>
  <c r="E6" i="15"/>
  <c r="E7" i="15"/>
  <c r="E8" i="15"/>
  <c r="E9" i="15"/>
  <c r="E10" i="15"/>
  <c r="E11" i="15"/>
  <c r="E12" i="15"/>
  <c r="E13" i="15"/>
  <c r="E14" i="15"/>
  <c r="E15" i="15"/>
  <c r="E16" i="15"/>
  <c r="E17" i="15"/>
  <c r="E18" i="15"/>
  <c r="E19" i="15"/>
  <c r="E20" i="15"/>
  <c r="E21" i="15"/>
  <c r="E22" i="15"/>
  <c r="E23" i="15"/>
  <c r="E24" i="15"/>
  <c r="E25" i="15"/>
  <c r="E26" i="15"/>
  <c r="H5" i="15"/>
  <c r="K5" i="15" s="1"/>
  <c r="H4" i="15"/>
  <c r="K4" i="15" s="1"/>
  <c r="P3" i="7"/>
  <c r="P5" i="7"/>
  <c r="P4" i="7"/>
  <c r="K4" i="9" l="1"/>
  <c r="K5" i="9"/>
  <c r="K3" i="9"/>
  <c r="I172" i="5"/>
  <c r="I173" i="5" s="1"/>
  <c r="I174" i="5" s="1"/>
  <c r="I175" i="5" s="1"/>
  <c r="I176" i="5" s="1"/>
  <c r="I177" i="5" s="1"/>
  <c r="I178" i="5" s="1"/>
  <c r="I179" i="5" s="1"/>
  <c r="I155" i="5"/>
  <c r="I156" i="5" s="1"/>
  <c r="I157" i="5" s="1"/>
  <c r="I158" i="5" s="1"/>
  <c r="I159" i="5" s="1"/>
  <c r="I160" i="5" s="1"/>
  <c r="I161" i="5" s="1"/>
  <c r="I162" i="5" s="1"/>
  <c r="I163" i="5" s="1"/>
  <c r="I164" i="5" s="1"/>
  <c r="I165" i="5" s="1"/>
  <c r="I166" i="5" s="1"/>
  <c r="I167" i="5" s="1"/>
  <c r="I168" i="5" s="1"/>
  <c r="I169" i="5" s="1"/>
  <c r="I170" i="5" s="1"/>
  <c r="I137" i="5"/>
  <c r="I138" i="5" s="1"/>
  <c r="I139" i="5" s="1"/>
  <c r="I140" i="5" s="1"/>
  <c r="I141" i="5" s="1"/>
  <c r="I142" i="5" s="1"/>
  <c r="I143" i="5" s="1"/>
  <c r="I144" i="5" s="1"/>
  <c r="I145" i="5" s="1"/>
  <c r="I146" i="5" s="1"/>
  <c r="I147" i="5" s="1"/>
  <c r="I148" i="5" s="1"/>
  <c r="I149" i="5" s="1"/>
  <c r="I150" i="5" s="1"/>
  <c r="I151" i="5" s="1"/>
  <c r="I152" i="5" s="1"/>
  <c r="I153" i="5" s="1"/>
  <c r="I124" i="5"/>
  <c r="I125" i="5" s="1"/>
  <c r="I126" i="5" s="1"/>
  <c r="I127" i="5" s="1"/>
  <c r="I128" i="5" s="1"/>
  <c r="I129" i="5" s="1"/>
  <c r="I130" i="5" s="1"/>
  <c r="I131" i="5" s="1"/>
  <c r="I132" i="5" s="1"/>
  <c r="I133" i="5" s="1"/>
  <c r="I134" i="5" s="1"/>
  <c r="I135" i="5" s="1"/>
  <c r="I112" i="5"/>
  <c r="I113" i="5" s="1"/>
  <c r="I114" i="5" s="1"/>
  <c r="I115" i="5" s="1"/>
  <c r="I116" i="5" s="1"/>
  <c r="I117" i="5" s="1"/>
  <c r="I118" i="5" s="1"/>
  <c r="I119" i="5" s="1"/>
  <c r="I120" i="5" s="1"/>
  <c r="I121" i="5" s="1"/>
  <c r="I122" i="5" s="1"/>
  <c r="I100" i="5"/>
  <c r="I101" i="5" s="1"/>
  <c r="I102" i="5" s="1"/>
  <c r="I103" i="5" s="1"/>
  <c r="I104" i="5" s="1"/>
  <c r="I105" i="5" s="1"/>
  <c r="I106" i="5" s="1"/>
  <c r="I107" i="5" s="1"/>
  <c r="I108" i="5" s="1"/>
  <c r="I109" i="5" s="1"/>
  <c r="I110" i="5" s="1"/>
  <c r="I75" i="5"/>
  <c r="I76" i="5" s="1"/>
  <c r="I77" i="5" s="1"/>
  <c r="I78" i="5" s="1"/>
  <c r="I79" i="5" s="1"/>
  <c r="I80" i="5" s="1"/>
  <c r="I81" i="5" s="1"/>
  <c r="I82" i="5" s="1"/>
  <c r="I83" i="5" s="1"/>
  <c r="I84" i="5" s="1"/>
  <c r="I85" i="5" s="1"/>
  <c r="I86" i="5" s="1"/>
  <c r="I87" i="5" s="1"/>
  <c r="I88" i="5" s="1"/>
  <c r="I89" i="5" s="1"/>
  <c r="I90" i="5" s="1"/>
  <c r="I91" i="5" s="1"/>
  <c r="I92" i="5" s="1"/>
  <c r="I93" i="5" s="1"/>
  <c r="I94" i="5" s="1"/>
  <c r="I95" i="5" s="1"/>
  <c r="I96" i="5" s="1"/>
  <c r="I97" i="5" s="1"/>
  <c r="I98" i="5" s="1"/>
  <c r="I56" i="5"/>
  <c r="I57" i="5" s="1"/>
  <c r="I58" i="5" s="1"/>
  <c r="I59" i="5" s="1"/>
  <c r="I60" i="5" s="1"/>
  <c r="I61" i="5" s="1"/>
  <c r="I62" i="5" s="1"/>
  <c r="I63" i="5" s="1"/>
  <c r="I64" i="5" s="1"/>
  <c r="I65" i="5" s="1"/>
  <c r="I66" i="5" s="1"/>
  <c r="I67" i="5" s="1"/>
  <c r="I68" i="5" s="1"/>
  <c r="I69" i="5" s="1"/>
  <c r="I70" i="5" s="1"/>
  <c r="I71" i="5" s="1"/>
  <c r="I72" i="5" s="1"/>
  <c r="I73" i="5" s="1"/>
  <c r="I47" i="5"/>
  <c r="I48" i="5" s="1"/>
  <c r="I49" i="5" s="1"/>
  <c r="I50" i="5" s="1"/>
  <c r="I51" i="5" s="1"/>
  <c r="I52" i="5" s="1"/>
  <c r="I53" i="5" s="1"/>
  <c r="I54" i="5" s="1"/>
  <c r="I30" i="5"/>
  <c r="I31" i="5" s="1"/>
  <c r="I32" i="5" s="1"/>
  <c r="I33" i="5" s="1"/>
  <c r="I34" i="5" s="1"/>
  <c r="I35" i="5" s="1"/>
  <c r="I36" i="5" s="1"/>
  <c r="I37" i="5" s="1"/>
  <c r="I38" i="5" s="1"/>
  <c r="I39" i="5" s="1"/>
  <c r="I40" i="5" s="1"/>
  <c r="I41" i="5" s="1"/>
  <c r="I42" i="5" s="1"/>
  <c r="I43" i="5" s="1"/>
  <c r="I44" i="5" s="1"/>
  <c r="I45" i="5" s="1"/>
  <c r="I17" i="5"/>
  <c r="I18" i="5" s="1"/>
  <c r="I19" i="5" s="1"/>
  <c r="I20" i="5" s="1"/>
  <c r="I21" i="5" s="1"/>
  <c r="I22" i="5" s="1"/>
  <c r="I23" i="5" s="1"/>
  <c r="I24" i="5" s="1"/>
  <c r="I25" i="5" s="1"/>
  <c r="I26" i="5" s="1"/>
  <c r="I27" i="5" s="1"/>
  <c r="I28" i="5" s="1"/>
  <c r="I3" i="5"/>
  <c r="I4" i="5" s="1"/>
  <c r="I5" i="5" s="1"/>
  <c r="I6" i="5" s="1"/>
  <c r="I7" i="5" s="1"/>
  <c r="I8" i="5" s="1"/>
  <c r="I9" i="5" s="1"/>
  <c r="I10" i="5" s="1"/>
  <c r="I11" i="5" s="1"/>
  <c r="I12" i="5" s="1"/>
  <c r="I13" i="5" s="1"/>
  <c r="I14" i="5" s="1"/>
  <c r="I15" i="5" s="1"/>
  <c r="I112" i="3"/>
  <c r="I113" i="3" s="1"/>
  <c r="I114" i="3" s="1"/>
  <c r="I115" i="3" s="1"/>
  <c r="I116" i="3" s="1"/>
  <c r="I117" i="3" s="1"/>
  <c r="I118" i="3" s="1"/>
  <c r="I119" i="3" s="1"/>
  <c r="I120" i="3" s="1"/>
  <c r="I102" i="3"/>
  <c r="I103" i="3" s="1"/>
  <c r="I104" i="3" s="1"/>
  <c r="I105" i="3" s="1"/>
  <c r="I106" i="3" s="1"/>
  <c r="I107" i="3" s="1"/>
  <c r="I108" i="3" s="1"/>
  <c r="I109" i="3" s="1"/>
  <c r="I110" i="3" s="1"/>
  <c r="I55" i="3"/>
  <c r="I56" i="3" s="1"/>
  <c r="I57" i="3" s="1"/>
  <c r="I58" i="3" s="1"/>
  <c r="I59" i="3" s="1"/>
  <c r="I60" i="3" s="1"/>
  <c r="I61" i="3" s="1"/>
  <c r="I62" i="3" s="1"/>
  <c r="I63" i="3" s="1"/>
  <c r="I64" i="3" s="1"/>
  <c r="I65" i="3" s="1"/>
  <c r="I66" i="3" s="1"/>
  <c r="I67" i="3" s="1"/>
  <c r="I166" i="3"/>
  <c r="I167" i="3" s="1"/>
  <c r="I168" i="3" s="1"/>
  <c r="I169" i="3" s="1"/>
  <c r="I170" i="3" s="1"/>
  <c r="I171" i="3" s="1"/>
  <c r="I172" i="3" s="1"/>
  <c r="I173" i="3" s="1"/>
  <c r="I153" i="3"/>
  <c r="I154" i="3" s="1"/>
  <c r="I155" i="3" s="1"/>
  <c r="I156" i="3" s="1"/>
  <c r="I157" i="3" s="1"/>
  <c r="I158" i="3" s="1"/>
  <c r="I159" i="3" s="1"/>
  <c r="I160" i="3" s="1"/>
  <c r="I161" i="3" s="1"/>
  <c r="I162" i="3" s="1"/>
  <c r="I163" i="3" s="1"/>
  <c r="I164" i="3" s="1"/>
  <c r="I141" i="3"/>
  <c r="I142" i="3" s="1"/>
  <c r="I143" i="3" s="1"/>
  <c r="I144" i="3" s="1"/>
  <c r="I145" i="3" s="1"/>
  <c r="I146" i="3" s="1"/>
  <c r="I147" i="3" s="1"/>
  <c r="I148" i="3" s="1"/>
  <c r="I149" i="3" s="1"/>
  <c r="I150" i="3" s="1"/>
  <c r="I151" i="3" s="1"/>
  <c r="I122" i="3"/>
  <c r="I123" i="3" s="1"/>
  <c r="I124" i="3" s="1"/>
  <c r="I125" i="3" s="1"/>
  <c r="I126" i="3" s="1"/>
  <c r="I127" i="3" s="1"/>
  <c r="I128" i="3" s="1"/>
  <c r="I129" i="3" s="1"/>
  <c r="I130" i="3" s="1"/>
  <c r="I131" i="3" s="1"/>
  <c r="I132" i="3" s="1"/>
  <c r="I133" i="3" s="1"/>
  <c r="I134" i="3" s="1"/>
  <c r="I135" i="3" s="1"/>
  <c r="I136" i="3" s="1"/>
  <c r="I137" i="3" s="1"/>
  <c r="I138" i="3" s="1"/>
  <c r="I139" i="3" s="1"/>
  <c r="I91" i="3"/>
  <c r="I92" i="3" s="1"/>
  <c r="I93" i="3" s="1"/>
  <c r="I94" i="3" s="1"/>
  <c r="I95" i="3" s="1"/>
  <c r="I96" i="3" s="1"/>
  <c r="I97" i="3" s="1"/>
  <c r="I98" i="3" s="1"/>
  <c r="I99" i="3" s="1"/>
  <c r="I69" i="3"/>
  <c r="I70" i="3" s="1"/>
  <c r="I71" i="3" s="1"/>
  <c r="I72" i="3" s="1"/>
  <c r="I73" i="3" s="1"/>
  <c r="I74" i="3" s="1"/>
  <c r="I75" i="3" s="1"/>
  <c r="I76" i="3" s="1"/>
  <c r="I77" i="3" s="1"/>
  <c r="I78" i="3" s="1"/>
  <c r="I79" i="3" s="1"/>
  <c r="I80" i="3" s="1"/>
  <c r="I81" i="3" s="1"/>
  <c r="I82" i="3" s="1"/>
  <c r="I83" i="3" s="1"/>
  <c r="I84" i="3" s="1"/>
  <c r="I85" i="3" s="1"/>
  <c r="I86" i="3" s="1"/>
  <c r="I87" i="3" s="1"/>
  <c r="I88" i="3" s="1"/>
  <c r="I89" i="3" s="1"/>
  <c r="I21" i="3"/>
  <c r="I22" i="3" s="1"/>
  <c r="I23" i="3" s="1"/>
  <c r="I24" i="3" s="1"/>
  <c r="I25" i="3" s="1"/>
  <c r="I26" i="3" s="1"/>
  <c r="I27" i="3" s="1"/>
  <c r="I28" i="3" s="1"/>
  <c r="I29" i="3" s="1"/>
  <c r="I30" i="3" s="1"/>
  <c r="I31" i="3" s="1"/>
  <c r="I32" i="3" s="1"/>
  <c r="I3" i="3"/>
  <c r="I4" i="3" l="1"/>
  <c r="I5" i="3" s="1"/>
  <c r="I6" i="3" s="1"/>
  <c r="I7" i="3" s="1"/>
  <c r="I8" i="3" s="1"/>
  <c r="I9" i="3" s="1"/>
  <c r="I10" i="3" s="1"/>
  <c r="I11" i="3" s="1"/>
  <c r="I12" i="3" s="1"/>
  <c r="I13" i="3" s="1"/>
  <c r="I14" i="3" s="1"/>
  <c r="I15" i="3" s="1"/>
  <c r="I16" i="3" s="1"/>
  <c r="I17" i="3" s="1"/>
  <c r="I18" i="3" s="1"/>
  <c r="I19" i="3" s="1"/>
  <c r="I34" i="3"/>
  <c r="I35" i="3" s="1"/>
  <c r="I36" i="3" s="1"/>
  <c r="I37" i="3" s="1"/>
  <c r="I38" i="3" s="1"/>
  <c r="I39" i="3" s="1"/>
  <c r="I40" i="3" s="1"/>
  <c r="I41" i="3" s="1"/>
  <c r="I42" i="3" s="1"/>
  <c r="I43" i="3" s="1"/>
  <c r="I44" i="3" s="1"/>
  <c r="I45" i="3" s="1"/>
  <c r="I46" i="3" s="1"/>
  <c r="I47" i="3" s="1"/>
  <c r="I48" i="3" s="1"/>
  <c r="I49" i="3" s="1"/>
  <c r="I50" i="3" s="1"/>
  <c r="I51" i="3" s="1"/>
  <c r="I52" i="3" s="1"/>
  <c r="I53" i="3" s="1"/>
</calcChain>
</file>

<file path=xl/sharedStrings.xml><?xml version="1.0" encoding="utf-8"?>
<sst xmlns="http://schemas.openxmlformats.org/spreadsheetml/2006/main" count="3218" uniqueCount="305">
  <si>
    <t>A.A SALICILIC 100MG CM/CM REC/CP</t>
  </si>
  <si>
    <t>ABIRATERONA 250 MG CM/CM REC</t>
  </si>
  <si>
    <t>ACIDO TRANEX. 1G/10 ML SOL INY AMP O FAM</t>
  </si>
  <si>
    <t>ACIDO ZOLEDRONICO 4 MG/5ML AM/BO SOL INY</t>
  </si>
  <si>
    <t>AFATINIB 40 MG CM REC</t>
  </si>
  <si>
    <t>AGUA ESTERIL P/INYECT. 500 ML SEMIRIGIDO</t>
  </si>
  <si>
    <t>AGUA ESTERIL P/INYECTABLES 10 ML AM</t>
  </si>
  <si>
    <t>ALBUMINA HUMANA 20% SOL.PERF.IV FAM 50ML</t>
  </si>
  <si>
    <t>AMOXICIL/CLAVULAN 875/125 MG CM/CM REC</t>
  </si>
  <si>
    <t>ATORVASTATINA 40 MG CM REC.</t>
  </si>
  <si>
    <t>ATROPINA 1 MG/1 ML SOL. INY. AM/FAM</t>
  </si>
  <si>
    <t>BENDAMUSTINA 100 MG POL/LIOF SOL INY.FAM</t>
  </si>
  <si>
    <t>BLEOMICINA 15U.I. POLVO LIOF. P/INY FAM</t>
  </si>
  <si>
    <t>BUPRENORFINA SIST. TRANSDERMICO 35 MCG/H</t>
  </si>
  <si>
    <t>CALCIO FOLINATO(LEUCOVOR) 100MG/10ML FAM</t>
  </si>
  <si>
    <t>CALCIO/VITAMINA D 450A600 MG/400UI CM/CP</t>
  </si>
  <si>
    <t>CALCITRIOL 0,5 MCG CP</t>
  </si>
  <si>
    <t>CARBOPLATINO 450 MG/45 ML SOL.INYEC FAM</t>
  </si>
  <si>
    <t>CARVEDILOL 6,25 MG CM/CM REC.</t>
  </si>
  <si>
    <t>CEFAZOLINA 1G POLVO/LIOF SOL INYECT.FAM</t>
  </si>
  <si>
    <t>CIPROFLOXACIN 200MG/100ML SOL INY FAM/BO</t>
  </si>
  <si>
    <t>DASATINIB 100 MG CM REC</t>
  </si>
  <si>
    <t>DEGARELIX 80MG LIOF P/SOL INY FAM</t>
  </si>
  <si>
    <t>DOXORUBICINA 2MG/ML SOL. INYEC FAM 10ML</t>
  </si>
  <si>
    <t>DOXORUBICINA 2MG/ML SOL. INYEC FAM 25ML</t>
  </si>
  <si>
    <t>DROPERIDOL 5 MG/2 ML SOL.INYEC AM/FAM</t>
  </si>
  <si>
    <t>ENOXAPARINA 40 MG/0,4ML SOL.INY. JRP</t>
  </si>
  <si>
    <t>EPOETINA ALFA-BETA HUMANA RECOMB 4000 UI</t>
  </si>
  <si>
    <t>ESPIRONOLACTONA 25 MG CM/GG</t>
  </si>
  <si>
    <t>EXEMESTANO 25 MG GG/CM REC</t>
  </si>
  <si>
    <t>FENTANILO 25MCG/HORA PARCHE TRANSDERMICO</t>
  </si>
  <si>
    <t>FLUMAZENIL 0,5 MG/5 ML SOL. INY. AM/FAM</t>
  </si>
  <si>
    <t>FLUOROURACILO 1000MG/20 ML S.INY AM/FAM</t>
  </si>
  <si>
    <t>FULVESTRANT 250MG/5 ML SOL. INY. JR/JRP</t>
  </si>
  <si>
    <t>GOSERELINA 10,8 MG JRP C/IMPL. SUBCUT.</t>
  </si>
  <si>
    <t>HEPARINA SODICA 25.000 U.I./5 ML FAM/JRP</t>
  </si>
  <si>
    <t>HIDROCORTISONA 100MG LIOF. P/SOL INY FAM</t>
  </si>
  <si>
    <t>HIERRO 20MG/ML SOL. INY. I.V. AM/FAM 5ML</t>
  </si>
  <si>
    <t>IMATINIB 400 MG CP/CM REC.</t>
  </si>
  <si>
    <t>IRINOTECAN 100 MG/5 ML SOL. INY. FAM</t>
  </si>
  <si>
    <t>KETOPROFENO 100MG SOL INY/LIO AM/JRP/FAM</t>
  </si>
  <si>
    <t>LACTUL65-66,7G/100ML SOL.OR FRA100-200ML</t>
  </si>
  <si>
    <t>LENALIDOMIDA 25MG CP</t>
  </si>
  <si>
    <t>LETROZOL 2,5 MG CM/CM REC</t>
  </si>
  <si>
    <t>LEVOTIROXINA 100 MCG CM RANURADO</t>
  </si>
  <si>
    <t>LIDOCAINA 10% SOL. TOPICA FRA 50 ML</t>
  </si>
  <si>
    <t>LIDOCAINA 2% SOL. INY. AM/FAM 5 ML</t>
  </si>
  <si>
    <t>LIDOCAINA 5G/100G PARCHE</t>
  </si>
  <si>
    <t>LORAZEPAM 2 MG CM/CM REC</t>
  </si>
  <si>
    <t>MELATONINA 3 MG CP</t>
  </si>
  <si>
    <t>MEROPENEM 500 MG POLVO/LIOF. FAM</t>
  </si>
  <si>
    <t>METADONA 10 MG/2ML SOL.INY. IV-SC AM/FAM</t>
  </si>
  <si>
    <t>METAMIZOL 1G / 2ML AM SOL. INY. IV/IM</t>
  </si>
  <si>
    <t>METRONIDAZOL 500 MG CM/CM REC.</t>
  </si>
  <si>
    <t>MIRTAZAPINA 30 MG CM REC</t>
  </si>
  <si>
    <t>MIVACURIO 2MG/ML SOL INY 5 ML FAM</t>
  </si>
  <si>
    <t>MORFINA 10 MG/ML SOL. INY. AM</t>
  </si>
  <si>
    <t>NITROFURANTOINA MACROC. 100MG CP/CM REC</t>
  </si>
  <si>
    <t>NIVOLUMAB 10MG/ML SOL INY IV FAM 4 ML</t>
  </si>
  <si>
    <t>NIVOLUMAB 10MG/ML SOL.INY. IV FAM 10ML</t>
  </si>
  <si>
    <t>OCTREOTIDA 20MG MICROESF SUSP INYEC FAM</t>
  </si>
  <si>
    <t>OLANZAPINA 5 MG CM/CM REC</t>
  </si>
  <si>
    <t>OMEPRAZOL 20MG CM O CP C/MICR.C/REC/ENT</t>
  </si>
  <si>
    <t>PAZOPANIB 200 MG CM REC</t>
  </si>
  <si>
    <t>PAZOPANIB 400 MG CM REC</t>
  </si>
  <si>
    <t>PEMBROLIZUMAB 100 MG/4ML SOL INY FAM</t>
  </si>
  <si>
    <t>PERTUZUMAB 420 MG/14 ML SOL. INY FAM</t>
  </si>
  <si>
    <t>POLIETILENGLICOL (MACROGOL 3350) SO 17G</t>
  </si>
  <si>
    <t>QUETIAPINA 25 MG CM REC.</t>
  </si>
  <si>
    <t>REMIFENTANILO 1 MG LIOF P/SOL INY IV FAM</t>
  </si>
  <si>
    <t>RINGER LACTATO BOLSA 500 ML</t>
  </si>
  <si>
    <t>RISPERIDONA 1 MG CM/CM REC.</t>
  </si>
  <si>
    <t>RIVAROXABAN 15 MG CM REC</t>
  </si>
  <si>
    <t>ROCURONIO 50 MG/5 ML SOL. INY. FAM</t>
  </si>
  <si>
    <t>SALBUTAMOL 5MG/ML SOL.NEBU FRA 20ML</t>
  </si>
  <si>
    <t>SODIO CLORURO 0,9% BOLSA 100 ML</t>
  </si>
  <si>
    <t>SODIO CLORURO 0,9% SOL INY IV AM 20 ML</t>
  </si>
  <si>
    <t>SUNITINIB 25 MG CP</t>
  </si>
  <si>
    <t>TAPENTADOL 50 MG CM LIB. PROLONGADA</t>
  </si>
  <si>
    <t>TEMOZOLOMIDA 100 MG CP</t>
  </si>
  <si>
    <t>TEMOZOLOMIDA 180 MG CP</t>
  </si>
  <si>
    <t>TESTOSTERONA UNDECANOAT 1000MG/4ML AM/FA</t>
  </si>
  <si>
    <t>TOPOTECAN 4MG LIOF. SOL. INY FAM</t>
  </si>
  <si>
    <t>TOXINA BOTULINICA 500 U PVO.P.SOL.IN FAM</t>
  </si>
  <si>
    <t>TRAMADOL 100MG CM REC/CP LIBER.PROLONG</t>
  </si>
  <si>
    <t>TRAZODONA 100 MG CP/CM/CM REC</t>
  </si>
  <si>
    <t>VASELINA LIQUIDA ESTERIL AM 10 ML</t>
  </si>
  <si>
    <t>CISPLATINO 50 MG/50 ML SOL. INY. FAM</t>
  </si>
  <si>
    <t>GEFITINIB 250 MG CM REC.</t>
  </si>
  <si>
    <t>IMATINIB 100 MG CP/CM REC.</t>
  </si>
  <si>
    <t>LIPEGFILGRASTIM 6MG/0,6ML SOL INYECT JRP</t>
  </si>
  <si>
    <t>ABRIL</t>
  </si>
  <si>
    <t>MAYO</t>
  </si>
  <si>
    <t>JUNIO</t>
  </si>
  <si>
    <t>AGOSTO</t>
  </si>
  <si>
    <t>COMPRAR</t>
  </si>
  <si>
    <t>NO COMPRAR</t>
  </si>
  <si>
    <t>NOMBRE GENERICO</t>
  </si>
  <si>
    <t>CANTIDAD UNITARIA PROGRAMADA</t>
  </si>
  <si>
    <t>CANTIDAD UNITARIA A DESPACHAR</t>
  </si>
  <si>
    <t>Q FALTANTE</t>
  </si>
  <si>
    <t>PORCENTAJE CUMPLIMIENTO</t>
  </si>
  <si>
    <t>ACICLOVIR 400 MG CM</t>
  </si>
  <si>
    <t>ALECTINIB 150 MG CP</t>
  </si>
  <si>
    <t>ATROPINA/PAPAVERINA 0,5/40 MG CM</t>
  </si>
  <si>
    <t>BETAM.FOSF.DISOD.4 MG/MLSOL.INY. AM/FAM</t>
  </si>
  <si>
    <t>BETAMETASONA FOSF/ACET 3/3MG 3A5 ML FAM</t>
  </si>
  <si>
    <t>BUPIVACAINA 0,5% SOL INY AM/FAM 10 ML</t>
  </si>
  <si>
    <t>CAPECITABINA 150 MG CM REC</t>
  </si>
  <si>
    <t>CEFTRIAXONA 1G POLVO SOL.INY I.M/I.V.FAM</t>
  </si>
  <si>
    <t>CIANOCOBALAMINA 0,1MG/1ML SOL.INY.AM/FAM</t>
  </si>
  <si>
    <t>CICLOFOSFAMIDA 1G FAM POLVO/POLVO LIOFIL</t>
  </si>
  <si>
    <t>CLOBETASOL 0,05% CREMA DERMICA 25 A 30 G</t>
  </si>
  <si>
    <t>DACARBAZINA 200 MG POLVO O LIOFILIZ. FAM</t>
  </si>
  <si>
    <t>DEXAM.FOSF.SODIC 4 MG/1ML SOL.INY AM/FAM</t>
  </si>
  <si>
    <t>DULOXETINA 60 MG CM REC ENT O CP ENT</t>
  </si>
  <si>
    <t>ENOXAPARINA 80 MG/0,8ML SOL.INY. JRP</t>
  </si>
  <si>
    <t>ERTAPENEM 1 G POL/LIOF SOL.INYECT. FAM</t>
  </si>
  <si>
    <t>ESCOPOLAM N-BUTIL BROMUR 20 MG/ML AM/FAM</t>
  </si>
  <si>
    <t>FENITOINA 100 MG CM LIB. RAPIDA</t>
  </si>
  <si>
    <t>FUMARATO FERROSO + VITAMINAS CM O CP</t>
  </si>
  <si>
    <t>FUROSEMIDA 20 MG/1-2 ML SOL. INY AM/FAM</t>
  </si>
  <si>
    <t>GABAPENTINA 400 MG CP/CM REC.</t>
  </si>
  <si>
    <t>GLUCOSA 10% 1000 ML ENV. SEMIRIGIDO</t>
  </si>
  <si>
    <t>GLUCOSA 5% ENV. SEMIRIGIDO 250 ML</t>
  </si>
  <si>
    <t>HIDROCORTISONA 1% CREMA TU/PM 10 A 20 G</t>
  </si>
  <si>
    <t>KETOROLACO 30 MG/ML SOL.INY. AM/FAM 1 ML</t>
  </si>
  <si>
    <t>LIDOCAINA 2% C/EPINEF. 1:100000 SOL.INY</t>
  </si>
  <si>
    <t>LOPERAMIDA 2MG CM/CP</t>
  </si>
  <si>
    <t>MIDAZOLAM 50 MG/10ML SOL.INY. AM/FAM</t>
  </si>
  <si>
    <t>MORFINA 20MG/1ML SOL.INY. AM</t>
  </si>
  <si>
    <t>NALOXONA 0,4 MG/ML 1 ML SOL. INY. AM</t>
  </si>
  <si>
    <t>NETUPITANT/PALONOSETRON 300/0,5MG CAP</t>
  </si>
  <si>
    <t>NILOTINIB 150 MG CP</t>
  </si>
  <si>
    <t>OCTREOTIDA 0,1 MG/ML SOL. INYECT. AM/FAM</t>
  </si>
  <si>
    <t>ONDANSETRON 8 MG CM BUCODISPERSABLES</t>
  </si>
  <si>
    <t>PARACETAMOL 10MG/ML INY FAM/AM/BOL 100ML</t>
  </si>
  <si>
    <t>PARACETAMOL 500 MG CM/CM REC</t>
  </si>
  <si>
    <t>PEMETREXED 500MG POLVO O LIOF. FAM.</t>
  </si>
  <si>
    <t>PREGABALINA 150 MG CM/CP</t>
  </si>
  <si>
    <t>SEVOFLURANO LIQ. P/INHALAC FRASCO 250 ML</t>
  </si>
  <si>
    <t>SODIO CLORURO 0,9% BOLSA 250 ML</t>
  </si>
  <si>
    <t>SODIO CLORURO 0,9% BOLSA 500 ML</t>
  </si>
  <si>
    <t>SUGAMMADEX 200 MG/ 2ML SOL.INYECT FAM</t>
  </si>
  <si>
    <t>SUXAMETONIO 100MG AM/FAM</t>
  </si>
  <si>
    <t>TEMOZOLOMIDA 20 MG CP</t>
  </si>
  <si>
    <t>TRASTUZUMAB EMTANSINA 160MG LIOF. FAM</t>
  </si>
  <si>
    <t>VANCOMICINA 1G POLVO O LIOF SOL. INY.FAM</t>
  </si>
  <si>
    <t>VASOPRESINA 20 U.I./ML SOL.INY AM</t>
  </si>
  <si>
    <t>VENLAFAXINA 75 MG CM/CP LIB PROL/OSMOT</t>
  </si>
  <si>
    <t>VINCRISTINA 1MG/ML SOL. INYECT I.V. FAM</t>
  </si>
  <si>
    <t>CLINDAMICINA 600 MG/4 ML SOL.INY. AM/FAM</t>
  </si>
  <si>
    <t>GLUCOSAL. ISOT ENV.SEMIRIGIDO 500ML</t>
  </si>
  <si>
    <t>LEVOCETIRIZINA 5 MG CM REC</t>
  </si>
  <si>
    <t>METRONIDAZOL 500 MG OVULO/CP VAGINAL</t>
  </si>
  <si>
    <t>CLORAMFENICOL 1% UNG OFT 3 A 5 G TU-PO</t>
  </si>
  <si>
    <t>COMPLEJO PROTROMBINA 500 UI FAM</t>
  </si>
  <si>
    <t>FENTANILO 0,5 MG/10 ML SOL. INY. AM/FAM</t>
  </si>
  <si>
    <t>GLUCOSA 30% 500ML ENV SEMIRRIG MATRAZ</t>
  </si>
  <si>
    <t>HIDROXICARBAMIDA 500 MG CP/CM</t>
  </si>
  <si>
    <t>IMIPENEM-CILASTATINA 500/500 MG LIOF FAM</t>
  </si>
  <si>
    <t>INSUL GLULI 100U/ML S/IN LAPIZ REUTIL+AG</t>
  </si>
  <si>
    <t>INSULINA NPH HUMANA 100 UI/ML FAM 10 ML</t>
  </si>
  <si>
    <t>MELFALAN 2 MG CM/CM RECUBIERTO</t>
  </si>
  <si>
    <t>POTASIO CLORURO 10% SOL. INY. AM 10 ML</t>
  </si>
  <si>
    <t>CEFTAZ/AVIBACTAM 2/0.5G SOL INYECT FAM</t>
  </si>
  <si>
    <t>MANITOL 15% BOLSA/ENV SEMIRIGIDO 500 ML</t>
  </si>
  <si>
    <t>ONDANSETRON 2MG/ML SOL.INY. AM O FAM 4ML</t>
  </si>
  <si>
    <t>PIRIDOXINA 100 MG/1 ML SOL. INY. AM/FAM</t>
  </si>
  <si>
    <t>PARGEVERINA 5 MG/ML SOL INY IV-IM AM 1ML</t>
  </si>
  <si>
    <t>SODIO CLORURO 10 % SOL INY IV AM 10 ML</t>
  </si>
  <si>
    <t>CODIGO GENERICO</t>
  </si>
  <si>
    <t>DEGARELIX 120MG LIOF P/SOL INY FAM</t>
  </si>
  <si>
    <t xml:space="preserve">JULIO </t>
  </si>
  <si>
    <t>CARBAMAZEPINA 400 MG CM LIB.PROLONG/SOST</t>
  </si>
  <si>
    <t>COMPRRA</t>
  </si>
  <si>
    <t>CANAL</t>
  </si>
  <si>
    <t>SEPTIEMBRE</t>
  </si>
  <si>
    <t>BUPRENORFINA SIST. TRANSDERMICO 10 MCG/H</t>
  </si>
  <si>
    <t>HALOPERIDOL 5 MG/1 ML SOL. INY. AM/FAM</t>
  </si>
  <si>
    <t>IPRATROPIO 0,25MG/ML SOL P/NEB FRA 20ML</t>
  </si>
  <si>
    <t>VINBLASTINA 10MG LIOF O PVO P.SO INY FAM</t>
  </si>
  <si>
    <t>EFEDRINA SULFATO 6% SOL. INY. AM/FAM 1ML</t>
  </si>
  <si>
    <t>TRAMADOL 100MG/ML SOL.ORAL FRASCO 10 ML</t>
  </si>
  <si>
    <t>OCTUBRE</t>
  </si>
  <si>
    <t>SULFAMET./TRIMETOPR. 400/80 MG/5ML AM</t>
  </si>
  <si>
    <t>ACIDO FOLINICO (LEUCOVORINA) 100MG/10ML</t>
  </si>
  <si>
    <t>DICIEMBRE</t>
  </si>
  <si>
    <t>CARBAMAZEPINA 200 MG CM/CM REC</t>
  </si>
  <si>
    <t>CLINDAMICINA 300 MG CP</t>
  </si>
  <si>
    <t>NO COMPRAR SIN PLAN ANUAL</t>
  </si>
  <si>
    <t>COLISTIMETATO 3.000.000 UI POLV/LIOF FAM</t>
  </si>
  <si>
    <t>FITOQUINONA 10 MG/1ML SOL IV/ORAL AM/FAM</t>
  </si>
  <si>
    <t>INMUNOGLOBULINA G HUMANA 5A10 GRAMOS FAM</t>
  </si>
  <si>
    <t>PACLITAXEL 300 MG/50 ML SOL. INY. FAM</t>
  </si>
  <si>
    <t>TRAMADOL 100 MG/2 ML SOL. INYECT. AM/FAM</t>
  </si>
  <si>
    <t>GLUCOSA 30% SOL. INY. I.V. AM/FAM 20 ML</t>
  </si>
  <si>
    <t>FEBRERO</t>
  </si>
  <si>
    <t>MARZO</t>
  </si>
  <si>
    <t>No Comprar</t>
  </si>
  <si>
    <t>Comprar</t>
  </si>
  <si>
    <t>ENERO</t>
  </si>
  <si>
    <t>NOVIEMBRE</t>
  </si>
  <si>
    <t>MES</t>
  </si>
  <si>
    <t>FALTANTE</t>
  </si>
  <si>
    <t>DANTROLENO 20 MG LIOF SOL INYEC.FAM</t>
  </si>
  <si>
    <t>NEOSTIGMINA 0,5 MG/1 ML SOL. INY. AM</t>
  </si>
  <si>
    <t>ESTADO DEL MATERIAL</t>
  </si>
  <si>
    <t>AMINOFILINA 250 MG/10 ML SOL.INY. AM/FAM</t>
  </si>
  <si>
    <t>BEVACIZUMAB 100 MG/4 ML SOL. P/INF. FAM</t>
  </si>
  <si>
    <t>DARATUMUMAB 1800MG/15ML SOL PERF FAM</t>
  </si>
  <si>
    <t>GENTAMICINA 80 MG/2ML SOL. INY. AM/FAM</t>
  </si>
  <si>
    <t>PANCREOLIPASA 25.000 U.F. EUR CP</t>
  </si>
  <si>
    <t>TRAZODONA 100 MG CM RANURADO</t>
  </si>
  <si>
    <t>APROBADO</t>
  </si>
  <si>
    <t>FEEBRERO</t>
  </si>
  <si>
    <t>METOTREXATO 500MG/20ML SOL INY FAM</t>
  </si>
  <si>
    <t>Etiquetas de fila</t>
  </si>
  <si>
    <t>Total general</t>
  </si>
  <si>
    <t>Cuenta de PORCENTAJE CUMPLIMIENTO</t>
  </si>
  <si>
    <t>MEPIVACAINA 3% S/VASOCONST. TU VIDRIO</t>
  </si>
  <si>
    <t>FITOQUINONA 10 MG/1 ML SOL INY IV AM/FAM</t>
  </si>
  <si>
    <t>GLUCOSAL ISOT. ENV.SEMIRIGIDO 1 L</t>
  </si>
  <si>
    <t>AMPICILINA 500 MG POLVO/POLVO LIOF FAM</t>
  </si>
  <si>
    <t>METAMIZOL 300 MG CM</t>
  </si>
  <si>
    <t>SODIO CLORURO 0,9% SOL INY IV AM 10 ML</t>
  </si>
  <si>
    <t>TRAZODONA 100 MG CM/CM REC</t>
  </si>
  <si>
    <t xml:space="preserve">ABRIL </t>
  </si>
  <si>
    <t xml:space="preserve">MAYO </t>
  </si>
  <si>
    <t>MESALAZINA 500 MG SUPOSITORIO</t>
  </si>
  <si>
    <t>TENECTEPLASA 10.000UI LIOF P/SOL INY FAM</t>
  </si>
  <si>
    <t xml:space="preserve">JUNIO </t>
  </si>
  <si>
    <t>AZACITIDINA 100MG LIOF P/SUSP. INY FAM</t>
  </si>
  <si>
    <t>GABAPENTINA 600 MG CP/CM REC.</t>
  </si>
  <si>
    <t>CALCITRIOL 0,25 MCG CP</t>
  </si>
  <si>
    <t>METOTREXATO 2,5 MG CM BLISTER</t>
  </si>
  <si>
    <t xml:space="preserve">AGOSTO </t>
  </si>
  <si>
    <t>DICEMBRE</t>
  </si>
  <si>
    <t>año</t>
  </si>
  <si>
    <t>Cuenta de NOMBRE GENERICO</t>
  </si>
  <si>
    <t>IC 2023</t>
  </si>
  <si>
    <t>Cuenta de TEMOZOLOMIDA 180 MG CP</t>
  </si>
  <si>
    <t>Cuenta de TRAMADOL 100MG CM REC/CP LIBER.PROLONG</t>
  </si>
  <si>
    <t>Medicamento</t>
  </si>
  <si>
    <t>N° veces de Incumplmiento</t>
  </si>
  <si>
    <t>SODIO CLORURO 0,9% 100 ML</t>
  </si>
  <si>
    <t>SODIO CLORURO 0,9% AM 20 ML</t>
  </si>
  <si>
    <t>SODIO CLORURO 10 % AM 10 ML</t>
  </si>
  <si>
    <t>LIDOCAINA 2% AM 5 ML</t>
  </si>
  <si>
    <t>TRAMADOL 100MG CM LP</t>
  </si>
  <si>
    <t>CIANOCOBALAMINA 0,1 MG /1ML  SOL.INY.AM/FAM</t>
  </si>
  <si>
    <t>DARATUMUMAB 1800 MG / 15ML SOL PERF FAM</t>
  </si>
  <si>
    <t>meses</t>
  </si>
  <si>
    <t>Año</t>
  </si>
  <si>
    <t>N° de Incumplimientos Informados</t>
  </si>
  <si>
    <t>Promedio Mensual Estimado</t>
  </si>
  <si>
    <t>Frecuencia de incumplimientos informados por CENABAST (2023–2025)</t>
  </si>
  <si>
    <t>ZGEN</t>
  </si>
  <si>
    <t>Producto (Nombre)</t>
  </si>
  <si>
    <t>Código</t>
  </si>
  <si>
    <t>Subunidad</t>
  </si>
  <si>
    <t>Clase Pareto</t>
  </si>
  <si>
    <t>Clase XYZ</t>
  </si>
  <si>
    <t>Incumplimientos</t>
  </si>
  <si>
    <t>Clindamicina 600 mg/4 mL solución inyectable (ampolla)</t>
  </si>
  <si>
    <t>FC (FH)</t>
  </si>
  <si>
    <t>C</t>
  </si>
  <si>
    <t>Z</t>
  </si>
  <si>
    <t>10 veces</t>
  </si>
  <si>
    <t>Sodio cloruro al 10% 10 mL solución inyectable (ampolla)</t>
  </si>
  <si>
    <t>8 veces</t>
  </si>
  <si>
    <t>Sodio cloruro al 0,9% 1000 mL solución intravenosa (bolsa)</t>
  </si>
  <si>
    <t>B</t>
  </si>
  <si>
    <t>Y</t>
  </si>
  <si>
    <t>7 veces</t>
  </si>
  <si>
    <t>Lidocaína al 2% 5 mL solución inyectable (ampolla)</t>
  </si>
  <si>
    <t>X</t>
  </si>
  <si>
    <t>6 veces</t>
  </si>
  <si>
    <t>Tramadol 100 mg/2 mL solución inyectable (ampolla)</t>
  </si>
  <si>
    <t>5 veces</t>
  </si>
  <si>
    <t>Octreotida 20 mg suspensión inyectable de liberación prolongada (frasco ampolla)</t>
  </si>
  <si>
    <t>FO (BD)</t>
  </si>
  <si>
    <t>4 veces</t>
  </si>
  <si>
    <t>Cianocobalamina 0,1 mg/1 mL (Vitamina B12) sol. inyectable (ampolla)</t>
  </si>
  <si>
    <t>Colistimetato de sodio 1.000.000 UI polvo p/sol. iny. (frasco)</t>
  </si>
  <si>
    <t>N/D</t>
  </si>
  <si>
    <t>Daratumumab (solución inyectable intravenosa)</t>
  </si>
  <si>
    <t>3 veces</t>
  </si>
  <si>
    <t>Lipegfilgrastim 6 mg (jeringa precargada)</t>
  </si>
  <si>
    <t>Dasatinib 100 mg comprimidos recubiertos (vía oral)</t>
  </si>
  <si>
    <t>Cisplatino 50 mg/50 mL solución inyectable (frasco)</t>
  </si>
  <si>
    <t>Fitomenadiona 10 mg/1 mL (Vitamina K₁) solución inyectable (ampolla)</t>
  </si>
  <si>
    <t>Imatinib 100 mg comprimidos (vía oral)</t>
  </si>
  <si>
    <t>Mes/año</t>
  </si>
  <si>
    <t>N°pedidos recibidos</t>
  </si>
  <si>
    <t>N°pedidos solicitados</t>
  </si>
  <si>
    <t>N° Productos Faltantes</t>
  </si>
  <si>
    <t>N° OC por faltantes</t>
  </si>
  <si>
    <t>% Cumplimiento</t>
  </si>
  <si>
    <t xml:space="preserve">Frecuencia de incumplimiento y Nivel de cumplimiento informado por CENABAST (2023-2025) </t>
  </si>
  <si>
    <t>Este se hizo con resgistros internos</t>
  </si>
  <si>
    <t>Registros CENABAST</t>
  </si>
  <si>
    <t>N° pedidos solicitados</t>
  </si>
  <si>
    <t>N° pedidos recibidos</t>
  </si>
  <si>
    <t>Gráfico de número de pedidos v/s porcentajes de cumplimiento de la CENABAST. Fuente: Información recopilada (CENABAST, Reporte cumplimiento de intermediación, junio 2025)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</si>
</sst>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7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7"/>
      <color rgb="FF333333"/>
      <name val="Arial"/>
      <family val="2"/>
    </font>
    <font>
      <b/>
      <sz val="7"/>
      <color rgb="FF333333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FFFFF"/>
        <bgColor indexed="64"/>
      </patternFill>
    </fill>
    <fill>
      <patternFill patternType="solid">
        <fgColor rgb="FFF9F9F9"/>
        <bgColor indexed="64"/>
      </patternFill>
    </fill>
    <fill>
      <patternFill patternType="solid">
        <fgColor rgb="FFF5F5F5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theme="4" tint="0.39997558519241921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rgb="FF337AB7"/>
      </left>
      <right style="medium">
        <color rgb="FF337AB7"/>
      </right>
      <top style="medium">
        <color rgb="FF337AB7"/>
      </top>
      <bottom style="medium">
        <color rgb="FF337AB7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32">
    <xf numFmtId="0" fontId="0" fillId="0" borderId="0" xfId="0"/>
    <xf numFmtId="9" fontId="0" fillId="0" borderId="0" xfId="0" applyNumberFormat="1"/>
    <xf numFmtId="9" fontId="0" fillId="0" borderId="0" xfId="1" applyFont="1"/>
    <xf numFmtId="0" fontId="0" fillId="0" borderId="0" xfId="0" pivotButton="1"/>
    <xf numFmtId="0" fontId="0" fillId="0" borderId="0" xfId="0" applyAlignment="1">
      <alignment horizontal="left"/>
    </xf>
    <xf numFmtId="0" fontId="0" fillId="0" borderId="1" xfId="0" applyBorder="1"/>
    <xf numFmtId="0" fontId="3" fillId="2" borderId="1" xfId="0" applyFont="1" applyFill="1" applyBorder="1" applyAlignment="1">
      <alignment horizontal="center"/>
    </xf>
    <xf numFmtId="0" fontId="3" fillId="3" borderId="2" xfId="0" applyFont="1" applyFill="1" applyBorder="1"/>
    <xf numFmtId="0" fontId="4" fillId="0" borderId="0" xfId="0" applyFont="1" applyAlignment="1">
      <alignment horizontal="left"/>
    </xf>
    <xf numFmtId="10" fontId="0" fillId="0" borderId="0" xfId="1" applyNumberFormat="1" applyFont="1"/>
    <xf numFmtId="0" fontId="0" fillId="0" borderId="0" xfId="0" applyAlignment="1">
      <alignment horizontal="center"/>
    </xf>
    <xf numFmtId="0" fontId="0" fillId="2" borderId="1" xfId="0" applyFill="1" applyBorder="1" applyAlignment="1">
      <alignment horizontal="center"/>
    </xf>
    <xf numFmtId="0" fontId="0" fillId="0" borderId="1" xfId="0" applyBorder="1" applyAlignment="1">
      <alignment horizontal="center"/>
    </xf>
    <xf numFmtId="2" fontId="0" fillId="0" borderId="1" xfId="0" applyNumberFormat="1" applyBorder="1" applyAlignment="1">
      <alignment horizontal="center"/>
    </xf>
    <xf numFmtId="0" fontId="0" fillId="0" borderId="0" xfId="0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0" fillId="0" borderId="0" xfId="0" applyAlignment="1">
      <alignment horizontal="right" vertical="center" wrapText="1"/>
    </xf>
    <xf numFmtId="0" fontId="3" fillId="0" borderId="0" xfId="0" applyFont="1" applyAlignment="1">
      <alignment horizontal="right" vertical="center" wrapText="1"/>
    </xf>
    <xf numFmtId="0" fontId="5" fillId="5" borderId="5" xfId="0" applyFont="1" applyFill="1" applyBorder="1" applyAlignment="1">
      <alignment horizontal="center" vertical="center" wrapText="1"/>
    </xf>
    <xf numFmtId="0" fontId="5" fillId="4" borderId="5" xfId="0" applyFont="1" applyFill="1" applyBorder="1" applyAlignment="1">
      <alignment horizontal="center" vertical="center" wrapText="1"/>
    </xf>
    <xf numFmtId="0" fontId="5" fillId="6" borderId="5" xfId="0" applyFont="1" applyFill="1" applyBorder="1" applyAlignment="1">
      <alignment horizontal="center" vertical="center" wrapText="1"/>
    </xf>
    <xf numFmtId="17" fontId="5" fillId="5" borderId="5" xfId="0" applyNumberFormat="1" applyFont="1" applyFill="1" applyBorder="1" applyAlignment="1">
      <alignment horizontal="center" vertical="center" wrapText="1"/>
    </xf>
    <xf numFmtId="9" fontId="0" fillId="0" borderId="1" xfId="1" applyFont="1" applyBorder="1" applyAlignment="1">
      <alignment horizontal="center"/>
    </xf>
    <xf numFmtId="164" fontId="5" fillId="4" borderId="5" xfId="1" applyNumberFormat="1" applyFont="1" applyFill="1" applyBorder="1" applyAlignment="1">
      <alignment horizontal="center" vertical="center" wrapText="1"/>
    </xf>
    <xf numFmtId="0" fontId="6" fillId="5" borderId="5" xfId="0" applyFont="1" applyFill="1" applyBorder="1" applyAlignment="1">
      <alignment horizontal="center" vertical="center" wrapText="1"/>
    </xf>
    <xf numFmtId="0" fontId="6" fillId="6" borderId="5" xfId="0" applyFont="1" applyFill="1" applyBorder="1" applyAlignment="1">
      <alignment horizontal="center" vertical="center" wrapText="1"/>
    </xf>
    <xf numFmtId="0" fontId="6" fillId="4" borderId="5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wrapText="1"/>
    </xf>
    <xf numFmtId="1" fontId="0" fillId="0" borderId="1" xfId="0" applyNumberFormat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</cellXfs>
  <cellStyles count="2">
    <cellStyle name="Normal" xfId="0" builtinId="0"/>
    <cellStyle name="Porcentaj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pivotCacheDefinition" Target="pivotCache/pivotCacheDefinition2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microsoft.com/office/2017/10/relationships/person" Target="persons/person.xml"/><Relationship Id="rId7" Type="http://schemas.openxmlformats.org/officeDocument/2006/relationships/worksheet" Target="worksheets/sheet7.xml"/><Relationship Id="rId12" Type="http://schemas.openxmlformats.org/officeDocument/2006/relationships/pivotCacheDefinition" Target="pivotCache/pivotCacheDefinition1.xml"/><Relationship Id="rId17" Type="http://schemas.openxmlformats.org/officeDocument/2006/relationships/pivotCacheDefinition" Target="pivotCache/pivotCacheDefinition6.xml"/><Relationship Id="rId2" Type="http://schemas.openxmlformats.org/officeDocument/2006/relationships/worksheet" Target="worksheets/sheet2.xml"/><Relationship Id="rId16" Type="http://schemas.openxmlformats.org/officeDocument/2006/relationships/pivotCacheDefinition" Target="pivotCache/pivotCacheDefinition5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pivotCacheDefinition" Target="pivotCache/pivotCacheDefinition4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pivotCacheDefinition" Target="pivotCache/pivotCacheDefinition3.xml"/><Relationship Id="rId22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100" b="1"/>
              <a:t>Gráfico de número de pedidos v/s porcentajes de cumplimiento de la CENABAST.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'Anexo Cumplimiento Cenabast '!$B$2</c:f>
              <c:strCache>
                <c:ptCount val="1"/>
                <c:pt idx="0">
                  <c:v>N°pedidos recibidos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'Anexo Cumplimiento Cenabast '!$A$3:$A$31</c:f>
              <c:numCache>
                <c:formatCode>mmm\-yy</c:formatCode>
                <c:ptCount val="29"/>
                <c:pt idx="0">
                  <c:v>44927</c:v>
                </c:pt>
                <c:pt idx="1">
                  <c:v>44958</c:v>
                </c:pt>
                <c:pt idx="2">
                  <c:v>44986</c:v>
                </c:pt>
                <c:pt idx="3">
                  <c:v>45017</c:v>
                </c:pt>
                <c:pt idx="4">
                  <c:v>45047</c:v>
                </c:pt>
                <c:pt idx="5">
                  <c:v>45078</c:v>
                </c:pt>
                <c:pt idx="6">
                  <c:v>45108</c:v>
                </c:pt>
                <c:pt idx="7">
                  <c:v>45139</c:v>
                </c:pt>
                <c:pt idx="8">
                  <c:v>45170</c:v>
                </c:pt>
                <c:pt idx="9">
                  <c:v>45200</c:v>
                </c:pt>
                <c:pt idx="10">
                  <c:v>45231</c:v>
                </c:pt>
                <c:pt idx="11">
                  <c:v>45261</c:v>
                </c:pt>
                <c:pt idx="12">
                  <c:v>45292</c:v>
                </c:pt>
                <c:pt idx="13">
                  <c:v>45323</c:v>
                </c:pt>
                <c:pt idx="14">
                  <c:v>45352</c:v>
                </c:pt>
                <c:pt idx="15">
                  <c:v>45383</c:v>
                </c:pt>
                <c:pt idx="16">
                  <c:v>45413</c:v>
                </c:pt>
                <c:pt idx="17">
                  <c:v>45444</c:v>
                </c:pt>
                <c:pt idx="18">
                  <c:v>45474</c:v>
                </c:pt>
                <c:pt idx="19">
                  <c:v>45505</c:v>
                </c:pt>
                <c:pt idx="20">
                  <c:v>45536</c:v>
                </c:pt>
                <c:pt idx="21">
                  <c:v>45566</c:v>
                </c:pt>
                <c:pt idx="22">
                  <c:v>45597</c:v>
                </c:pt>
                <c:pt idx="23">
                  <c:v>45627</c:v>
                </c:pt>
                <c:pt idx="24">
                  <c:v>45658</c:v>
                </c:pt>
                <c:pt idx="25">
                  <c:v>45689</c:v>
                </c:pt>
                <c:pt idx="26">
                  <c:v>45717</c:v>
                </c:pt>
                <c:pt idx="27">
                  <c:v>45748</c:v>
                </c:pt>
                <c:pt idx="28">
                  <c:v>45778</c:v>
                </c:pt>
              </c:numCache>
            </c:numRef>
          </c:cat>
          <c:val>
            <c:numRef>
              <c:f>'Anexo Cumplimiento Cenabast '!$B$3:$B$31</c:f>
              <c:numCache>
                <c:formatCode>General</c:formatCode>
                <c:ptCount val="29"/>
                <c:pt idx="0">
                  <c:v>271</c:v>
                </c:pt>
                <c:pt idx="1">
                  <c:v>249</c:v>
                </c:pt>
                <c:pt idx="2">
                  <c:v>264</c:v>
                </c:pt>
                <c:pt idx="3">
                  <c:v>267</c:v>
                </c:pt>
                <c:pt idx="4">
                  <c:v>302</c:v>
                </c:pt>
                <c:pt idx="5">
                  <c:v>303</c:v>
                </c:pt>
                <c:pt idx="6">
                  <c:v>299</c:v>
                </c:pt>
                <c:pt idx="7">
                  <c:v>189</c:v>
                </c:pt>
                <c:pt idx="8">
                  <c:v>233</c:v>
                </c:pt>
                <c:pt idx="9">
                  <c:v>230</c:v>
                </c:pt>
                <c:pt idx="10">
                  <c:v>248</c:v>
                </c:pt>
                <c:pt idx="11">
                  <c:v>216</c:v>
                </c:pt>
                <c:pt idx="12">
                  <c:v>284</c:v>
                </c:pt>
                <c:pt idx="13">
                  <c:v>231</c:v>
                </c:pt>
                <c:pt idx="14">
                  <c:v>254</c:v>
                </c:pt>
                <c:pt idx="15">
                  <c:v>248</c:v>
                </c:pt>
                <c:pt idx="16">
                  <c:v>239</c:v>
                </c:pt>
                <c:pt idx="17">
                  <c:v>236</c:v>
                </c:pt>
                <c:pt idx="18">
                  <c:v>219</c:v>
                </c:pt>
                <c:pt idx="19">
                  <c:v>189</c:v>
                </c:pt>
                <c:pt idx="20">
                  <c:v>212</c:v>
                </c:pt>
                <c:pt idx="21">
                  <c:v>221</c:v>
                </c:pt>
                <c:pt idx="22">
                  <c:v>220</c:v>
                </c:pt>
                <c:pt idx="23">
                  <c:v>251</c:v>
                </c:pt>
                <c:pt idx="24">
                  <c:v>295</c:v>
                </c:pt>
                <c:pt idx="25">
                  <c:v>227</c:v>
                </c:pt>
                <c:pt idx="26">
                  <c:v>214</c:v>
                </c:pt>
                <c:pt idx="27">
                  <c:v>225</c:v>
                </c:pt>
                <c:pt idx="28">
                  <c:v>217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6F0-438F-8FE1-EC40988C243F}"/>
            </c:ext>
          </c:extLst>
        </c:ser>
        <c:ser>
          <c:idx val="1"/>
          <c:order val="1"/>
          <c:tx>
            <c:strRef>
              <c:f>'Anexo Cumplimiento Cenabast '!$C$2</c:f>
              <c:strCache>
                <c:ptCount val="1"/>
                <c:pt idx="0">
                  <c:v>N° Productos Faltantes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'Anexo Cumplimiento Cenabast '!$A$3:$A$31</c:f>
              <c:numCache>
                <c:formatCode>mmm\-yy</c:formatCode>
                <c:ptCount val="29"/>
                <c:pt idx="0">
                  <c:v>44927</c:v>
                </c:pt>
                <c:pt idx="1">
                  <c:v>44958</c:v>
                </c:pt>
                <c:pt idx="2">
                  <c:v>44986</c:v>
                </c:pt>
                <c:pt idx="3">
                  <c:v>45017</c:v>
                </c:pt>
                <c:pt idx="4">
                  <c:v>45047</c:v>
                </c:pt>
                <c:pt idx="5">
                  <c:v>45078</c:v>
                </c:pt>
                <c:pt idx="6">
                  <c:v>45108</c:v>
                </c:pt>
                <c:pt idx="7">
                  <c:v>45139</c:v>
                </c:pt>
                <c:pt idx="8">
                  <c:v>45170</c:v>
                </c:pt>
                <c:pt idx="9">
                  <c:v>45200</c:v>
                </c:pt>
                <c:pt idx="10">
                  <c:v>45231</c:v>
                </c:pt>
                <c:pt idx="11">
                  <c:v>45261</c:v>
                </c:pt>
                <c:pt idx="12">
                  <c:v>45292</c:v>
                </c:pt>
                <c:pt idx="13">
                  <c:v>45323</c:v>
                </c:pt>
                <c:pt idx="14">
                  <c:v>45352</c:v>
                </c:pt>
                <c:pt idx="15">
                  <c:v>45383</c:v>
                </c:pt>
                <c:pt idx="16">
                  <c:v>45413</c:v>
                </c:pt>
                <c:pt idx="17">
                  <c:v>45444</c:v>
                </c:pt>
                <c:pt idx="18">
                  <c:v>45474</c:v>
                </c:pt>
                <c:pt idx="19">
                  <c:v>45505</c:v>
                </c:pt>
                <c:pt idx="20">
                  <c:v>45536</c:v>
                </c:pt>
                <c:pt idx="21">
                  <c:v>45566</c:v>
                </c:pt>
                <c:pt idx="22">
                  <c:v>45597</c:v>
                </c:pt>
                <c:pt idx="23">
                  <c:v>45627</c:v>
                </c:pt>
                <c:pt idx="24">
                  <c:v>45658</c:v>
                </c:pt>
                <c:pt idx="25">
                  <c:v>45689</c:v>
                </c:pt>
                <c:pt idx="26">
                  <c:v>45717</c:v>
                </c:pt>
                <c:pt idx="27">
                  <c:v>45748</c:v>
                </c:pt>
                <c:pt idx="28">
                  <c:v>45778</c:v>
                </c:pt>
              </c:numCache>
            </c:numRef>
          </c:cat>
          <c:val>
            <c:numRef>
              <c:f>'Anexo Cumplimiento Cenabast '!$C$3:$C$31</c:f>
              <c:numCache>
                <c:formatCode>General</c:formatCode>
                <c:ptCount val="29"/>
                <c:pt idx="0">
                  <c:v>14</c:v>
                </c:pt>
                <c:pt idx="1">
                  <c:v>13</c:v>
                </c:pt>
                <c:pt idx="2">
                  <c:v>15</c:v>
                </c:pt>
                <c:pt idx="3">
                  <c:v>11</c:v>
                </c:pt>
                <c:pt idx="4">
                  <c:v>17</c:v>
                </c:pt>
                <c:pt idx="5">
                  <c:v>25</c:v>
                </c:pt>
                <c:pt idx="6">
                  <c:v>9</c:v>
                </c:pt>
                <c:pt idx="7">
                  <c:v>10</c:v>
                </c:pt>
                <c:pt idx="8">
                  <c:v>22</c:v>
                </c:pt>
                <c:pt idx="9">
                  <c:v>15</c:v>
                </c:pt>
                <c:pt idx="10">
                  <c:v>13</c:v>
                </c:pt>
                <c:pt idx="11">
                  <c:v>9</c:v>
                </c:pt>
                <c:pt idx="12">
                  <c:v>17</c:v>
                </c:pt>
                <c:pt idx="13">
                  <c:v>10</c:v>
                </c:pt>
                <c:pt idx="14">
                  <c:v>21</c:v>
                </c:pt>
                <c:pt idx="15">
                  <c:v>11</c:v>
                </c:pt>
                <c:pt idx="16">
                  <c:v>19</c:v>
                </c:pt>
                <c:pt idx="17">
                  <c:v>13</c:v>
                </c:pt>
                <c:pt idx="18">
                  <c:v>15</c:v>
                </c:pt>
                <c:pt idx="19">
                  <c:v>10</c:v>
                </c:pt>
                <c:pt idx="20">
                  <c:v>14</c:v>
                </c:pt>
                <c:pt idx="21">
                  <c:v>13</c:v>
                </c:pt>
                <c:pt idx="22">
                  <c:v>15</c:v>
                </c:pt>
                <c:pt idx="23">
                  <c:v>10</c:v>
                </c:pt>
                <c:pt idx="24">
                  <c:v>15</c:v>
                </c:pt>
                <c:pt idx="25">
                  <c:v>9</c:v>
                </c:pt>
                <c:pt idx="26">
                  <c:v>12</c:v>
                </c:pt>
                <c:pt idx="27">
                  <c:v>7</c:v>
                </c:pt>
                <c:pt idx="28">
                  <c:v>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6F0-438F-8FE1-EC40988C243F}"/>
            </c:ext>
          </c:extLst>
        </c:ser>
        <c:ser>
          <c:idx val="2"/>
          <c:order val="2"/>
          <c:tx>
            <c:strRef>
              <c:f>'Anexo Cumplimiento Cenabast '!$D$2</c:f>
              <c:strCache>
                <c:ptCount val="1"/>
                <c:pt idx="0">
                  <c:v>N° pedidos solicitados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'Anexo Cumplimiento Cenabast '!$A$3:$A$31</c:f>
              <c:numCache>
                <c:formatCode>mmm\-yy</c:formatCode>
                <c:ptCount val="29"/>
                <c:pt idx="0">
                  <c:v>44927</c:v>
                </c:pt>
                <c:pt idx="1">
                  <c:v>44958</c:v>
                </c:pt>
                <c:pt idx="2">
                  <c:v>44986</c:v>
                </c:pt>
                <c:pt idx="3">
                  <c:v>45017</c:v>
                </c:pt>
                <c:pt idx="4">
                  <c:v>45047</c:v>
                </c:pt>
                <c:pt idx="5">
                  <c:v>45078</c:v>
                </c:pt>
                <c:pt idx="6">
                  <c:v>45108</c:v>
                </c:pt>
                <c:pt idx="7">
                  <c:v>45139</c:v>
                </c:pt>
                <c:pt idx="8">
                  <c:v>45170</c:v>
                </c:pt>
                <c:pt idx="9">
                  <c:v>45200</c:v>
                </c:pt>
                <c:pt idx="10">
                  <c:v>45231</c:v>
                </c:pt>
                <c:pt idx="11">
                  <c:v>45261</c:v>
                </c:pt>
                <c:pt idx="12">
                  <c:v>45292</c:v>
                </c:pt>
                <c:pt idx="13">
                  <c:v>45323</c:v>
                </c:pt>
                <c:pt idx="14">
                  <c:v>45352</c:v>
                </c:pt>
                <c:pt idx="15">
                  <c:v>45383</c:v>
                </c:pt>
                <c:pt idx="16">
                  <c:v>45413</c:v>
                </c:pt>
                <c:pt idx="17">
                  <c:v>45444</c:v>
                </c:pt>
                <c:pt idx="18">
                  <c:v>45474</c:v>
                </c:pt>
                <c:pt idx="19">
                  <c:v>45505</c:v>
                </c:pt>
                <c:pt idx="20">
                  <c:v>45536</c:v>
                </c:pt>
                <c:pt idx="21">
                  <c:v>45566</c:v>
                </c:pt>
                <c:pt idx="22">
                  <c:v>45597</c:v>
                </c:pt>
                <c:pt idx="23">
                  <c:v>45627</c:v>
                </c:pt>
                <c:pt idx="24">
                  <c:v>45658</c:v>
                </c:pt>
                <c:pt idx="25">
                  <c:v>45689</c:v>
                </c:pt>
                <c:pt idx="26">
                  <c:v>45717</c:v>
                </c:pt>
                <c:pt idx="27">
                  <c:v>45748</c:v>
                </c:pt>
                <c:pt idx="28">
                  <c:v>45778</c:v>
                </c:pt>
              </c:numCache>
            </c:numRef>
          </c:cat>
          <c:val>
            <c:numRef>
              <c:f>'Anexo Cumplimiento Cenabast '!$D$3:$D$31</c:f>
              <c:numCache>
                <c:formatCode>General</c:formatCode>
                <c:ptCount val="29"/>
                <c:pt idx="0">
                  <c:v>287</c:v>
                </c:pt>
                <c:pt idx="1">
                  <c:v>262</c:v>
                </c:pt>
                <c:pt idx="2">
                  <c:v>280</c:v>
                </c:pt>
                <c:pt idx="3">
                  <c:v>288</c:v>
                </c:pt>
                <c:pt idx="4">
                  <c:v>322</c:v>
                </c:pt>
                <c:pt idx="5">
                  <c:v>331</c:v>
                </c:pt>
                <c:pt idx="6">
                  <c:v>311</c:v>
                </c:pt>
                <c:pt idx="7">
                  <c:v>218</c:v>
                </c:pt>
                <c:pt idx="8">
                  <c:v>259</c:v>
                </c:pt>
                <c:pt idx="9">
                  <c:v>247</c:v>
                </c:pt>
                <c:pt idx="10">
                  <c:v>262</c:v>
                </c:pt>
                <c:pt idx="11">
                  <c:v>226</c:v>
                </c:pt>
                <c:pt idx="12">
                  <c:v>301</c:v>
                </c:pt>
                <c:pt idx="13">
                  <c:v>252</c:v>
                </c:pt>
                <c:pt idx="14">
                  <c:v>280</c:v>
                </c:pt>
                <c:pt idx="15">
                  <c:v>272</c:v>
                </c:pt>
                <c:pt idx="16">
                  <c:v>264</c:v>
                </c:pt>
                <c:pt idx="17">
                  <c:v>256</c:v>
                </c:pt>
                <c:pt idx="18">
                  <c:v>242</c:v>
                </c:pt>
                <c:pt idx="19">
                  <c:v>218</c:v>
                </c:pt>
                <c:pt idx="20">
                  <c:v>236</c:v>
                </c:pt>
                <c:pt idx="21">
                  <c:v>242</c:v>
                </c:pt>
                <c:pt idx="22">
                  <c:v>244</c:v>
                </c:pt>
                <c:pt idx="23">
                  <c:v>272</c:v>
                </c:pt>
                <c:pt idx="24">
                  <c:v>325</c:v>
                </c:pt>
                <c:pt idx="25">
                  <c:v>254</c:v>
                </c:pt>
                <c:pt idx="26">
                  <c:v>250</c:v>
                </c:pt>
                <c:pt idx="27">
                  <c:v>255</c:v>
                </c:pt>
                <c:pt idx="28">
                  <c:v>245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6F0-438F-8FE1-EC40988C24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7886944"/>
        <c:axId val="127870624"/>
      </c:barChart>
      <c:lineChart>
        <c:grouping val="standard"/>
        <c:varyColors val="0"/>
        <c:ser>
          <c:idx val="3"/>
          <c:order val="3"/>
          <c:tx>
            <c:strRef>
              <c:f>'Anexo Cumplimiento Cenabast '!$E$2</c:f>
              <c:strCache>
                <c:ptCount val="1"/>
                <c:pt idx="0">
                  <c:v>% Cumplimiento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'Anexo Cumplimiento Cenabast '!$A$3:$A$31</c:f>
              <c:numCache>
                <c:formatCode>mmm\-yy</c:formatCode>
                <c:ptCount val="29"/>
                <c:pt idx="0">
                  <c:v>44927</c:v>
                </c:pt>
                <c:pt idx="1">
                  <c:v>44958</c:v>
                </c:pt>
                <c:pt idx="2">
                  <c:v>44986</c:v>
                </c:pt>
                <c:pt idx="3">
                  <c:v>45017</c:v>
                </c:pt>
                <c:pt idx="4">
                  <c:v>45047</c:v>
                </c:pt>
                <c:pt idx="5">
                  <c:v>45078</c:v>
                </c:pt>
                <c:pt idx="6">
                  <c:v>45108</c:v>
                </c:pt>
                <c:pt idx="7">
                  <c:v>45139</c:v>
                </c:pt>
                <c:pt idx="8">
                  <c:v>45170</c:v>
                </c:pt>
                <c:pt idx="9">
                  <c:v>45200</c:v>
                </c:pt>
                <c:pt idx="10">
                  <c:v>45231</c:v>
                </c:pt>
                <c:pt idx="11">
                  <c:v>45261</c:v>
                </c:pt>
                <c:pt idx="12">
                  <c:v>45292</c:v>
                </c:pt>
                <c:pt idx="13">
                  <c:v>45323</c:v>
                </c:pt>
                <c:pt idx="14">
                  <c:v>45352</c:v>
                </c:pt>
                <c:pt idx="15">
                  <c:v>45383</c:v>
                </c:pt>
                <c:pt idx="16">
                  <c:v>45413</c:v>
                </c:pt>
                <c:pt idx="17">
                  <c:v>45444</c:v>
                </c:pt>
                <c:pt idx="18">
                  <c:v>45474</c:v>
                </c:pt>
                <c:pt idx="19">
                  <c:v>45505</c:v>
                </c:pt>
                <c:pt idx="20">
                  <c:v>45536</c:v>
                </c:pt>
                <c:pt idx="21">
                  <c:v>45566</c:v>
                </c:pt>
                <c:pt idx="22">
                  <c:v>45597</c:v>
                </c:pt>
                <c:pt idx="23">
                  <c:v>45627</c:v>
                </c:pt>
                <c:pt idx="24">
                  <c:v>45658</c:v>
                </c:pt>
                <c:pt idx="25">
                  <c:v>45689</c:v>
                </c:pt>
                <c:pt idx="26">
                  <c:v>45717</c:v>
                </c:pt>
                <c:pt idx="27">
                  <c:v>45748</c:v>
                </c:pt>
                <c:pt idx="28">
                  <c:v>45778</c:v>
                </c:pt>
              </c:numCache>
            </c:numRef>
          </c:cat>
          <c:val>
            <c:numRef>
              <c:f>'Anexo Cumplimiento Cenabast '!$E$3:$E$31</c:f>
              <c:numCache>
                <c:formatCode>0.0%</c:formatCode>
                <c:ptCount val="29"/>
                <c:pt idx="0">
                  <c:v>0.94425087108013939</c:v>
                </c:pt>
                <c:pt idx="1">
                  <c:v>0.95038167938931295</c:v>
                </c:pt>
                <c:pt idx="2">
                  <c:v>0.94285714285714284</c:v>
                </c:pt>
                <c:pt idx="3">
                  <c:v>0.92708333333333337</c:v>
                </c:pt>
                <c:pt idx="4">
                  <c:v>0.93788819875776397</c:v>
                </c:pt>
                <c:pt idx="5">
                  <c:v>0.9154078549848943</c:v>
                </c:pt>
                <c:pt idx="6">
                  <c:v>0.96141479099678462</c:v>
                </c:pt>
                <c:pt idx="7">
                  <c:v>0.8669724770642202</c:v>
                </c:pt>
                <c:pt idx="8">
                  <c:v>0.89961389961389959</c:v>
                </c:pt>
                <c:pt idx="9">
                  <c:v>0.93117408906882593</c:v>
                </c:pt>
                <c:pt idx="10">
                  <c:v>0.94656488549618323</c:v>
                </c:pt>
                <c:pt idx="11">
                  <c:v>0.95575221238938057</c:v>
                </c:pt>
                <c:pt idx="12">
                  <c:v>0.94352159468438535</c:v>
                </c:pt>
                <c:pt idx="13">
                  <c:v>0.91666666666666663</c:v>
                </c:pt>
                <c:pt idx="14">
                  <c:v>0.90714285714285714</c:v>
                </c:pt>
                <c:pt idx="15">
                  <c:v>0.91176470588235292</c:v>
                </c:pt>
                <c:pt idx="16">
                  <c:v>0.90530303030303028</c:v>
                </c:pt>
                <c:pt idx="17">
                  <c:v>0.921875</c:v>
                </c:pt>
                <c:pt idx="18">
                  <c:v>0.9049586776859504</c:v>
                </c:pt>
                <c:pt idx="19">
                  <c:v>0.8669724770642202</c:v>
                </c:pt>
                <c:pt idx="20">
                  <c:v>0.89830508474576276</c:v>
                </c:pt>
                <c:pt idx="21">
                  <c:v>0.91322314049586772</c:v>
                </c:pt>
                <c:pt idx="22">
                  <c:v>0.90163934426229508</c:v>
                </c:pt>
                <c:pt idx="23">
                  <c:v>0.92279411764705888</c:v>
                </c:pt>
                <c:pt idx="24">
                  <c:v>0.90769230769230769</c:v>
                </c:pt>
                <c:pt idx="25">
                  <c:v>0.89370078740157477</c:v>
                </c:pt>
                <c:pt idx="26">
                  <c:v>0.85599999999999998</c:v>
                </c:pt>
                <c:pt idx="27">
                  <c:v>0.88235294117647056</c:v>
                </c:pt>
                <c:pt idx="28">
                  <c:v>0.88571428571428568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56F0-438F-8FE1-EC40988C24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7891264"/>
        <c:axId val="127897024"/>
      </c:lineChart>
      <c:dateAx>
        <c:axId val="127886944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127870624"/>
        <c:crosses val="autoZero"/>
        <c:auto val="1"/>
        <c:lblOffset val="100"/>
        <c:baseTimeUnit val="months"/>
      </c:dateAx>
      <c:valAx>
        <c:axId val="1278706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127886944"/>
        <c:crosses val="autoZero"/>
        <c:crossBetween val="between"/>
      </c:valAx>
      <c:valAx>
        <c:axId val="127897024"/>
        <c:scaling>
          <c:orientation val="minMax"/>
        </c:scaling>
        <c:delete val="0"/>
        <c:axPos val="r"/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127891264"/>
        <c:crosses val="max"/>
        <c:crossBetween val="between"/>
      </c:valAx>
      <c:dateAx>
        <c:axId val="127891264"/>
        <c:scaling>
          <c:orientation val="minMax"/>
        </c:scaling>
        <c:delete val="1"/>
        <c:axPos val="b"/>
        <c:numFmt formatCode="mmm\-yy" sourceLinked="1"/>
        <c:majorTickMark val="out"/>
        <c:minorTickMark val="none"/>
        <c:tickLblPos val="nextTo"/>
        <c:crossAx val="127897024"/>
        <c:crosses val="autoZero"/>
        <c:auto val="1"/>
        <c:lblOffset val="100"/>
        <c:baseTimeUnit val="months"/>
      </c:date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L" sz="1400" b="0" i="0" u="none" strike="noStrike" baseline="0"/>
              <a:t>Frecuencia de incumplimiento por medicamento según reportes CENABAST (2023–mayo 2025)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'IC 0% 2023-2025 Resultados'!$J$7</c:f>
              <c:strCache>
                <c:ptCount val="1"/>
                <c:pt idx="0">
                  <c:v>N° veces de Incumplmiento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'IC 0% 2023-2025 Resultados'!$I$8:$I$22</c:f>
              <c:strCache>
                <c:ptCount val="15"/>
                <c:pt idx="0">
                  <c:v>CLINDAMICINA 600 MG/4 ML SOL.INY. AM/FAM</c:v>
                </c:pt>
                <c:pt idx="1">
                  <c:v>SODIO CLORURO 10 % AM 10 ML</c:v>
                </c:pt>
                <c:pt idx="2">
                  <c:v>SODIO CLORURO 0,9% AM 20 ML</c:v>
                </c:pt>
                <c:pt idx="3">
                  <c:v>SODIO CLORURO 0,9% 100 ML</c:v>
                </c:pt>
                <c:pt idx="4">
                  <c:v>LIDOCAINA 2% AM 5 ML</c:v>
                </c:pt>
                <c:pt idx="5">
                  <c:v>TRAMADOL 100MG CM LP</c:v>
                </c:pt>
                <c:pt idx="6">
                  <c:v>OCTREOTIDA 20MG MICROESF SUSP INYEC FAM</c:v>
                </c:pt>
                <c:pt idx="7">
                  <c:v>CIANOCOBALAMINA 0,1 MG /1ML  SOL.INY.AM/FAM</c:v>
                </c:pt>
                <c:pt idx="8">
                  <c:v>COLISTIMETATO 3.000.000 UI POLV/LIOF FAM</c:v>
                </c:pt>
                <c:pt idx="9">
                  <c:v>DARATUMUMAB 1800 MG / 15ML SOL PERF FAM</c:v>
                </c:pt>
                <c:pt idx="10">
                  <c:v>LIPEGFILGRASTIM 6MG/0,6ML SOL INYECT JRP</c:v>
                </c:pt>
                <c:pt idx="11">
                  <c:v>DASATINIB 100 MG CM REC</c:v>
                </c:pt>
                <c:pt idx="12">
                  <c:v>CISPLATINO 50 MG/50 ML SOL. INY. FAM</c:v>
                </c:pt>
                <c:pt idx="13">
                  <c:v>FITOQUINONA 10 MG/1ML SOL IV/ORAL AM/FAM</c:v>
                </c:pt>
                <c:pt idx="14">
                  <c:v>IMATINIB 100 MG CP/CM REC.</c:v>
                </c:pt>
              </c:strCache>
            </c:strRef>
          </c:cat>
          <c:val>
            <c:numRef>
              <c:f>'IC 0% 2023-2025 Resultados'!$J$8:$J$22</c:f>
              <c:numCache>
                <c:formatCode>General</c:formatCode>
                <c:ptCount val="15"/>
                <c:pt idx="0">
                  <c:v>10</c:v>
                </c:pt>
                <c:pt idx="1">
                  <c:v>8</c:v>
                </c:pt>
                <c:pt idx="2">
                  <c:v>7</c:v>
                </c:pt>
                <c:pt idx="3">
                  <c:v>6</c:v>
                </c:pt>
                <c:pt idx="4">
                  <c:v>6</c:v>
                </c:pt>
                <c:pt idx="5">
                  <c:v>6</c:v>
                </c:pt>
                <c:pt idx="6">
                  <c:v>5</c:v>
                </c:pt>
                <c:pt idx="7">
                  <c:v>5</c:v>
                </c:pt>
                <c:pt idx="8">
                  <c:v>5</c:v>
                </c:pt>
                <c:pt idx="9">
                  <c:v>5</c:v>
                </c:pt>
                <c:pt idx="10">
                  <c:v>5</c:v>
                </c:pt>
                <c:pt idx="11">
                  <c:v>5</c:v>
                </c:pt>
                <c:pt idx="12">
                  <c:v>5</c:v>
                </c:pt>
                <c:pt idx="13">
                  <c:v>5</c:v>
                </c:pt>
                <c:pt idx="14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AE3-4BE7-AAD4-231050E198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12501664"/>
        <c:axId val="812485344"/>
      </c:barChart>
      <c:catAx>
        <c:axId val="81250166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Medicamentos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812485344"/>
        <c:crosses val="autoZero"/>
        <c:auto val="1"/>
        <c:lblAlgn val="ctr"/>
        <c:lblOffset val="100"/>
        <c:noMultiLvlLbl val="0"/>
      </c:catAx>
      <c:valAx>
        <c:axId val="8124853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L" sz="900" b="0" i="0" u="none" strike="noStrike" baseline="0"/>
                  <a:t>Nº de episodios de incumplimiento</a:t>
                </a:r>
                <a:endParaRPr lang="es-CL" sz="900"/>
              </a:p>
            </c:rich>
          </c:tx>
          <c:layout>
            <c:manualLayout>
              <c:xMode val="edge"/>
              <c:yMode val="edge"/>
              <c:x val="2.7777777777777776E-2"/>
              <c:y val="9.8055555555555562E-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8125016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758825</xdr:colOff>
      <xdr:row>10</xdr:row>
      <xdr:rowOff>22225</xdr:rowOff>
    </xdr:from>
    <xdr:to>
      <xdr:col>10</xdr:col>
      <xdr:colOff>892175</xdr:colOff>
      <xdr:row>24</xdr:row>
      <xdr:rowOff>98425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7D47805-03BA-FBA6-804F-06B7868AF51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727075</xdr:colOff>
      <xdr:row>9</xdr:row>
      <xdr:rowOff>19050</xdr:rowOff>
    </xdr:from>
    <xdr:to>
      <xdr:col>17</xdr:col>
      <xdr:colOff>727075</xdr:colOff>
      <xdr:row>26</xdr:row>
      <xdr:rowOff>95250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3DB8037C-1F66-278A-ADA8-D7643BD9C07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_rels/pivotCacheDefinition5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5.xml"/></Relationships>
</file>

<file path=xl/pivotCache/_rels/pivotCacheDefinition6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6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velyn Castro" refreshedDate="45806.893565740742" createdVersion="8" refreshedVersion="8" minRefreshableVersion="3" recordCount="68" xr:uid="{F6F8B86D-E79C-4C98-8EB7-CDCE869C8F8D}">
  <cacheSource type="worksheet">
    <worksheetSource ref="A1:F69" sheet="IC 50% abajo 2023-2025"/>
  </cacheSource>
  <cacheFields count="6">
    <cacheField name="CODIGO GENERICO" numFmtId="0">
      <sharedItems containsSemiMixedTypes="0" containsString="0" containsNumber="1" containsInteger="1" minValue="100000003" maxValue="100006995" count="51">
        <n v="100002253"/>
        <n v="100004650"/>
        <n v="100000688"/>
        <n v="100000871"/>
        <n v="100000918"/>
        <n v="100001358"/>
        <n v="100001470"/>
        <n v="100001020"/>
        <n v="100000013"/>
        <n v="100002047"/>
        <n v="100002561"/>
        <n v="100000170"/>
        <n v="100000587"/>
        <n v="100002337"/>
        <n v="100002314"/>
        <n v="100002918"/>
        <n v="100004700"/>
        <n v="100004355"/>
        <n v="100001035"/>
        <n v="100000172"/>
        <n v="100001466"/>
        <n v="100001568"/>
        <n v="100000604"/>
        <n v="100002244"/>
        <n v="100000535"/>
        <n v="100001047"/>
        <n v="100001199"/>
        <n v="100003904"/>
        <n v="100006995"/>
        <n v="100003439"/>
        <n v="100001018"/>
        <n v="100001464"/>
        <n v="100000281"/>
        <n v="100002004"/>
        <n v="100000381"/>
        <n v="100001222"/>
        <n v="100002906"/>
        <n v="100000371"/>
        <n v="100000908"/>
        <n v="100000197"/>
        <n v="100000772"/>
        <n v="100001102"/>
        <n v="100001255"/>
        <n v="100002037"/>
        <n v="100000003"/>
        <n v="100004648"/>
        <n v="100003423"/>
        <n v="100003903"/>
        <n v="100004677"/>
        <n v="100002347"/>
        <n v="100001232"/>
      </sharedItems>
    </cacheField>
    <cacheField name="NOMBRE GENERICO" numFmtId="0">
      <sharedItems/>
    </cacheField>
    <cacheField name="CANTIDAD UNITARIA PROGRAMADA" numFmtId="0">
      <sharedItems containsSemiMixedTypes="0" containsString="0" containsNumber="1" containsInteger="1" minValue="2" maxValue="12000"/>
    </cacheField>
    <cacheField name="CANTIDAD UNITARIA A DESPACHAR" numFmtId="0">
      <sharedItems containsSemiMixedTypes="0" containsString="0" containsNumber="1" containsInteger="1" minValue="1" maxValue="6000"/>
    </cacheField>
    <cacheField name="Q FALTANTE" numFmtId="0">
      <sharedItems containsSemiMixedTypes="0" containsString="0" containsNumber="1" containsInteger="1" minValue="1" maxValue="7700"/>
    </cacheField>
    <cacheField name="PORCENTAJE CUMPLIMIENTO" numFmtId="9">
      <sharedItems containsSemiMixedTypes="0" containsString="0" containsNumber="1" minValue="0.04" maxValue="0.5699999999999999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velyn Castro" refreshedDate="45806.90792986111" createdVersion="8" refreshedVersion="8" minRefreshableVersion="3" recordCount="387" xr:uid="{82752AE4-C5F9-4140-A687-0C121C473E0F}">
  <cacheSource type="worksheet">
    <worksheetSource ref="A1:F388" sheet="IC 0% 2023-2025"/>
  </cacheSource>
  <cacheFields count="6">
    <cacheField name="CODIGO GENERICO" numFmtId="0">
      <sharedItems containsSemiMixedTypes="0" containsString="0" containsNumber="1" containsInteger="1" minValue="100000036" maxValue="100006806" count="179">
        <n v="100000036"/>
        <n v="100000172"/>
        <n v="100002092"/>
        <n v="100000241"/>
        <n v="100000379"/>
        <n v="100003905"/>
        <n v="100000777"/>
        <n v="100002047"/>
        <n v="100000810"/>
        <n v="100000921"/>
        <n v="100001012"/>
        <n v="100001306"/>
        <n v="100000044"/>
        <n v="100005282"/>
        <n v="100002903"/>
        <n v="100004642"/>
        <n v="100000729"/>
        <n v="100002361"/>
        <n v="100000735"/>
        <n v="100000733"/>
        <n v="100003979"/>
        <n v="100004982"/>
        <n v="100000128"/>
        <n v="100000582"/>
        <n v="100000629"/>
        <n v="100000730"/>
        <n v="100000824"/>
        <n v="100000983"/>
        <n v="100001021"/>
        <n v="100003231"/>
        <n v="100001243"/>
        <n v="100001309"/>
        <n v="100005314"/>
        <n v="100000388"/>
        <n v="100000585"/>
        <n v="100000766"/>
        <n v="100004906"/>
        <n v="100003903"/>
        <n v="100001295"/>
        <n v="100001470"/>
        <n v="100000194"/>
        <n v="100000353"/>
        <n v="100000498"/>
        <n v="100000867"/>
        <n v="100000918"/>
        <n v="100002244"/>
        <n v="100001020"/>
        <n v="100005482"/>
        <n v="100003413"/>
        <n v="100000046"/>
        <n v="100000649"/>
        <n v="100000894"/>
        <n v="100003431"/>
        <n v="100001010"/>
        <n v="100002581"/>
        <n v="100001063"/>
        <n v="100001308"/>
        <n v="100001310"/>
        <n v="100002561"/>
        <n v="100002131"/>
        <n v="100001466"/>
        <n v="100003907"/>
        <n v="100000698"/>
        <n v="100001047"/>
        <n v="100001199"/>
        <n v="100001367"/>
        <n v="100002190"/>
        <n v="100002347"/>
        <n v="100001116"/>
        <n v="100002314"/>
        <n v="100005325"/>
        <n v="100002164"/>
        <n v="100005299"/>
        <n v="100001358"/>
        <n v="100002337"/>
        <n v="100000776"/>
        <n v="100000829"/>
        <n v="100001826"/>
        <n v="100005302"/>
        <n v="100004670"/>
        <n v="100002919"/>
        <n v="100000170"/>
        <n v="100000529"/>
        <n v="100000938"/>
        <n v="100001052"/>
        <n v="100002921"/>
        <n v="100002567"/>
        <n v="100000621"/>
        <n v="100000771"/>
        <n v="100005313"/>
        <n v="100002074"/>
        <n v="100004356"/>
        <n v="100004355"/>
        <n v="100000535"/>
        <n v="100001105"/>
        <n v="100006806"/>
        <n v="100000772"/>
        <n v="100001018"/>
        <n v="100001143"/>
        <n v="100004702"/>
        <n v="100002000"/>
        <n v="100002004"/>
        <n v="100000551"/>
        <n v="100001916"/>
        <n v="100000688"/>
        <n v="100000697"/>
        <n v="100002241"/>
        <n v="100001016"/>
        <n v="100004677"/>
        <n v="100003221"/>
        <n v="100001041"/>
        <n v="100001042"/>
        <n v="100003840"/>
        <n v="100002906"/>
        <n v="100004645"/>
        <n v="100000244"/>
        <n v="100004000"/>
        <n v="100004001"/>
        <n v="100003448"/>
        <n v="100000721"/>
        <n v="100002254"/>
        <n v="100002261"/>
        <n v="100001260"/>
        <n v="100001551"/>
        <n v="100005268"/>
        <n v="100000809"/>
        <n v="100004066"/>
        <n v="100001222"/>
        <n v="100004116"/>
        <n v="100000308"/>
        <n v="100000381"/>
        <n v="100001232"/>
        <n v="100002269"/>
        <n v="100004675"/>
        <n v="100005505"/>
        <n v="100004632"/>
        <n v="100001902"/>
        <n v="100003422"/>
        <n v="100001903"/>
        <n v="100000908"/>
        <n v="100001463"/>
        <n v="100000368"/>
        <n v="100000486"/>
        <n v="100000763"/>
        <n v="100001068"/>
        <n v="100004006"/>
        <n v="100004354"/>
        <n v="100003423"/>
        <n v="100002040"/>
        <n v="100000944"/>
        <n v="100004493"/>
        <n v="100002037"/>
        <n v="100000115"/>
        <n v="100000309"/>
        <n v="100000389"/>
        <n v="100002208"/>
        <n v="100002308"/>
        <n v="100000693"/>
        <n v="100006440"/>
        <n v="100000964"/>
        <n v="100001084"/>
        <n v="100002295"/>
        <n v="100003439"/>
        <n v="100003904"/>
        <n v="100001547"/>
        <n v="100000358"/>
        <n v="100001124"/>
        <n v="100001603"/>
        <n v="100000553"/>
        <n v="100001184"/>
        <n v="100001568"/>
        <n v="100000085"/>
        <n v="100000126"/>
        <n v="100003406"/>
        <n v="100005535"/>
        <n v="100000715"/>
        <n v="100006171"/>
        <n v="100001037"/>
        <n v="100001053"/>
      </sharedItems>
    </cacheField>
    <cacheField name="NOMBRE GENERICO" numFmtId="0">
      <sharedItems/>
    </cacheField>
    <cacheField name="CANTIDAD UNITARIA PROGRAMADA" numFmtId="0">
      <sharedItems containsSemiMixedTypes="0" containsString="0" containsNumber="1" containsInteger="1" minValue="1" maxValue="80000"/>
    </cacheField>
    <cacheField name="CANTIDAD UNITARIA A DESPACHAR" numFmtId="0">
      <sharedItems containsSemiMixedTypes="0" containsString="0" containsNumber="1" containsInteger="1" minValue="0" maxValue="0"/>
    </cacheField>
    <cacheField name="Q FALTANTE" numFmtId="0">
      <sharedItems containsSemiMixedTypes="0" containsString="0" containsNumber="1" containsInteger="1" minValue="1" maxValue="80000"/>
    </cacheField>
    <cacheField name="PORCENTAJE CUMPLIMIENTO" numFmtId="9">
      <sharedItems containsSemiMixedTypes="0" containsString="0" containsNumber="1" containsInteger="1" minValue="0" maxValue="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castro" refreshedDate="45831.418001041668" createdVersion="8" refreshedVersion="8" minRefreshableVersion="3" recordCount="145" xr:uid="{F0B6AA67-214E-4908-9928-79B0FCBF21A2}">
  <cacheSource type="worksheet">
    <worksheetSource ref="A1:C146" sheet="IC 0% 2023-2025 Resultados"/>
  </cacheSource>
  <cacheFields count="3">
    <cacheField name="CODIGO GENERICO" numFmtId="0">
      <sharedItems containsSemiMixedTypes="0" containsString="0" containsNumber="1" containsInteger="1" minValue="100000036" maxValue="100005482"/>
    </cacheField>
    <cacheField name="NOMBRE GENERICO" numFmtId="0">
      <sharedItems count="90">
        <s v="ACIDO ZOLEDRONICO 4 MG/5ML AM/BO SOL INY"/>
        <s v="ATROPINA/PAPAVERINA 0,5/40 MG CM"/>
        <s v="BLEOMICINA 15U.I. POLVO LIOF. P/INY FAM"/>
        <s v="BUPIVACAINA 0,5% SOL INY AM/FAM 10 ML"/>
        <s v="CIPROFLOXACIN 200MG/100ML SOL INY FAM/BO"/>
        <s v="COLISTIMETATO 3.000.000 UI POLV/LIOF FAM"/>
        <s v="HIERRO 20MG/ML SOL. INY. I.V. AM/FAM 5ML"/>
        <s v="IMATINIB 400 MG CP/CM REC."/>
        <s v="IMIPENEM-CILASTATINA 500/500 MG LIOF FAM"/>
        <s v="LIDOCAINA 2% C/EPINEF. 1:100000 SOL.INY"/>
        <s v="MEPIVACAINA 3% S/VASOCONST. TU VIDRIO"/>
        <s v="SODIO CLORURO 0,9% BOLSA 250 ML"/>
        <s v="AGUA ESTERIL P/INYECT. 500 ML SEMIRIGIDO"/>
        <s v="BUPRENORFINA SIST. TRANSDERMICO 10 MCG/H"/>
        <s v="FITOQUINONA 10 MG/1 ML SOL INY IV AM/FAM"/>
        <s v="GEFITINIB 250 MG CM REC."/>
        <s v="GLUCOSA 10% 1000 ML ENV. SEMIRIGIDO"/>
        <s v="GLUCOSA 30% 500ML ENV SEMIRRIG MATRAZ"/>
        <s v="GLUCOSAL ISOT. ENV.SEMIRIGIDO 1 L"/>
        <s v="GLUCOSAL. ISOT ENV.SEMIRIGIDO 500ML"/>
        <s v="TRASTUZUMAB EMTANSINA 160MG LIOF. FAM"/>
        <s v="AFATINIB 40 MG CM REC"/>
        <s v="AMPICILINA 500 MG POLVO/POLVO LIOF FAM"/>
        <s v="ERTAPENEM 1 G POL/LIOF SOL.INYECT. FAM"/>
        <s v="FENTANILO 0,5 MG/10 ML SOL. INY. AM/FAM"/>
        <s v="GLUCOSA 30% SOL. INY. I.V. AM/FAM 20 ML"/>
        <s v="INSULINA NPH HUMANA 100 UI/ML FAM 10 ML"/>
        <s v="MANITOL 15% BOLSA/ENV SEMIRIGIDO 500 ML"/>
        <s v="METAMIZOL 300 MG CM"/>
        <s v="MIRTAZAPINA 30 MG CM REC"/>
        <s v="REMIFENTANILO 1 MG LIOF P/SOL INY IV FAM"/>
        <s v="SODIO CLORURO 0,9% SOL INY IV AM 10 ML"/>
        <s v="TEMOZOLOMIDA 20 MG CP"/>
        <s v="CLINDAMICINA 600 MG/4 ML SOL.INY. AM/FAM"/>
        <s v="ESCOPOLAM N-BUTIL BROMUR 20 MG/ML AM/FAM"/>
        <s v="HEPARINA SODICA 25.000 U.I./5 ML FAM/JRP"/>
        <s v="PAZOPANIB 200 MG CM REC"/>
        <s v="PAZOPANIB 400 MG CM REC"/>
        <s v="SEVOFLURANO LIQ. P/INHALAC FRASCO 250 ML"/>
        <s v="TRAZODONA 100 MG CM/CM REC"/>
        <s v="BETAM.FOSF.DISOD.4 MG/MLSOL.INY. AM/FAM"/>
        <s v="CEFAZOLINA 1G POLVO/LIOF SOL INYECT.FAM"/>
        <s v="DEXAM.FOSF.SODIC 4 MG/1ML SOL.INY AM/FAM"/>
        <s v="KETOPROFENO 100MG SOL INY/LIO AM/JRP/FAM"/>
        <s v="LIDOCAINA 2% SOL. INY. AM/FAM 5 ML"/>
        <s v="LIDOCAINA 5G/100G PARCHE"/>
        <s v="METAMIZOL 1G / 2ML AM SOL. INY. IV/IM"/>
        <s v="ONDANSETRON 8 MG CM BUCODISPERSABLES"/>
        <s v="PEMETREXED 500MG POLVO O LIOF. FAM."/>
        <s v="AGUA ESTERIL P/INYECTABLES 10 ML AM"/>
        <s v="FLUMAZENIL 0,5 MG/5 ML SOL. INY. AM/FAM"/>
        <s v="LACTUL65-66,7G/100ML SOL.OR FRA100-200ML"/>
        <s v="LENALIDOMIDA 25MG CP"/>
        <s v="MELFALAN 2 MG CM/CM RECUBIERTO"/>
        <s v="MESALAZINA 500 MG SUPOSITORIO"/>
        <s v="NALOXONA 0,4 MG/ML 1 ML SOL. INY. AM"/>
        <s v="SODIO CLORURO 0,9% BOLSA 500 ML"/>
        <s v="SODIO CLORURO 0,9% SOL INY IV AM 20 ML"/>
        <s v="SODIO CLORURO 10 % SOL INY IV AM 10 ML"/>
        <s v="TENECTEPLASA 10.000UI LIOF P/SOL INY FAM"/>
        <s v="TRAMADOL 100MG CM REC/CP LIBER.PROLONG"/>
        <s v="AZACITIDINA 100MG LIOF P/SUSP. INY FAM"/>
        <s v="GABAPENTINA 600 MG CP/CM REC."/>
        <s v="MIDAZOLAM 50 MG/10ML SOL.INY. AM/FAM"/>
        <s v="POTASIO CLORURO 10% SOL. INY. AM 10 ML"/>
        <s v="SULFAMET./TRIMETOPR. 400/80 MG/5ML AM"/>
        <s v="CALCITRIOL 0,25 MCG CP"/>
        <s v="CARBOPLATINO 450 MG/45 ML SOL.INYEC FAM"/>
        <s v="PACLITAXEL 300 MG/50 ML SOL. INY. FAM"/>
        <s v="SALBUTAMOL 5MG/ML SOL.NEBU FRA 20ML"/>
        <s v="ALECTINIB 150 MG CP"/>
        <s v="FENTANILO 25MCG/HORA PARCHE TRANSDERMICO"/>
        <s v="MIVACURIO 2MG/ML SOL INY 5 ML FAM"/>
        <s v="SUXAMETONIO 100MG AM/FAM"/>
        <s v="GOSERELINA 10,8 MG JRP C/IMPL. SUBCUT."/>
        <s v="HIDROXICARBAMIDA 500 MG CP/CM"/>
        <s v="IPRATROPIO 0,25MG/ML SOL P/NEB FRA 20ML"/>
        <s v="LIDOCAINA 10% SOL. TOPICA FRA 50 ML"/>
        <s v="NIVOLUMAB 10MG/ML SOL INY IV FAM 4 ML"/>
        <s v="PEMBROLIZUMAB 100 MG/4ML SOL INY FAM"/>
        <s v="SODIO CLORURO 0,9% BOLSA 100 ML"/>
        <s v="ATROPINA 1 MG/1 ML SOL. INY. AM/FAM"/>
        <s v="DROPERIDOL 5 MG/2 ML SOL.INYEC AM/FAM"/>
        <s v="LOPERAMIDA 2MG CM/CP"/>
        <s v="MORFINA 10 MG/ML SOL. INY. AM"/>
        <s v="PARACETAMOL 10MG/ML INY FAM/AM/BOL 100ML"/>
        <s v="VENLAFAXINA 75 MG CM/CP LIB PROL/OSMOT"/>
        <s v="FENITOINA 100 MG CM LIB. RAPIDA"/>
        <s v="HIDROCORTISONA 1% CREMA TU/PM 10 A 20 G"/>
        <s v="TEMOZOLOMIDA 180 MG CP"/>
      </sharedItems>
    </cacheField>
    <cacheField name="año" numFmtId="0">
      <sharedItems containsSemiMixedTypes="0" containsString="0" containsNumber="1" containsInteger="1" minValue="2023" maxValue="2023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castro" refreshedDate="45831.420224884256" createdVersion="8" refreshedVersion="8" minRefreshableVersion="3" recordCount="142" xr:uid="{44AE8065-FF7B-45D4-8DE7-9637E92E379B}">
  <cacheSource type="worksheet">
    <worksheetSource ref="A146:C288" sheet="IC 0% 2023-2025 Resultados"/>
  </cacheSource>
  <cacheFields count="3">
    <cacheField name="100005313" numFmtId="0">
      <sharedItems containsSemiMixedTypes="0" containsString="0" containsNumber="1" containsInteger="1" minValue="100000046" maxValue="100006806"/>
    </cacheField>
    <cacheField name="TEMOZOLOMIDA 180 MG CP" numFmtId="0">
      <sharedItems count="90">
        <s v="AGUA ESTERIL P/INYECTABLES 10 ML AM"/>
        <s v="ATORVASTATINA 40 MG CM REC."/>
        <s v="COMPLEJO PROTROMBINA 500 UI FAM"/>
        <s v="DOXORUBICINA 2MG/ML SOL. INYEC FAM 10ML"/>
        <s v="EFEDRINA SULFATO 6% SOL. INY. AM/FAM 1ML"/>
        <s v="GLUCOSA 30% SOL. INY. I.V. AM/FAM 20 ML"/>
        <s v="HIDROCORTISONA 1% CREMA TU/PM 10 A 20 G"/>
        <s v="LENALIDOMIDA 25MG CP"/>
        <s v="LIDOCAINA 2% SOL. INY. AM/FAM 5 ML"/>
        <s v="ONDANSETRON 2MG/ML SOL.INY. AM O FAM 4ML"/>
        <s v="ONDANSETRON 8 MG CM BUCODISPERSABLES"/>
        <s v="SODIO CLORURO 0,9% SOL INY IV AM 20 ML"/>
        <s v="SODIO CLORURO 10 % SOL INY IV AM 10 ML"/>
        <s v="SULFAMET./TRIMETOPR. 400/80 MG/5ML AM"/>
        <s v="CLOBETASOL 0,05% CREMA DERMICA 25 A 30 G"/>
        <s v="FITOQUINONA 10 MG/1ML SOL IV/ORAL AM/FAM"/>
        <s v="HIDROCORTISONA 100MG LIOF. P/SOL INY FAM"/>
        <s v="METADONA 10 MG/2ML SOL.INY. IV-SC AM/FAM"/>
        <s v="PARACETAMOL 500 MG CM/CM REC"/>
        <s v="POTASIO CLORURO 10% SOL. INY. AM 10 ML"/>
        <s v="TAPENTADOL 50 MG CM LIB. PROLONGADA"/>
        <s v="TEMOZOLOMIDA 180 MG CP"/>
        <s v="ACIDO TRANEX. 1G/10 ML SOL INY AMP O FAM"/>
        <s v="CARVEDILOL 6,25 MG CM/CM REC."/>
        <s v="ENOXAPARINA 40 MG/0,4ML SOL.INY. JRP"/>
        <s v="EPOETINA ALFA-BETA HUMANA RECOMB 4000 UI"/>
        <s v="FUMARATO FERROSO + VITAMINAS CM O CP"/>
        <s v="GABAPENTINA 400 MG CP/CM REC."/>
        <s v="IRINOTECAN 100 MG/5 ML SOL. INY. FAM"/>
        <s v="MEROPENEM 500 MG POLVO/LIOF. FAM"/>
        <s v="TEMOZOLOMIDA 20 MG CP"/>
        <s v="VASOPRESINA 20 U.I./ML SOL.INY AM"/>
        <s v="CLINDAMICINA 600 MG/4 ML SOL.INY. AM/FAM"/>
        <s v="GLUCOSAL. ISOT ENV.SEMIRIGIDO 500ML"/>
        <s v="LEVOCETIRIZINA 5 MG CM REC"/>
        <s v="METRONIDAZOL 500 MG CM/CM REC."/>
        <s v="METRONIDAZOL 500 MG OVULO/CP VAGINAL"/>
        <s v="OLANZAPINA 5 MG CM/CM REC"/>
        <s v="POLIETILENGLICOL (MACROGOL 3350) SO 17G"/>
        <s v="TEMOZOLOMIDA 100 MG CP"/>
        <s v="BLEOMICINA 15U.I. POLVO LIOF. P/INY FAM"/>
        <s v="BUPRENORFINA SIST. TRANSDERMICO 35 MCG/H"/>
        <s v="DEGARELIX 120MG LIOF P/SOL INY FAM"/>
        <s v="DEGARELIX 80MG LIOF P/SOL INY FAM"/>
        <s v="DROPERIDOL 5 MG/2 ML SOL.INYEC AM/FAM"/>
        <s v="FLUOROURACILO 1000MG/20 ML S.INY AM/FAM"/>
        <s v="GLUCOSA 5% ENV. SEMIRIGIDO 250 ML"/>
        <s v="MORFINA 10 MG/ML SOL. INY. AM"/>
        <s v="OCTREOTIDA 20MG MICROESF SUSP INYEC FAM"/>
        <s v="PREGABALINA 150 MG CM/CP"/>
        <s v="ROCURONIO 50 MG/5 ML SOL. INY. FAM"/>
        <s v="VASELINA LIQUIDA ESTERIL AM 10 ML"/>
        <s v="BENDAMUSTINA 100 MG POL/LIOF SOL INY.FAM"/>
        <s v="BUPIVACAINA 0,5% SOL INY AM/FAM 10 ML"/>
        <s v="IMATINIB 100 MG CP/CM REC."/>
        <s v="MELATONINA 3 MG CP"/>
        <s v="PARGEVERINA 5 MG/ML SOL INY IV-IM AM 1ML"/>
        <s v="TESTOSTERONA UNDECANOAT 1000MG/4ML AM/FA"/>
        <s v="CARBAMAZEPINA 400 MG CM LIB.PROLONG/SOST"/>
        <s v="CISPLATINO 50 MG/50 ML SOL. INY. FAM"/>
        <s v="FLUMAZENIL 0,5 MG/5 ML SOL. INY. AM/FAM"/>
        <s v="PARACETAMOL 10MG/ML INY FAM/AM/BOL 100ML"/>
        <s v="PEMETREXED 500MG POLVO O LIOF. FAM."/>
        <s v="QUETIAPINA 25 MG CM REC."/>
        <s v="TOPOTECAN 4MG LIOF. SOL. INY FAM"/>
        <s v="TOXINA BOTULINICA 500 U PVO.P.SOL.IN FAM"/>
        <s v="GEFITINIB 250 MG CM REC."/>
        <s v="LIPEGFILGRASTIM 6MG/0,6ML SOL INYECT JRP"/>
        <s v="NIVOLUMAB 10MG/ML SOL INY IV FAM 4 ML"/>
        <s v="NIVOLUMAB 10MG/ML SOL.INY. IV FAM 10ML"/>
        <s v="CALCIO/VITAMINA D 450A600 MG/400UI CM/CP"/>
        <s v="CAPECITABINA 150 MG CM REC"/>
        <s v="CLORAMFENICOL 1% UNG OFT 3 A 5 G TU-PO"/>
        <s v="LETROZOL 2,5 MG CM/CM REC"/>
        <s v="SALBUTAMOL 5MG/ML SOL.NEBU FRA 20ML"/>
        <s v="TRAMADOL 100MG/ML SOL.ORAL FRASCO 10 ML"/>
        <s v="CIANOCOBALAMINA 0,1MG/1ML SOL.INY.AM/FAM"/>
        <s v="DANTROLENO 20 MG LIOF SOL INYEC.FAM"/>
        <s v="HALOPERIDOL 5 MG/1 ML SOL. INY. AM/FAM"/>
        <s v="NEOSTIGMINA 0,5 MG/1 ML SOL. INY. AM"/>
        <s v="DULOXETINA 60 MG CM REC ENT O CP ENT"/>
        <s v="RIVAROXABAN 15 MG CM REC"/>
        <s v="SODIO CLORURO 0,9% BOLSA 100 ML"/>
        <s v="ACIDO FOLINICO (LEUCOVORINA) 100MG/10ML"/>
        <s v="DOXORUBICINA 2MG/ML SOL. INYEC FAM 25ML"/>
        <s v="LORAZEPAM 2 MG CM/CM REC"/>
        <s v="SUNITINIB 25 MG CP"/>
        <s v="TRAMADOL 100MG CM REC/CP LIBER.PROLONG"/>
        <s v="DASATINIB 100 MG CM REC"/>
        <s v="GLUCOSA 30% 500ML ENV SEMIRRIG MATRAZ"/>
      </sharedItems>
    </cacheField>
    <cacheField name="2023" numFmtId="0">
      <sharedItems containsSemiMixedTypes="0" containsString="0" containsNumber="1" containsInteger="1" minValue="2024" maxValue="202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castro" refreshedDate="45831.420992708336" createdVersion="8" refreshedVersion="8" minRefreshableVersion="3" recordCount="100" xr:uid="{E991C65A-F457-4567-8AF8-322D5D550AC7}">
  <cacheSource type="worksheet">
    <worksheetSource ref="A288:C388" sheet="IC 0% 2023-2025 Resultados"/>
  </cacheSource>
  <cacheFields count="3">
    <cacheField name="100001466" numFmtId="0">
      <sharedItems containsSemiMixedTypes="0" containsString="0" containsNumber="1" containsInteger="1" minValue="100000085" maxValue="100006440"/>
    </cacheField>
    <cacheField name="TRAMADOL 100MG CM REC/CP LIBER.PROLONG" numFmtId="0">
      <sharedItems count="55">
        <s v="AMINOFILINA 250 MG/10 ML SOL.INY. AM/FAM"/>
        <s v="ATROPINA 1 MG/1 ML SOL. INY. AM/FAM"/>
        <s v="CARBAMAZEPINA 200 MG CM/CM REC"/>
        <s v="CIANOCOBALAMINA 0,1MG/1ML SOL.INY.AM/FAM"/>
        <s v="CLINDAMICINA 300 MG CP"/>
        <s v="DACARBAZINA 200 MG POLVO O LIOFILIZ. FAM"/>
        <s v="DARATUMUMAB 1800MG/15ML SOL PERF FAM"/>
        <s v="DASATINIB 100 MG CM REC"/>
        <s v="FITOQUINONA 10 MG/1ML SOL IV/ORAL AM/FAM"/>
        <s v="FUROSEMIDA 20 MG/1-2 ML SOL. INY AM/FAM"/>
        <s v="HALOPERIDOL 5 MG/1 ML SOL. INY. AM/FAM"/>
        <s v="INSUL GLULI 100U/ML S/IN LAPIZ REUTIL+AG"/>
        <s v="LETROZOL 2,5 MG CM/CM REC"/>
        <s v="LEVOTIROXINA 100 MCG CM RANURADO"/>
        <s v="NITROFURANTOINA MACROC. 100MG CP/CM REC"/>
        <s v="PEMETREXED 500MG POLVO O LIOF. FAM."/>
        <s v="POTASIO CLORURO 10% SOL. INY. AM 10 ML"/>
        <s v="SUXAMETONIO 100MG AM/FAM"/>
        <s v="TRAMADOL 100MG CM REC/CP LIBER.PROLONG"/>
        <s v="TRAZODONA 100 MG CM RANURADO"/>
        <s v="IMATINIB 100 MG CP/CM REC."/>
        <s v="NILOTINIB 150 MG CP"/>
        <s v="OCTREOTIDA 20MG MICROESF SUSP INYEC FAM"/>
        <s v="SUGAMMADEX 200 MG/ 2ML SOL.INYECT FAM"/>
        <s v="TOPOTECAN 4MG LIOF. SOL. INY FAM"/>
        <s v="VANCOMICINA 1G POLVO O LIOF SOL. INY.FAM"/>
        <s v="BETAM.FOSF.DISOD.4 MG/MLSOL.INY. AM/FAM"/>
        <s v="CEFTRIAXONA 1G POLVO SOL.INY I.M/I.V.FAM"/>
        <s v="COLISTIMETATO 3.000.000 UI POLV/LIOF FAM"/>
        <s v="LIPEGFILGRASTIM 6MG/0,6ML SOL INYECT JRP"/>
        <s v="MIVACURIO 2MG/ML SOL INY 5 ML FAM"/>
        <s v="PANCREOLIPASA 25.000 U.F. EUR CP"/>
        <s v="VINBLASTINA 10MG LIOF O PVO P.SO INY FAM"/>
        <s v="ACIDO FOLINICO (LEUCOVORINA) 100MG/10ML"/>
        <s v="ENOXAPARINA 80 MG/0,8ML SOL.INY. JRP"/>
        <s v="PIRIDOXINA 100 MG/1 ML SOL. INY. AM/FAM"/>
        <s v="VINCRISTINA 1MG/ML SOL. INYECT I.V. FAM"/>
        <s v="ALBUMINA HUMANA 20% SOL.PERF.IV FAM 50ML"/>
        <s v="ALECTINIB 150 MG CP"/>
        <s v="AMOXICIL/CLAVULAN 875/125 MG CM/CM REC"/>
        <s v="BEVACIZUMAB 100 MG/4 ML SOL. P/INF. FAM"/>
        <s v="BUPRENORFINA SIST. TRANSDERMICO 10 MCG/H"/>
        <s v="CEFTAZ/AVIBACTAM 2/0.5G SOL INYECT FAM"/>
        <s v="CISPLATINO 50 MG/50 ML SOL. INY. FAM"/>
        <s v="GENTAMICINA 80 MG/2ML SOL. INY. AM/FAM"/>
        <s v="IPRATROPIO 0,25MG/ML SOL P/NEB FRA 20ML"/>
        <s v="IRINOTECAN 100 MG/5 ML SOL. INY. FAM"/>
        <s v="NETUPITANT/PALONOSETRON 300/0,5MG CAP"/>
        <s v="PAZOPANIB 400 MG CM REC"/>
        <s v="QUETIAPINA 25 MG CM REC."/>
        <s v="CALCIO FOLINATO(LEUCOVOR) 100MG/10ML FAM"/>
        <s v="GEFITINIB 250 MG CM REC."/>
        <s v="METOTREXATO 500MG/20ML SOL INY FAM"/>
        <s v="MORFINA 20MG/1ML SOL.INY. AM"/>
        <s v="TRAZODONA 100 MG CP/CM/CM REC"/>
      </sharedItems>
    </cacheField>
    <cacheField name="2024" numFmtId="0">
      <sharedItems containsSemiMixedTypes="0" containsString="0" containsNumber="1" containsInteger="1" minValue="2025" maxValue="202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castro" refreshedDate="45831.425428009257" createdVersion="8" refreshedVersion="8" minRefreshableVersion="3" recordCount="387" xr:uid="{9EE8A9C6-3919-4FB2-A149-FB67B527BBC9}">
  <cacheSource type="worksheet">
    <worksheetSource ref="A1:C388" sheet="IC 0% 2023-2025 Resultados"/>
  </cacheSource>
  <cacheFields count="3">
    <cacheField name="CODIGO GENERICO" numFmtId="0">
      <sharedItems containsSemiMixedTypes="0" containsString="0" containsNumber="1" containsInteger="1" minValue="100000036" maxValue="100006806"/>
    </cacheField>
    <cacheField name="NOMBRE GENERICO" numFmtId="0">
      <sharedItems count="182">
        <s v="ACIDO ZOLEDRONICO 4 MG/5ML AM/BO SOL INY"/>
        <s v="ATROPINA/PAPAVERINA 0,5/40 MG CM"/>
        <s v="BLEOMICINA 15U.I. POLVO LIOF. P/INY FAM"/>
        <s v="BUPIVACAINA 0,5% SOL INY AM/FAM 10 ML"/>
        <s v="CIPROFLOXACIN 200MG/100ML SOL INY FAM/BO"/>
        <s v="COLISTIMETATO 3.000.000 UI POLV/LIOF FAM"/>
        <s v="HIERRO 20MG/ML SOL. INY. I.V. AM/FAM 5ML"/>
        <s v="IMATINIB 400 MG CP/CM REC."/>
        <s v="IMIPENEM-CILASTATINA 500/500 MG LIOF FAM"/>
        <s v="LIDOCAINA 2% C/EPINEF. 1:100000 SOL.INY"/>
        <s v="MEPIVACAINA 3% S/VASOCONST. TU VIDRIO"/>
        <s v="SODIO CLORURO 0,9% BOLSA 250 ML"/>
        <s v="AGUA ESTERIL P/INYECT. 500 ML SEMIRIGIDO"/>
        <s v="BUPRENORFINA SIST. TRANSDERMICO 10 MCG/H"/>
        <s v="FITOQUINONA 10 MG/1 ML SOL INY IV AM/FAM"/>
        <s v="GEFITINIB 250 MG CM REC."/>
        <s v="GLUCOSA 10% 1000 ML ENV. SEMIRIGIDO"/>
        <s v="GLUCOSA 30% 500ML ENV SEMIRRIG MATRAZ"/>
        <s v="GLUCOSAL ISOT. ENV.SEMIRIGIDO 1 L"/>
        <s v="GLUCOSAL. ISOT ENV.SEMIRIGIDO 500ML"/>
        <s v="TRASTUZUMAB EMTANSINA 160MG LIOF. FAM"/>
        <s v="AFATINIB 40 MG CM REC"/>
        <s v="AMPICILINA 500 MG POLVO/POLVO LIOF FAM"/>
        <s v="ERTAPENEM 1 G POL/LIOF SOL.INYECT. FAM"/>
        <s v="FENTANILO 0,5 MG/10 ML SOL. INY. AM/FAM"/>
        <s v="GLUCOSA 30% SOL. INY. I.V. AM/FAM 20 ML"/>
        <s v="INSULINA NPH HUMANA 100 UI/ML FAM 10 ML"/>
        <s v="MANITOL 15% BOLSA/ENV SEMIRIGIDO 500 ML"/>
        <s v="METAMIZOL 300 MG CM"/>
        <s v="MIRTAZAPINA 30 MG CM REC"/>
        <s v="REMIFENTANILO 1 MG LIOF P/SOL INY IV FAM"/>
        <s v="SODIO CLORURO 0,9% SOL INY IV AM 10 ML"/>
        <s v="TEMOZOLOMIDA 20 MG CP"/>
        <s v="CLINDAMICINA 600 MG/4 ML SOL.INY. AM/FAM"/>
        <s v="ESCOPOLAM N-BUTIL BROMUR 20 MG/ML AM/FAM"/>
        <s v="HEPARINA SODICA 25.000 U.I./5 ML FAM/JRP"/>
        <s v="PAZOPANIB 200 MG CM REC"/>
        <s v="PAZOPANIB 400 MG CM REC"/>
        <s v="SEVOFLURANO LIQ. P/INHALAC FRASCO 250 ML"/>
        <s v="TRAZODONA 100 MG CM/CM REC"/>
        <s v="BETAM.FOSF.DISOD.4 MG/MLSOL.INY. AM/FAM"/>
        <s v="CEFAZOLINA 1G POLVO/LIOF SOL INYECT.FAM"/>
        <s v="DEXAM.FOSF.SODIC 4 MG/1ML SOL.INY AM/FAM"/>
        <s v="KETOPROFENO 100MG SOL INY/LIO AM/JRP/FAM"/>
        <s v="LIDOCAINA 2% SOL. INY. AM/FAM 5 ML"/>
        <s v="LIDOCAINA 5G/100G PARCHE"/>
        <s v="METAMIZOL 1G / 2ML AM SOL. INY. IV/IM"/>
        <s v="ONDANSETRON 8 MG CM BUCODISPERSABLES"/>
        <s v="PEMETREXED 500MG POLVO O LIOF. FAM."/>
        <s v="AGUA ESTERIL P/INYECTABLES 10 ML AM"/>
        <s v="FLUMAZENIL 0,5 MG/5 ML SOL. INY. AM/FAM"/>
        <s v="LACTUL65-66,7G/100ML SOL.OR FRA100-200ML"/>
        <s v="LENALIDOMIDA 25MG CP"/>
        <s v="MELFALAN 2 MG CM/CM RECUBIERTO"/>
        <s v="MESALAZINA 500 MG SUPOSITORIO"/>
        <s v="NALOXONA 0,4 MG/ML 1 ML SOL. INY. AM"/>
        <s v="SODIO CLORURO 0,9% BOLSA 500 ML"/>
        <s v="SODIO CLORURO 0,9% SOL INY IV AM 20 ML"/>
        <s v="SODIO CLORURO 10 % SOL INY IV AM 10 ML"/>
        <s v="TENECTEPLASA 10.000UI LIOF P/SOL INY FAM"/>
        <s v="TRAMADOL 100MG CM REC/CP LIBER.PROLONG"/>
        <s v="AZACITIDINA 100MG LIOF P/SUSP. INY FAM"/>
        <s v="GABAPENTINA 600 MG CP/CM REC."/>
        <s v="MIDAZOLAM 50 MG/10ML SOL.INY. AM/FAM"/>
        <s v="POTASIO CLORURO 10% SOL. INY. AM 10 ML"/>
        <s v="SULFAMET./TRIMETOPR. 400/80 MG/5ML AM"/>
        <s v="CALCITRIOL 0,25 MCG CP"/>
        <s v="CARBOPLATINO 450 MG/45 ML SOL.INYEC FAM"/>
        <s v="PACLITAXEL 300 MG/50 ML SOL. INY. FAM"/>
        <s v="SALBUTAMOL 5MG/ML SOL.NEBU FRA 20ML"/>
        <s v="ALECTINIB 150 MG CP"/>
        <s v="FENTANILO 25MCG/HORA PARCHE TRANSDERMICO"/>
        <s v="MIVACURIO 2MG/ML SOL INY 5 ML FAM"/>
        <s v="SUXAMETONIO 100MG AM/FAM"/>
        <s v="GOSERELINA 10,8 MG JRP C/IMPL. SUBCUT."/>
        <s v="HIDROXICARBAMIDA 500 MG CP/CM"/>
        <s v="IPRATROPIO 0,25MG/ML SOL P/NEB FRA 20ML"/>
        <s v="LIDOCAINA 10% SOL. TOPICA FRA 50 ML"/>
        <s v="NIVOLUMAB 10MG/ML SOL INY IV FAM 4 ML"/>
        <s v="PEMBROLIZUMAB 100 MG/4ML SOL INY FAM"/>
        <s v="SODIO CLORURO 0,9% BOLSA 100 ML"/>
        <s v="ATROPINA 1 MG/1 ML SOL. INY. AM/FAM"/>
        <s v="DROPERIDOL 5 MG/2 ML SOL.INYEC AM/FAM"/>
        <s v="LOPERAMIDA 2MG CM/CP"/>
        <s v="MORFINA 10 MG/ML SOL. INY. AM"/>
        <s v="PARACETAMOL 10MG/ML INY FAM/AM/BOL 100ML"/>
        <s v="VENLAFAXINA 75 MG CM/CP LIB PROL/OSMOT"/>
        <s v="FENITOINA 100 MG CM LIB. RAPIDA"/>
        <s v="HIDROCORTISONA 1% CREMA TU/PM 10 A 20 G"/>
        <s v="TEMOZOLOMIDA 180 MG CP"/>
        <s v="ATORVASTATINA 40 MG CM REC."/>
        <s v="COMPLEJO PROTROMBINA 500 UI FAM"/>
        <s v="DOXORUBICINA 2MG/ML SOL. INYEC FAM 10ML"/>
        <s v="EFEDRINA SULFATO 6% SOL. INY. AM/FAM 1ML"/>
        <s v="ONDANSETRON 2MG/ML SOL.INY. AM O FAM 4ML"/>
        <s v="CLOBETASOL 0,05% CREMA DERMICA 25 A 30 G"/>
        <s v="FITOQUINONA 10 MG/1ML SOL IV/ORAL AM/FAM"/>
        <s v="HIDROCORTISONA 100MG LIOF. P/SOL INY FAM"/>
        <s v="METADONA 10 MG/2ML SOL.INY. IV-SC AM/FAM"/>
        <s v="PARACETAMOL 500 MG CM/CM REC"/>
        <s v="TAPENTADOL 50 MG CM LIB. PROLONGADA"/>
        <s v="ACIDO TRANEX. 1G/10 ML SOL INY AMP O FAM"/>
        <s v="CARVEDILOL 6,25 MG CM/CM REC."/>
        <s v="ENOXAPARINA 40 MG/0,4ML SOL.INY. JRP"/>
        <s v="EPOETINA ALFA-BETA HUMANA RECOMB 4000 UI"/>
        <s v="FUMARATO FERROSO + VITAMINAS CM O CP"/>
        <s v="GABAPENTINA 400 MG CP/CM REC."/>
        <s v="IRINOTECAN 100 MG/5 ML SOL. INY. FAM"/>
        <s v="MEROPENEM 500 MG POLVO/LIOF. FAM"/>
        <s v="VASOPRESINA 20 U.I./ML SOL.INY AM"/>
        <s v="LEVOCETIRIZINA 5 MG CM REC"/>
        <s v="METRONIDAZOL 500 MG CM/CM REC."/>
        <s v="METRONIDAZOL 500 MG OVULO/CP VAGINAL"/>
        <s v="OLANZAPINA 5 MG CM/CM REC"/>
        <s v="POLIETILENGLICOL (MACROGOL 3350) SO 17G"/>
        <s v="TEMOZOLOMIDA 100 MG CP"/>
        <s v="BUPRENORFINA SIST. TRANSDERMICO 35 MCG/H"/>
        <s v="DEGARELIX 120MG LIOF P/SOL INY FAM"/>
        <s v="DEGARELIX 80MG LIOF P/SOL INY FAM"/>
        <s v="FLUOROURACILO 1000MG/20 ML S.INY AM/FAM"/>
        <s v="GLUCOSA 5% ENV. SEMIRIGIDO 250 ML"/>
        <s v="OCTREOTIDA 20MG MICROESF SUSP INYEC FAM"/>
        <s v="PREGABALINA 150 MG CM/CP"/>
        <s v="ROCURONIO 50 MG/5 ML SOL. INY. FAM"/>
        <s v="VASELINA LIQUIDA ESTERIL AM 10 ML"/>
        <s v="BENDAMUSTINA 100 MG POL/LIOF SOL INY.FAM"/>
        <s v="IMATINIB 100 MG CP/CM REC."/>
        <s v="MELATONINA 3 MG CP"/>
        <s v="PARGEVERINA 5 MG/ML SOL INY IV-IM AM 1ML"/>
        <s v="TESTOSTERONA UNDECANOAT 1000MG/4ML AM/FA"/>
        <s v="CARBAMAZEPINA 400 MG CM LIB.PROLONG/SOST"/>
        <s v="CISPLATINO 50 MG/50 ML SOL. INY. FAM"/>
        <s v="QUETIAPINA 25 MG CM REC."/>
        <s v="TOPOTECAN 4MG LIOF. SOL. INY FAM"/>
        <s v="TOXINA BOTULINICA 500 U PVO.P.SOL.IN FAM"/>
        <s v="LIPEGFILGRASTIM 6MG/0,6ML SOL INYECT JRP"/>
        <s v="NIVOLUMAB 10MG/ML SOL.INY. IV FAM 10ML"/>
        <s v="CALCIO/VITAMINA D 450A600 MG/400UI CM/CP"/>
        <s v="CAPECITABINA 150 MG CM REC"/>
        <s v="CLORAMFENICOL 1% UNG OFT 3 A 5 G TU-PO"/>
        <s v="LETROZOL 2,5 MG CM/CM REC"/>
        <s v="TRAMADOL 100MG/ML SOL.ORAL FRASCO 10 ML"/>
        <s v="CIANOCOBALAMINA 0,1MG/1ML SOL.INY.AM/FAM"/>
        <s v="DANTROLENO 20 MG LIOF SOL INYEC.FAM"/>
        <s v="HALOPERIDOL 5 MG/1 ML SOL. INY. AM/FAM"/>
        <s v="NEOSTIGMINA 0,5 MG/1 ML SOL. INY. AM"/>
        <s v="DULOXETINA 60 MG CM REC ENT O CP ENT"/>
        <s v="RIVAROXABAN 15 MG CM REC"/>
        <s v="ACIDO FOLINICO (LEUCOVORINA) 100MG/10ML"/>
        <s v="DOXORUBICINA 2MG/ML SOL. INYEC FAM 25ML"/>
        <s v="LORAZEPAM 2 MG CM/CM REC"/>
        <s v="SUNITINIB 25 MG CP"/>
        <s v="DASATINIB 100 MG CM REC"/>
        <s v="AMINOFILINA 250 MG/10 ML SOL.INY. AM/FAM"/>
        <s v="CARBAMAZEPINA 200 MG CM/CM REC"/>
        <s v="CLINDAMICINA 300 MG CP"/>
        <s v="DACARBAZINA 200 MG POLVO O LIOFILIZ. FAM"/>
        <s v="DARATUMUMAB 1800MG/15ML SOL PERF FAM"/>
        <s v="FUROSEMIDA 20 MG/1-2 ML SOL. INY AM/FAM"/>
        <s v="INSUL GLULI 100U/ML S/IN LAPIZ REUTIL+AG"/>
        <s v="LEVOTIROXINA 100 MCG CM RANURADO"/>
        <s v="NITROFURANTOINA MACROC. 100MG CP/CM REC"/>
        <s v="TRAZODONA 100 MG CM RANURADO"/>
        <s v="NILOTINIB 150 MG CP"/>
        <s v="SUGAMMADEX 200 MG/ 2ML SOL.INYECT FAM"/>
        <s v="VANCOMICINA 1G POLVO O LIOF SOL. INY.FAM"/>
        <s v="CEFTRIAXONA 1G POLVO SOL.INY I.M/I.V.FAM"/>
        <s v="PANCREOLIPASA 25.000 U.F. EUR CP"/>
        <s v="VINBLASTINA 10MG LIOF O PVO P.SO INY FAM"/>
        <s v="ENOXAPARINA 80 MG/0,8ML SOL.INY. JRP"/>
        <s v="PIRIDOXINA 100 MG/1 ML SOL. INY. AM/FAM"/>
        <s v="VINCRISTINA 1MG/ML SOL. INYECT I.V. FAM"/>
        <s v="ALBUMINA HUMANA 20% SOL.PERF.IV FAM 50ML"/>
        <s v="AMOXICIL/CLAVULAN 875/125 MG CM/CM REC"/>
        <s v="BEVACIZUMAB 100 MG/4 ML SOL. P/INF. FAM"/>
        <s v="CEFTAZ/AVIBACTAM 2/0.5G SOL INYECT FAM"/>
        <s v="GENTAMICINA 80 MG/2ML SOL. INY. AM/FAM"/>
        <s v="NETUPITANT/PALONOSETRON 300/0,5MG CAP"/>
        <s v="CALCIO FOLINATO(LEUCOVOR) 100MG/10ML FAM"/>
        <s v="METOTREXATO 500MG/20ML SOL INY FAM"/>
        <s v="MORFINA 20MG/1ML SOL.INY. AM"/>
        <s v="TRAZODONA 100 MG CP/CM/CM REC"/>
      </sharedItems>
    </cacheField>
    <cacheField name="año" numFmtId="0">
      <sharedItems containsSemiMixedTypes="0" containsString="0" containsNumber="1" containsInteger="1" minValue="2023" maxValue="202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8">
  <r>
    <x v="0"/>
    <s v="OCTREOTIDA 0,1 MG/ML SOL. INYECT. AM/FAM"/>
    <n v="90"/>
    <n v="25"/>
    <n v="65"/>
    <n v="0.28000000000000003"/>
  </r>
  <r>
    <x v="1"/>
    <s v="PERTUZUMAB 420 MG/14 ML SOL. INY FAM"/>
    <n v="10"/>
    <n v="3"/>
    <n v="7"/>
    <n v="0.3"/>
  </r>
  <r>
    <x v="2"/>
    <s v="FUMARATO FERROSO + VITAMINAS CM O CP"/>
    <n v="3600"/>
    <n v="1200"/>
    <n v="2400"/>
    <n v="0.33"/>
  </r>
  <r>
    <x v="3"/>
    <s v="KETOROLACO 30 MG/ML SOL.INY. AM/FAM 1 ML"/>
    <n v="1080"/>
    <n v="400"/>
    <n v="680"/>
    <n v="0.37"/>
  </r>
  <r>
    <x v="4"/>
    <s v="LIDOCAINA 2% SOL. INY. AM/FAM 5 ML"/>
    <n v="900"/>
    <n v="200"/>
    <n v="700"/>
    <n v="0.22"/>
  </r>
  <r>
    <x v="5"/>
    <s v="SUXAMETONIO 100MG AM/FAM"/>
    <n v="8"/>
    <n v="4"/>
    <n v="4"/>
    <n v="0.5"/>
  </r>
  <r>
    <x v="6"/>
    <s v="TRAZODONA 100 MG CM/CM REC"/>
    <n v="900"/>
    <n v="300"/>
    <n v="600"/>
    <n v="0.33"/>
  </r>
  <r>
    <x v="7"/>
    <s v="METAMIZOL 1G / 2ML AM SOL. INY. IV/IM"/>
    <n v="10500"/>
    <n v="2800"/>
    <n v="7700"/>
    <n v="0.27"/>
  </r>
  <r>
    <x v="8"/>
    <s v="ACICLOVIR 400 MG CM"/>
    <n v="3040"/>
    <n v="1225"/>
    <n v="1815"/>
    <n v="0.4"/>
  </r>
  <r>
    <x v="9"/>
    <s v="IMATINIB 400 MG CP/CM REC."/>
    <n v="1500"/>
    <n v="750"/>
    <n v="750"/>
    <n v="0.5"/>
  </r>
  <r>
    <x v="10"/>
    <s v="SODIO CLORURO 10 % SOL INY IV AM 10 ML"/>
    <n v="200"/>
    <n v="100"/>
    <n v="100"/>
    <n v="0.5"/>
  </r>
  <r>
    <x v="11"/>
    <s v="ATROPINA 1 MG/1 ML SOL. INY. AM/FAM"/>
    <n v="200"/>
    <n v="100"/>
    <n v="100"/>
    <n v="0.5"/>
  </r>
  <r>
    <x v="12"/>
    <s v="ESPIRONOLACTONA 25 MG CM/GG"/>
    <n v="2000"/>
    <n v="700"/>
    <n v="1300"/>
    <n v="0.35"/>
  </r>
  <r>
    <x v="13"/>
    <s v="GOSERELINA 10,8 MG JRP C/IMPL. SUBCUT."/>
    <n v="60"/>
    <n v="31"/>
    <n v="29"/>
    <n v="0.52"/>
  </r>
  <r>
    <x v="14"/>
    <s v="SALBUTAMOL 5MG/ML SOL.NEBU FRA 20ML"/>
    <n v="3"/>
    <n v="1"/>
    <n v="2"/>
    <n v="0.33"/>
  </r>
  <r>
    <x v="0"/>
    <s v="OCTREOTIDA 0,1 MG/ML SOL. INYECT. AM/FAM"/>
    <n v="50"/>
    <n v="25"/>
    <n v="25"/>
    <n v="0.5"/>
  </r>
  <r>
    <x v="15"/>
    <s v="RINGER LACTATO BOLSA 500 ML"/>
    <n v="560"/>
    <n v="308"/>
    <n v="252"/>
    <n v="0.55000000000000004"/>
  </r>
  <r>
    <x v="15"/>
    <s v="RINGER LACTATO BOLSA 500 ML"/>
    <n v="560"/>
    <n v="308"/>
    <n v="252"/>
    <n v="0.55000000000000004"/>
  </r>
  <r>
    <x v="5"/>
    <s v="SUXAMETONIO 100MG AM/FAM"/>
    <n v="8"/>
    <n v="4"/>
    <n v="4"/>
    <n v="0.5"/>
  </r>
  <r>
    <x v="16"/>
    <s v="ABIRATERONA 250 MG CM/CM REC"/>
    <n v="3720"/>
    <n v="480"/>
    <n v="3240"/>
    <n v="0.13"/>
  </r>
  <r>
    <x v="17"/>
    <s v="DOXORUBICINA 2MG/ML SOL. INYEC FAM 10ML"/>
    <n v="25"/>
    <n v="3"/>
    <n v="22"/>
    <n v="0.12"/>
  </r>
  <r>
    <x v="18"/>
    <s v="METOTREXATO 2,5 MG CM BLISTER"/>
    <n v="200"/>
    <n v="100"/>
    <n v="100"/>
    <n v="0.5"/>
  </r>
  <r>
    <x v="19"/>
    <s v="ATROPINA/PAPAVERINA 0,5/40 MG CM"/>
    <n v="1000"/>
    <n v="420"/>
    <n v="580"/>
    <n v="0.42"/>
  </r>
  <r>
    <x v="20"/>
    <s v="TRAMADOL 100MG CM REC/CP LIBER.PROLONG"/>
    <n v="3300"/>
    <n v="1650"/>
    <n v="1650"/>
    <n v="0.5"/>
  </r>
  <r>
    <x v="21"/>
    <s v="VINCRISTINA 1MG/ML SOL. INYECT I.V. FAM"/>
    <n v="65"/>
    <n v="24"/>
    <n v="41"/>
    <n v="0.37"/>
  </r>
  <r>
    <x v="17"/>
    <s v="DOXORUBICINA 2MG/ML SOL. INYEC FAM 10ML"/>
    <n v="25"/>
    <n v="5"/>
    <n v="20"/>
    <n v="0.2"/>
  </r>
  <r>
    <x v="22"/>
    <s v="EXEMESTANO 25 MG GG/CM REC"/>
    <n v="6000"/>
    <n v="2640"/>
    <n v="3360"/>
    <n v="0.44"/>
  </r>
  <r>
    <x v="23"/>
    <s v="LIDOCAINA 5G/100G PARCHE"/>
    <n v="500"/>
    <n v="150"/>
    <n v="350"/>
    <n v="0.3"/>
  </r>
  <r>
    <x v="24"/>
    <s v="EFEDRINA SULFATO 6% SOL. INY. AM/FAM 1ML"/>
    <n v="200"/>
    <n v="100"/>
    <n v="100"/>
    <n v="0.5"/>
  </r>
  <r>
    <x v="23"/>
    <s v="LIDOCAINA 5G/100G PARCHE"/>
    <n v="500"/>
    <n v="65"/>
    <n v="435"/>
    <n v="0.13"/>
  </r>
  <r>
    <x v="25"/>
    <s v="MIDAZOLAM 50 MG/10ML SOL.INY. AM/FAM"/>
    <n v="100"/>
    <n v="40"/>
    <n v="60"/>
    <n v="0.4"/>
  </r>
  <r>
    <x v="26"/>
    <s v="POTASIO CLORURO 10% SOL. INY. AM 10 ML"/>
    <n v="1500"/>
    <n v="800"/>
    <n v="700"/>
    <n v="0.53"/>
  </r>
  <r>
    <x v="27"/>
    <s v="SUGAMMADEX 200 MG/ 2ML SOL.INYECT FAM"/>
    <n v="40"/>
    <n v="10"/>
    <n v="30"/>
    <n v="0.25"/>
  </r>
  <r>
    <x v="28"/>
    <s v="INMUNOGLOBULINA G HUMANA 5A10 GRAMOS FAM"/>
    <n v="12"/>
    <n v="6"/>
    <n v="6"/>
    <n v="0.5"/>
  </r>
  <r>
    <x v="29"/>
    <s v="NILOTINIB 150 MG CP"/>
    <n v="784"/>
    <n v="336"/>
    <n v="448"/>
    <n v="0.43"/>
  </r>
  <r>
    <x v="30"/>
    <s v="METADONA 10 MG/2ML SOL.INY. IV-SC AM/FAM"/>
    <n v="700"/>
    <n v="400"/>
    <n v="300"/>
    <n v="0.56999999999999995"/>
  </r>
  <r>
    <x v="31"/>
    <s v="TRAMADOL 100 MG/2 ML SOL. INYECT. AM/FAM"/>
    <n v="200"/>
    <n v="100"/>
    <n v="100"/>
    <n v="0.5"/>
  </r>
  <r>
    <x v="32"/>
    <s v="CALCITRIOL 0,5 MCG CP"/>
    <n v="1000"/>
    <n v="500"/>
    <n v="500"/>
    <n v="0.5"/>
  </r>
  <r>
    <x v="33"/>
    <s v="CARVEDILOL 6,25 MG CM/CM REC."/>
    <n v="210"/>
    <n v="90"/>
    <n v="120"/>
    <n v="0.43"/>
  </r>
  <r>
    <x v="34"/>
    <s v="CISPLATINO 50 MG/50 ML SOL. INY. FAM"/>
    <n v="180"/>
    <n v="43"/>
    <n v="137"/>
    <n v="0.24"/>
  </r>
  <r>
    <x v="24"/>
    <s v="EFEDRINA SULFATO 6% SOL. INY. AM/FAM 1ML"/>
    <n v="200"/>
    <n v="100"/>
    <n v="100"/>
    <n v="0.5"/>
  </r>
  <r>
    <x v="35"/>
    <s v="PARGEVERINA 5 MG/ML SOL INY IV-IM AM 1ML"/>
    <n v="200"/>
    <n v="100"/>
    <n v="100"/>
    <n v="0.5"/>
  </r>
  <r>
    <x v="36"/>
    <s v="POLIETILENGLICOL (MACROGOL 3350) SO 17G"/>
    <n v="765"/>
    <n v="315"/>
    <n v="450"/>
    <n v="0.41"/>
  </r>
  <r>
    <x v="16"/>
    <s v="ABIRATERONA 250 MG CM/CM REC"/>
    <n v="3600"/>
    <n v="960"/>
    <n v="2640"/>
    <n v="0.27"/>
  </r>
  <r>
    <x v="37"/>
    <s v="CICLOFOSFAMIDA 1G FAM POLVO/POLVO LIOFIL"/>
    <n v="100"/>
    <n v="53"/>
    <n v="47"/>
    <n v="0.53"/>
  </r>
  <r>
    <x v="38"/>
    <s v="LETROZOL 2,5 MG CM/CM REC"/>
    <n v="10380"/>
    <n v="5700"/>
    <n v="4680"/>
    <n v="0.55000000000000004"/>
  </r>
  <r>
    <x v="39"/>
    <s v="BETAMETASONA FOSF/ACET 3/3MG 3A5 ML FAM"/>
    <n v="2"/>
    <n v="1"/>
    <n v="1"/>
    <n v="0.5"/>
  </r>
  <r>
    <x v="40"/>
    <s v="HIDROCORTISONA 100MG LIOF. P/SOL INY FAM"/>
    <n v="100"/>
    <n v="50"/>
    <n v="50"/>
    <n v="0.5"/>
  </r>
  <r>
    <x v="41"/>
    <s v="OMEPRAZOL 20MG CM O CP C/MICR.C/REC/ENT"/>
    <n v="12000"/>
    <n v="6000"/>
    <n v="6000"/>
    <n v="0.5"/>
  </r>
  <r>
    <x v="38"/>
    <s v="LETROZOL 2,5 MG CM/CM REC"/>
    <n v="10380"/>
    <n v="5310"/>
    <n v="5070"/>
    <n v="0.51"/>
  </r>
  <r>
    <x v="42"/>
    <s v="RISPERIDONA 1 MG CM/CM REC."/>
    <n v="240"/>
    <n v="30"/>
    <n v="210"/>
    <n v="0.12"/>
  </r>
  <r>
    <x v="43"/>
    <s v="DASATINIB 100 MG CM REC"/>
    <n v="660"/>
    <n v="360"/>
    <n v="300"/>
    <n v="0.55000000000000004"/>
  </r>
  <r>
    <x v="16"/>
    <s v="ABIRATERONA 250 MG CM/CM REC"/>
    <n v="4080"/>
    <n v="480"/>
    <n v="3600"/>
    <n v="0.12"/>
  </r>
  <r>
    <x v="43"/>
    <s v="DASATINIB 100 MG CM REC"/>
    <n v="780"/>
    <n v="420"/>
    <n v="360"/>
    <n v="0.54"/>
  </r>
  <r>
    <x v="40"/>
    <s v="HIDROCORTISONA 100MG LIOF. P/SOL INY FAM"/>
    <n v="100"/>
    <n v="30"/>
    <n v="70"/>
    <n v="0.3"/>
  </r>
  <r>
    <x v="7"/>
    <s v="METAMIZOL 1G / 2ML AM SOL. INY. IV/IM"/>
    <n v="5500"/>
    <n v="2900"/>
    <n v="2600"/>
    <n v="0.53"/>
  </r>
  <r>
    <x v="44"/>
    <s v="A.A SALICILIC 100MG CM/CM REC/CP"/>
    <n v="2500"/>
    <n v="700"/>
    <n v="1800"/>
    <n v="0.28000000000000003"/>
  </r>
  <r>
    <x v="20"/>
    <s v="TRAMADOL 100MG CM REC/CP LIBER.PROLONG"/>
    <n v="4200"/>
    <n v="2070"/>
    <n v="2130"/>
    <n v="0.49"/>
  </r>
  <r>
    <x v="43"/>
    <s v="DASATINIB 100 MG CM REC"/>
    <n v="1200"/>
    <n v="600"/>
    <n v="600"/>
    <n v="0.5"/>
  </r>
  <r>
    <x v="45"/>
    <s v="FULVESTRANT 250MG/5 ML SOL. INY. JR/JRP"/>
    <n v="52"/>
    <n v="22"/>
    <n v="30"/>
    <n v="0.42"/>
  </r>
  <r>
    <x v="20"/>
    <s v="TRAMADOL 100MG CM REC/CP LIBER.PROLONG"/>
    <n v="4200"/>
    <n v="160"/>
    <n v="4040"/>
    <n v="0.04"/>
  </r>
  <r>
    <x v="43"/>
    <s v="DASATINIB 100 MG CM REC"/>
    <n v="1200"/>
    <n v="660"/>
    <n v="540"/>
    <n v="0.55000000000000004"/>
  </r>
  <r>
    <x v="46"/>
    <s v="CALCIO FOLINATO(LEUCOVOR) 100MG/10ML FAM"/>
    <n v="270"/>
    <n v="150"/>
    <n v="120"/>
    <n v="0.56000000000000005"/>
  </r>
  <r>
    <x v="47"/>
    <s v="PAZOPANIB 400 MG CM REC"/>
    <n v="990"/>
    <n v="540"/>
    <n v="450"/>
    <n v="0.55000000000000004"/>
  </r>
  <r>
    <x v="48"/>
    <s v="VASOPRESINA 20 U.I./ML SOL.INY AM"/>
    <n v="20"/>
    <n v="10"/>
    <n v="10"/>
    <n v="0.5"/>
  </r>
  <r>
    <x v="49"/>
    <s v="CARBOPLATINO 450 MG/45 ML SOL.INYEC FAM"/>
    <n v="150"/>
    <n v="84"/>
    <n v="66"/>
    <n v="0.56000000000000005"/>
  </r>
  <r>
    <x v="40"/>
    <s v="HIDROCORTISONA 100MG LIOF. P/SOL INY FAM"/>
    <n v="90"/>
    <n v="50"/>
    <n v="40"/>
    <n v="0.56000000000000005"/>
  </r>
  <r>
    <x v="50"/>
    <s v="QUETIAPINA 25 MG CM REC."/>
    <n v="5000"/>
    <n v="1000"/>
    <n v="4000"/>
    <n v="0.2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87">
  <r>
    <x v="0"/>
    <s v="ACIDO ZOLEDRONICO 4 MG/5ML AM/BO SOL INY"/>
    <n v="85"/>
    <n v="0"/>
    <n v="85"/>
    <n v="0"/>
  </r>
  <r>
    <x v="1"/>
    <s v="ATROPINA/PAPAVERINA 0,5/40 MG CM"/>
    <n v="1000"/>
    <n v="0"/>
    <n v="1000"/>
    <n v="0"/>
  </r>
  <r>
    <x v="2"/>
    <s v="BLEOMICINA 15U.I. POLVO LIOF. P/INY FAM"/>
    <n v="30"/>
    <n v="0"/>
    <n v="30"/>
    <n v="0"/>
  </r>
  <r>
    <x v="3"/>
    <s v="BUPIVACAINA 0,5% SOL INY AM/FAM 10 ML"/>
    <n v="200"/>
    <n v="0"/>
    <n v="200"/>
    <n v="0"/>
  </r>
  <r>
    <x v="4"/>
    <s v="CIPROFLOXACIN 200MG/100ML SOL INY FAM/BO"/>
    <n v="100"/>
    <n v="0"/>
    <n v="100"/>
    <n v="0"/>
  </r>
  <r>
    <x v="5"/>
    <s v="COLISTIMETATO 3.000.000 UI POLV/LIOF FAM"/>
    <n v="10"/>
    <n v="0"/>
    <n v="10"/>
    <n v="0"/>
  </r>
  <r>
    <x v="6"/>
    <s v="HIERRO 20MG/ML SOL. INY. I.V. AM/FAM 5ML"/>
    <n v="120"/>
    <n v="0"/>
    <n v="120"/>
    <n v="0"/>
  </r>
  <r>
    <x v="7"/>
    <s v="IMATINIB 400 MG CP/CM REC."/>
    <n v="750"/>
    <n v="0"/>
    <n v="750"/>
    <n v="0"/>
  </r>
  <r>
    <x v="8"/>
    <s v="IMIPENEM-CILASTATINA 500/500 MG LIOF FAM"/>
    <n v="120"/>
    <n v="0"/>
    <n v="120"/>
    <n v="0"/>
  </r>
  <r>
    <x v="9"/>
    <s v="LIDOCAINA 2% C/EPINEF. 1:100000 SOL.INY"/>
    <n v="150"/>
    <n v="0"/>
    <n v="150"/>
    <n v="0"/>
  </r>
  <r>
    <x v="10"/>
    <s v="MEPIVACAINA 3% S/VASOCONST. TU VIDRIO"/>
    <n v="50"/>
    <n v="0"/>
    <n v="50"/>
    <n v="0"/>
  </r>
  <r>
    <x v="11"/>
    <s v="SODIO CLORURO 0,9% BOLSA 250 ML"/>
    <n v="1500"/>
    <n v="0"/>
    <n v="1500"/>
    <n v="0"/>
  </r>
  <r>
    <x v="12"/>
    <s v="AGUA ESTERIL P/INYECT. 500 ML SEMIRIGIDO"/>
    <n v="80"/>
    <n v="0"/>
    <n v="80"/>
    <n v="0"/>
  </r>
  <r>
    <x v="13"/>
    <s v="BUPRENORFINA SIST. TRANSDERMICO 10 MCG/H"/>
    <n v="40"/>
    <n v="0"/>
    <n v="40"/>
    <n v="0"/>
  </r>
  <r>
    <x v="5"/>
    <s v="COLISTIMETATO 3.000.000 UI POLV/LIOF FAM"/>
    <n v="10"/>
    <n v="0"/>
    <n v="10"/>
    <n v="0"/>
  </r>
  <r>
    <x v="14"/>
    <s v="FITOQUINONA 10 MG/1 ML SOL INY IV AM/FAM"/>
    <n v="50"/>
    <n v="0"/>
    <n v="50"/>
    <n v="0"/>
  </r>
  <r>
    <x v="15"/>
    <s v="GEFITINIB 250 MG CM REC."/>
    <n v="30"/>
    <n v="0"/>
    <n v="30"/>
    <n v="0"/>
  </r>
  <r>
    <x v="16"/>
    <s v="GLUCOSA 10% 1000 ML ENV. SEMIRIGIDO"/>
    <n v="10"/>
    <n v="0"/>
    <n v="10"/>
    <n v="0"/>
  </r>
  <r>
    <x v="17"/>
    <s v="GLUCOSA 30% 500ML ENV SEMIRRIG MATRAZ"/>
    <n v="20"/>
    <n v="0"/>
    <n v="20"/>
    <n v="0"/>
  </r>
  <r>
    <x v="18"/>
    <s v="GLUCOSAL ISOT. ENV.SEMIRIGIDO 1 L"/>
    <n v="130"/>
    <n v="0"/>
    <n v="130"/>
    <n v="0"/>
  </r>
  <r>
    <x v="18"/>
    <s v="GLUCOSAL ISOT. ENV.SEMIRIGIDO 1 L"/>
    <n v="120"/>
    <n v="0"/>
    <n v="120"/>
    <n v="0"/>
  </r>
  <r>
    <x v="19"/>
    <s v="GLUCOSAL. ISOT ENV.SEMIRIGIDO 500ML"/>
    <n v="60"/>
    <n v="0"/>
    <n v="60"/>
    <n v="0"/>
  </r>
  <r>
    <x v="20"/>
    <s v="TRASTUZUMAB EMTANSINA 160MG LIOF. FAM"/>
    <n v="10"/>
    <n v="0"/>
    <n v="10"/>
    <n v="0"/>
  </r>
  <r>
    <x v="21"/>
    <s v="AFATINIB 40 MG CM REC"/>
    <n v="56"/>
    <n v="0"/>
    <n v="56"/>
    <n v="0"/>
  </r>
  <r>
    <x v="22"/>
    <s v="AMPICILINA 500 MG POLVO/POLVO LIOF FAM"/>
    <n v="150"/>
    <n v="0"/>
    <n v="150"/>
    <n v="0"/>
  </r>
  <r>
    <x v="23"/>
    <s v="ERTAPENEM 1 G POL/LIOF SOL.INYECT. FAM"/>
    <n v="20"/>
    <n v="0"/>
    <n v="20"/>
    <n v="0"/>
  </r>
  <r>
    <x v="24"/>
    <s v="FENTANILO 0,5 MG/10 ML SOL. INY. AM/FAM"/>
    <n v="800"/>
    <n v="0"/>
    <n v="800"/>
    <n v="0"/>
  </r>
  <r>
    <x v="25"/>
    <s v="GLUCOSA 30% SOL. INY. I.V. AM/FAM 20 ML"/>
    <n v="100"/>
    <n v="0"/>
    <n v="100"/>
    <n v="0"/>
  </r>
  <r>
    <x v="19"/>
    <s v="GLUCOSAL. ISOT ENV.SEMIRIGIDO 500ML"/>
    <n v="60"/>
    <n v="0"/>
    <n v="60"/>
    <n v="0"/>
  </r>
  <r>
    <x v="26"/>
    <s v="INSULINA NPH HUMANA 100 UI/ML FAM 10 ML"/>
    <n v="10"/>
    <n v="0"/>
    <n v="10"/>
    <n v="0"/>
  </r>
  <r>
    <x v="27"/>
    <s v="MANITOL 15% BOLSA/ENV SEMIRIGIDO 500 ML"/>
    <n v="20"/>
    <n v="0"/>
    <n v="20"/>
    <n v="0"/>
  </r>
  <r>
    <x v="10"/>
    <s v="MEPIVACAINA 3% S/VASOCONST. TU VIDRIO"/>
    <n v="50"/>
    <n v="0"/>
    <n v="50"/>
    <n v="0"/>
  </r>
  <r>
    <x v="28"/>
    <s v="METAMIZOL 300 MG CM"/>
    <n v="4200"/>
    <n v="0"/>
    <n v="4200"/>
    <n v="0"/>
  </r>
  <r>
    <x v="29"/>
    <s v="MIRTAZAPINA 30 MG CM REC"/>
    <n v="2220"/>
    <n v="0"/>
    <n v="2220"/>
    <n v="0"/>
  </r>
  <r>
    <x v="30"/>
    <s v="REMIFENTANILO 1 MG LIOF P/SOL INY IV FAM"/>
    <n v="15"/>
    <n v="0"/>
    <n v="15"/>
    <n v="0"/>
  </r>
  <r>
    <x v="31"/>
    <s v="SODIO CLORURO 0,9% SOL INY IV AM 10 ML"/>
    <n v="10300"/>
    <n v="0"/>
    <n v="10300"/>
    <n v="0"/>
  </r>
  <r>
    <x v="32"/>
    <s v="TEMOZOLOMIDA 20 MG CP"/>
    <n v="25"/>
    <n v="0"/>
    <n v="25"/>
    <n v="0"/>
  </r>
  <r>
    <x v="33"/>
    <s v="CLINDAMICINA 600 MG/4 ML SOL.INY. AM/FAM"/>
    <n v="50"/>
    <n v="0"/>
    <n v="50"/>
    <n v="0"/>
  </r>
  <r>
    <x v="5"/>
    <s v="COLISTIMETATO 3.000.000 UI POLV/LIOF FAM"/>
    <n v="10"/>
    <n v="0"/>
    <n v="10"/>
    <n v="0"/>
  </r>
  <r>
    <x v="34"/>
    <s v="ESCOPOLAM N-BUTIL BROMUR 20 MG/ML AM/FAM"/>
    <n v="1000"/>
    <n v="0"/>
    <n v="1000"/>
    <n v="0"/>
  </r>
  <r>
    <x v="35"/>
    <s v="HEPARINA SODICA 25.000 U.I./5 ML FAM/JRP"/>
    <n v="100"/>
    <n v="0"/>
    <n v="100"/>
    <n v="0"/>
  </r>
  <r>
    <x v="36"/>
    <s v="PAZOPANIB 200 MG CM REC"/>
    <n v="120"/>
    <n v="0"/>
    <n v="120"/>
    <n v="0"/>
  </r>
  <r>
    <x v="37"/>
    <s v="PAZOPANIB 400 MG CM REC"/>
    <n v="450"/>
    <n v="0"/>
    <n v="450"/>
    <n v="0"/>
  </r>
  <r>
    <x v="38"/>
    <s v="SEVOFLURANO LIQ. P/INHALAC FRASCO 250 ML"/>
    <n v="24"/>
    <n v="0"/>
    <n v="24"/>
    <n v="0"/>
  </r>
  <r>
    <x v="39"/>
    <s v="TRAZODONA 100 MG CM/CM REC"/>
    <n v="900"/>
    <n v="0"/>
    <n v="900"/>
    <n v="0"/>
  </r>
  <r>
    <x v="40"/>
    <s v="BETAM.FOSF.DISOD.4 MG/MLSOL.INY. AM/FAM"/>
    <n v="200"/>
    <n v="0"/>
    <n v="200"/>
    <n v="0"/>
  </r>
  <r>
    <x v="41"/>
    <s v="CEFAZOLINA 1G POLVO/LIOF SOL INYECT.FAM"/>
    <n v="500"/>
    <n v="0"/>
    <n v="500"/>
    <n v="0"/>
  </r>
  <r>
    <x v="33"/>
    <s v="CLINDAMICINA 600 MG/4 ML SOL.INY. AM/FAM"/>
    <n v="50"/>
    <n v="0"/>
    <n v="50"/>
    <n v="0"/>
  </r>
  <r>
    <x v="5"/>
    <s v="COLISTIMETATO 3.000.000 UI POLV/LIOF FAM"/>
    <n v="10"/>
    <n v="0"/>
    <n v="10"/>
    <n v="0"/>
  </r>
  <r>
    <x v="42"/>
    <s v="DEXAM.FOSF.SODIC 4 MG/1ML SOL.INY AM/FAM"/>
    <n v="3000"/>
    <n v="0"/>
    <n v="3000"/>
    <n v="0"/>
  </r>
  <r>
    <x v="23"/>
    <s v="ERTAPENEM 1 G POL/LIOF SOL.INYECT. FAM"/>
    <n v="20"/>
    <n v="0"/>
    <n v="20"/>
    <n v="0"/>
  </r>
  <r>
    <x v="25"/>
    <s v="GLUCOSA 30% SOL. INY. I.V. AM/FAM 20 ML"/>
    <n v="100"/>
    <n v="0"/>
    <n v="100"/>
    <n v="0"/>
  </r>
  <r>
    <x v="43"/>
    <s v="KETOPROFENO 100MG SOL INY/LIO AM/JRP/FAM"/>
    <n v="300"/>
    <n v="0"/>
    <n v="300"/>
    <n v="0"/>
  </r>
  <r>
    <x v="44"/>
    <s v="LIDOCAINA 2% SOL. INY. AM/FAM 5 ML"/>
    <n v="900"/>
    <n v="0"/>
    <n v="900"/>
    <n v="0"/>
  </r>
  <r>
    <x v="45"/>
    <s v="LIDOCAINA 5G/100G PARCHE"/>
    <n v="440"/>
    <n v="0"/>
    <n v="440"/>
    <n v="0"/>
  </r>
  <r>
    <x v="27"/>
    <s v="MANITOL 15% BOLSA/ENV SEMIRIGIDO 500 ML"/>
    <n v="20"/>
    <n v="0"/>
    <n v="20"/>
    <n v="0"/>
  </r>
  <r>
    <x v="46"/>
    <s v="METAMIZOL 1G / 2ML AM SOL. INY. IV/IM"/>
    <n v="10500"/>
    <n v="0"/>
    <n v="10500"/>
    <n v="0"/>
  </r>
  <r>
    <x v="47"/>
    <s v="ONDANSETRON 8 MG CM BUCODISPERSABLES"/>
    <n v="120"/>
    <n v="0"/>
    <n v="120"/>
    <n v="0"/>
  </r>
  <r>
    <x v="48"/>
    <s v="PEMETREXED 500MG POLVO O LIOF. FAM."/>
    <n v="80"/>
    <n v="0"/>
    <n v="80"/>
    <n v="0"/>
  </r>
  <r>
    <x v="11"/>
    <s v="SODIO CLORURO 0,9% BOLSA 250 ML"/>
    <n v="400"/>
    <n v="0"/>
    <n v="400"/>
    <n v="0"/>
  </r>
  <r>
    <x v="11"/>
    <s v="SODIO CLORURO 0,9% BOLSA 250 ML"/>
    <n v="600"/>
    <n v="0"/>
    <n v="600"/>
    <n v="0"/>
  </r>
  <r>
    <x v="12"/>
    <s v="AGUA ESTERIL P/INYECT. 500 ML SEMIRIGIDO"/>
    <n v="320"/>
    <n v="0"/>
    <n v="320"/>
    <n v="0"/>
  </r>
  <r>
    <x v="49"/>
    <s v="AGUA ESTERIL P/INYECTABLES 10 ML AM"/>
    <n v="1000"/>
    <n v="0"/>
    <n v="1000"/>
    <n v="0"/>
  </r>
  <r>
    <x v="33"/>
    <s v="CLINDAMICINA 600 MG/4 ML SOL.INY. AM/FAM"/>
    <n v="50"/>
    <n v="0"/>
    <n v="50"/>
    <n v="0"/>
  </r>
  <r>
    <x v="50"/>
    <s v="FLUMAZENIL 0,5 MG/5 ML SOL. INY. AM/FAM"/>
    <n v="30"/>
    <n v="0"/>
    <n v="30"/>
    <n v="0"/>
  </r>
  <r>
    <x v="17"/>
    <s v="GLUCOSA 30% 500ML ENV SEMIRRIG MATRAZ"/>
    <n v="20"/>
    <n v="0"/>
    <n v="20"/>
    <n v="0"/>
  </r>
  <r>
    <x v="25"/>
    <s v="GLUCOSA 30% SOL. INY. I.V. AM/FAM 20 ML"/>
    <n v="200"/>
    <n v="0"/>
    <n v="200"/>
    <n v="0"/>
  </r>
  <r>
    <x v="18"/>
    <s v="GLUCOSAL ISOT. ENV.SEMIRIGIDO 1 L"/>
    <n v="130"/>
    <n v="0"/>
    <n v="130"/>
    <n v="0"/>
  </r>
  <r>
    <x v="18"/>
    <s v="GLUCOSAL ISOT. ENV.SEMIRIGIDO 1 L"/>
    <n v="120"/>
    <n v="0"/>
    <n v="120"/>
    <n v="0"/>
  </r>
  <r>
    <x v="51"/>
    <s v="LACTUL65-66,7G/100ML SOL.OR FRA100-200ML"/>
    <n v="720"/>
    <n v="0"/>
    <n v="720"/>
    <n v="0"/>
  </r>
  <r>
    <x v="52"/>
    <s v="LENALIDOMIDA 25MG CP"/>
    <n v="42"/>
    <n v="0"/>
    <n v="42"/>
    <n v="0"/>
  </r>
  <r>
    <x v="44"/>
    <s v="LIDOCAINA 2% SOL. INY. AM/FAM 5 ML"/>
    <n v="1200"/>
    <n v="0"/>
    <n v="1200"/>
    <n v="0"/>
  </r>
  <r>
    <x v="53"/>
    <s v="MELFALAN 2 MG CM/CM RECUBIERTO"/>
    <n v="50"/>
    <n v="0"/>
    <n v="50"/>
    <n v="0"/>
  </r>
  <r>
    <x v="54"/>
    <s v="MESALAZINA 500 MG SUPOSITORIO"/>
    <n v="120"/>
    <n v="0"/>
    <n v="120"/>
    <n v="0"/>
  </r>
  <r>
    <x v="55"/>
    <s v="NALOXONA 0,4 MG/ML 1 ML SOL. INY. AM"/>
    <n v="10"/>
    <n v="0"/>
    <n v="10"/>
    <n v="0"/>
  </r>
  <r>
    <x v="30"/>
    <s v="REMIFENTANILO 1 MG LIOF P/SOL INY IV FAM"/>
    <n v="15"/>
    <n v="0"/>
    <n v="15"/>
    <n v="0"/>
  </r>
  <r>
    <x v="56"/>
    <s v="SODIO CLORURO 0,9% BOLSA 500 ML"/>
    <n v="260"/>
    <n v="0"/>
    <n v="260"/>
    <n v="0"/>
  </r>
  <r>
    <x v="56"/>
    <s v="SODIO CLORURO 0,9% BOLSA 500 ML"/>
    <n v="300"/>
    <n v="0"/>
    <n v="300"/>
    <n v="0"/>
  </r>
  <r>
    <x v="57"/>
    <s v="SODIO CLORURO 0,9% SOL INY IV AM 20 ML"/>
    <n v="10200"/>
    <n v="0"/>
    <n v="10200"/>
    <n v="0"/>
  </r>
  <r>
    <x v="58"/>
    <s v="SODIO CLORURO 10 % SOL INY IV AM 10 ML"/>
    <n v="200"/>
    <n v="0"/>
    <n v="200"/>
    <n v="0"/>
  </r>
  <r>
    <x v="59"/>
    <s v="TENECTEPLASA 10.000UI LIOF P/SOL INY FAM"/>
    <n v="4"/>
    <n v="0"/>
    <n v="4"/>
    <n v="0"/>
  </r>
  <r>
    <x v="60"/>
    <s v="TRAMADOL 100MG CM REC/CP LIBER.PROLONG"/>
    <n v="3900"/>
    <n v="0"/>
    <n v="3900"/>
    <n v="0"/>
  </r>
  <r>
    <x v="12"/>
    <s v="AGUA ESTERIL P/INYECT. 500 ML SEMIRIGIDO"/>
    <n v="240"/>
    <n v="0"/>
    <n v="240"/>
    <n v="0"/>
  </r>
  <r>
    <x v="61"/>
    <s v="AZACITIDINA 100MG LIOF P/SUSP. INY FAM"/>
    <n v="28"/>
    <n v="0"/>
    <n v="28"/>
    <n v="0"/>
  </r>
  <r>
    <x v="33"/>
    <s v="CLINDAMICINA 600 MG/4 ML SOL.INY. AM/FAM"/>
    <n v="50"/>
    <n v="0"/>
    <n v="50"/>
    <n v="0"/>
  </r>
  <r>
    <x v="62"/>
    <s v="GABAPENTINA 600 MG CP/CM REC."/>
    <n v="1620"/>
    <n v="0"/>
    <n v="1620"/>
    <n v="0"/>
  </r>
  <r>
    <x v="63"/>
    <s v="MIDAZOLAM 50 MG/10ML SOL.INY. AM/FAM"/>
    <n v="100"/>
    <n v="0"/>
    <n v="100"/>
    <n v="0"/>
  </r>
  <r>
    <x v="64"/>
    <s v="POTASIO CLORURO 10% SOL. INY. AM 10 ML"/>
    <n v="500"/>
    <n v="0"/>
    <n v="500"/>
    <n v="0"/>
  </r>
  <r>
    <x v="65"/>
    <s v="SULFAMET./TRIMETOPR. 400/80 MG/5ML AM"/>
    <n v="30"/>
    <n v="0"/>
    <n v="30"/>
    <n v="0"/>
  </r>
  <r>
    <x v="60"/>
    <s v="TRAMADOL 100MG CM REC/CP LIBER.PROLONG"/>
    <n v="3900"/>
    <n v="0"/>
    <n v="3900"/>
    <n v="0"/>
  </r>
  <r>
    <x v="12"/>
    <s v="AGUA ESTERIL P/INYECT. 500 ML SEMIRIGIDO"/>
    <n v="20"/>
    <n v="0"/>
    <n v="20"/>
    <n v="0"/>
  </r>
  <r>
    <x v="66"/>
    <s v="CALCITRIOL 0,25 MCG CP"/>
    <n v="840"/>
    <n v="0"/>
    <n v="840"/>
    <n v="0"/>
  </r>
  <r>
    <x v="67"/>
    <s v="CARBOPLATINO 450 MG/45 ML SOL.INYEC FAM"/>
    <n v="80"/>
    <n v="0"/>
    <n v="80"/>
    <n v="0"/>
  </r>
  <r>
    <x v="33"/>
    <s v="CLINDAMICINA 600 MG/4 ML SOL.INY. AM/FAM"/>
    <n v="50"/>
    <n v="0"/>
    <n v="50"/>
    <n v="0"/>
  </r>
  <r>
    <x v="34"/>
    <s v="ESCOPOLAM N-BUTIL BROMUR 20 MG/ML AM/FAM"/>
    <n v="1000"/>
    <n v="0"/>
    <n v="1000"/>
    <n v="0"/>
  </r>
  <r>
    <x v="62"/>
    <s v="GABAPENTINA 600 MG CP/CM REC."/>
    <n v="1620"/>
    <n v="0"/>
    <n v="1620"/>
    <n v="0"/>
  </r>
  <r>
    <x v="68"/>
    <s v="PACLITAXEL 300 MG/50 ML SOL. INY. FAM"/>
    <n v="100"/>
    <n v="0"/>
    <n v="100"/>
    <n v="0"/>
  </r>
  <r>
    <x v="69"/>
    <s v="SALBUTAMOL 5MG/ML SOL.NEBU FRA 20ML"/>
    <n v="15"/>
    <n v="0"/>
    <n v="15"/>
    <n v="0"/>
  </r>
  <r>
    <x v="58"/>
    <s v="SODIO CLORURO 10 % SOL INY IV AM 10 ML"/>
    <n v="200"/>
    <n v="0"/>
    <n v="200"/>
    <n v="0"/>
  </r>
  <r>
    <x v="70"/>
    <s v="ALECTINIB 150 MG CP"/>
    <n v="1120"/>
    <n v="0"/>
    <n v="1120"/>
    <n v="0"/>
  </r>
  <r>
    <x v="33"/>
    <s v="CLINDAMICINA 600 MG/4 ML SOL.INY. AM/FAM"/>
    <n v="50"/>
    <n v="0"/>
    <n v="50"/>
    <n v="0"/>
  </r>
  <r>
    <x v="71"/>
    <s v="FENTANILO 25MCG/HORA PARCHE TRANSDERMICO"/>
    <n v="200"/>
    <n v="0"/>
    <n v="200"/>
    <n v="0"/>
  </r>
  <r>
    <x v="15"/>
    <s v="GEFITINIB 250 MG CM REC."/>
    <n v="60"/>
    <n v="0"/>
    <n v="60"/>
    <n v="0"/>
  </r>
  <r>
    <x v="27"/>
    <s v="MANITOL 15% BOLSA/ENV SEMIRIGIDO 500 ML"/>
    <n v="20"/>
    <n v="0"/>
    <n v="20"/>
    <n v="0"/>
  </r>
  <r>
    <x v="54"/>
    <s v="MESALAZINA 500 MG SUPOSITORIO"/>
    <n v="120"/>
    <n v="0"/>
    <n v="120"/>
    <n v="0"/>
  </r>
  <r>
    <x v="63"/>
    <s v="MIDAZOLAM 50 MG/10ML SOL.INY. AM/FAM"/>
    <n v="100"/>
    <n v="0"/>
    <n v="100"/>
    <n v="0"/>
  </r>
  <r>
    <x v="72"/>
    <s v="MIVACURIO 2MG/ML SOL INY 5 ML FAM"/>
    <n v="10"/>
    <n v="0"/>
    <n v="10"/>
    <n v="0"/>
  </r>
  <r>
    <x v="55"/>
    <s v="NALOXONA 0,4 MG/ML 1 ML SOL. INY. AM"/>
    <n v="10"/>
    <n v="0"/>
    <n v="10"/>
    <n v="0"/>
  </r>
  <r>
    <x v="73"/>
    <s v="SUXAMETONIO 100MG AM/FAM"/>
    <n v="8"/>
    <n v="0"/>
    <n v="8"/>
    <n v="0"/>
  </r>
  <r>
    <x v="33"/>
    <s v="CLINDAMICINA 600 MG/4 ML SOL.INY. AM/FAM"/>
    <n v="50"/>
    <n v="0"/>
    <n v="50"/>
    <n v="0"/>
  </r>
  <r>
    <x v="71"/>
    <s v="FENTANILO 25MCG/HORA PARCHE TRANSDERMICO"/>
    <n v="200"/>
    <n v="0"/>
    <n v="200"/>
    <n v="0"/>
  </r>
  <r>
    <x v="17"/>
    <s v="GLUCOSA 30% 500ML ENV SEMIRRIG MATRAZ"/>
    <n v="20"/>
    <n v="0"/>
    <n v="20"/>
    <n v="0"/>
  </r>
  <r>
    <x v="74"/>
    <s v="GOSERELINA 10,8 MG JRP C/IMPL. SUBCUT."/>
    <n v="60"/>
    <n v="0"/>
    <n v="60"/>
    <n v="0"/>
  </r>
  <r>
    <x v="75"/>
    <s v="HIDROXICARBAMIDA 500 MG CP/CM"/>
    <n v="100"/>
    <n v="0"/>
    <n v="100"/>
    <n v="0"/>
  </r>
  <r>
    <x v="7"/>
    <s v="IMATINIB 400 MG CP/CM REC."/>
    <n v="810"/>
    <n v="0"/>
    <n v="810"/>
    <n v="0"/>
  </r>
  <r>
    <x v="76"/>
    <s v="IPRATROPIO 0,25MG/ML SOL P/NEB FRA 20ML"/>
    <n v="30"/>
    <n v="0"/>
    <n v="30"/>
    <n v="0"/>
  </r>
  <r>
    <x v="51"/>
    <s v="LACTUL65-66,7G/100ML SOL.OR FRA100-200ML"/>
    <n v="960"/>
    <n v="0"/>
    <n v="960"/>
    <n v="0"/>
  </r>
  <r>
    <x v="77"/>
    <s v="LIDOCAINA 10% SOL. TOPICA FRA 50 ML"/>
    <n v="5"/>
    <n v="0"/>
    <n v="5"/>
    <n v="0"/>
  </r>
  <r>
    <x v="63"/>
    <s v="MIDAZOLAM 50 MG/10ML SOL.INY. AM/FAM"/>
    <n v="100"/>
    <n v="0"/>
    <n v="100"/>
    <n v="0"/>
  </r>
  <r>
    <x v="78"/>
    <s v="NIVOLUMAB 10MG/ML SOL INY IV FAM 4 ML"/>
    <n v="50"/>
    <n v="0"/>
    <n v="50"/>
    <n v="0"/>
  </r>
  <r>
    <x v="79"/>
    <s v="PEMBROLIZUMAB 100 MG/4ML SOL INY FAM"/>
    <n v="25"/>
    <n v="0"/>
    <n v="25"/>
    <n v="0"/>
  </r>
  <r>
    <x v="80"/>
    <s v="SODIO CLORURO 0,9% BOLSA 100 ML"/>
    <n v="2200"/>
    <n v="0"/>
    <n v="2200"/>
    <n v="0"/>
  </r>
  <r>
    <x v="80"/>
    <s v="SODIO CLORURO 0,9% BOLSA 100 ML"/>
    <n v="2200"/>
    <n v="0"/>
    <n v="2200"/>
    <n v="0"/>
  </r>
  <r>
    <x v="58"/>
    <s v="SODIO CLORURO 10 % SOL INY IV AM 10 ML"/>
    <n v="200"/>
    <n v="0"/>
    <n v="200"/>
    <n v="0"/>
  </r>
  <r>
    <x v="81"/>
    <s v="ATROPINA 1 MG/1 ML SOL. INY. AM/FAM"/>
    <n v="200"/>
    <n v="0"/>
    <n v="200"/>
    <n v="0"/>
  </r>
  <r>
    <x v="33"/>
    <s v="CLINDAMICINA 600 MG/4 ML SOL.INY. AM/FAM"/>
    <n v="50"/>
    <n v="0"/>
    <n v="50"/>
    <n v="0"/>
  </r>
  <r>
    <x v="82"/>
    <s v="DROPERIDOL 5 MG/2 ML SOL.INYEC AM/FAM"/>
    <n v="50"/>
    <n v="0"/>
    <n v="50"/>
    <n v="0"/>
  </r>
  <r>
    <x v="51"/>
    <s v="LACTUL65-66,7G/100ML SOL.OR FRA100-200ML"/>
    <n v="960"/>
    <n v="0"/>
    <n v="960"/>
    <n v="0"/>
  </r>
  <r>
    <x v="83"/>
    <s v="LOPERAMIDA 2MG CM/CP"/>
    <n v="12000"/>
    <n v="0"/>
    <n v="12000"/>
    <n v="0"/>
  </r>
  <r>
    <x v="84"/>
    <s v="MORFINA 10 MG/ML SOL. INY. AM"/>
    <n v="800"/>
    <n v="0"/>
    <n v="800"/>
    <n v="0"/>
  </r>
  <r>
    <x v="85"/>
    <s v="PARACETAMOL 10MG/ML INY FAM/AM/BOL 100ML"/>
    <n v="1200"/>
    <n v="0"/>
    <n v="1200"/>
    <n v="0"/>
  </r>
  <r>
    <x v="80"/>
    <s v="SODIO CLORURO 0,9% BOLSA 100 ML"/>
    <n v="2200"/>
    <n v="0"/>
    <n v="2200"/>
    <n v="0"/>
  </r>
  <r>
    <x v="80"/>
    <s v="SODIO CLORURO 0,9% BOLSA 100 ML"/>
    <n v="2200"/>
    <n v="0"/>
    <n v="2200"/>
    <n v="0"/>
  </r>
  <r>
    <x v="57"/>
    <s v="SODIO CLORURO 0,9% SOL INY IV AM 20 ML"/>
    <n v="10200"/>
    <n v="0"/>
    <n v="10200"/>
    <n v="0"/>
  </r>
  <r>
    <x v="58"/>
    <s v="SODIO CLORURO 10 % SOL INY IV AM 10 ML"/>
    <n v="200"/>
    <n v="0"/>
    <n v="200"/>
    <n v="0"/>
  </r>
  <r>
    <x v="86"/>
    <s v="VENLAFAXINA 75 MG CM/CP LIB PROL/OSMOT"/>
    <n v="1500"/>
    <n v="0"/>
    <n v="1500"/>
    <n v="0"/>
  </r>
  <r>
    <x v="0"/>
    <s v="ACIDO ZOLEDRONICO 4 MG/5ML AM/BO SOL INY"/>
    <n v="70"/>
    <n v="0"/>
    <n v="70"/>
    <n v="0"/>
  </r>
  <r>
    <x v="40"/>
    <s v="BETAM.FOSF.DISOD.4 MG/MLSOL.INY. AM/FAM"/>
    <n v="200"/>
    <n v="0"/>
    <n v="200"/>
    <n v="0"/>
  </r>
  <r>
    <x v="33"/>
    <s v="CLINDAMICINA 600 MG/4 ML SOL.INY. AM/FAM"/>
    <n v="50"/>
    <n v="0"/>
    <n v="50"/>
    <n v="0"/>
  </r>
  <r>
    <x v="87"/>
    <s v="FENITOINA 100 MG CM LIB. RAPIDA"/>
    <n v="120"/>
    <n v="0"/>
    <n v="120"/>
    <n v="0"/>
  </r>
  <r>
    <x v="88"/>
    <s v="HIDROCORTISONA 1% CREMA TU/PM 10 A 20 G"/>
    <n v="10"/>
    <n v="0"/>
    <n v="10"/>
    <n v="0"/>
  </r>
  <r>
    <x v="45"/>
    <s v="LIDOCAINA 5G/100G PARCHE"/>
    <n v="500"/>
    <n v="0"/>
    <n v="500"/>
    <n v="0"/>
  </r>
  <r>
    <x v="83"/>
    <s v="LOPERAMIDA 2MG CM/CP"/>
    <n v="12000"/>
    <n v="0"/>
    <n v="12000"/>
    <n v="0"/>
  </r>
  <r>
    <x v="85"/>
    <s v="PARACETAMOL 10MG/ML INY FAM/AM/BOL 100ML"/>
    <n v="1200"/>
    <n v="0"/>
    <n v="1200"/>
    <n v="0"/>
  </r>
  <r>
    <x v="89"/>
    <s v="TEMOZOLOMIDA 180 MG CP"/>
    <n v="10"/>
    <n v="0"/>
    <n v="10"/>
    <n v="0"/>
  </r>
  <r>
    <x v="49"/>
    <s v="AGUA ESTERIL P/INYECTABLES 10 ML AM"/>
    <n v="600"/>
    <n v="0"/>
    <n v="600"/>
    <n v="0"/>
  </r>
  <r>
    <x v="90"/>
    <s v="ATORVASTATINA 40 MG CM REC."/>
    <n v="240"/>
    <n v="0"/>
    <n v="240"/>
    <n v="0"/>
  </r>
  <r>
    <x v="91"/>
    <s v="COMPLEJO PROTROMBINA 500 UI FAM"/>
    <n v="2"/>
    <n v="0"/>
    <n v="2"/>
    <n v="0"/>
  </r>
  <r>
    <x v="92"/>
    <s v="DOXORUBICINA 2MG/ML SOL. INYEC FAM 10ML"/>
    <n v="25"/>
    <n v="0"/>
    <n v="25"/>
    <n v="0"/>
  </r>
  <r>
    <x v="93"/>
    <s v="EFEDRINA SULFATO 6% SOL. INY. AM/FAM 1ML"/>
    <n v="200"/>
    <n v="0"/>
    <n v="200"/>
    <n v="0"/>
  </r>
  <r>
    <x v="25"/>
    <s v="GLUCOSA 30% SOL. INY. I.V. AM/FAM 20 ML"/>
    <n v="100"/>
    <n v="0"/>
    <n v="100"/>
    <n v="0"/>
  </r>
  <r>
    <x v="88"/>
    <s v="HIDROCORTISONA 1% CREMA TU/PM 10 A 20 G"/>
    <n v="7"/>
    <n v="0"/>
    <n v="7"/>
    <n v="0"/>
  </r>
  <r>
    <x v="52"/>
    <s v="LENALIDOMIDA 25MG CP"/>
    <n v="780"/>
    <n v="0"/>
    <n v="780"/>
    <n v="0"/>
  </r>
  <r>
    <x v="44"/>
    <s v="LIDOCAINA 2% SOL. INY. AM/FAM 5 ML"/>
    <n v="1000"/>
    <n v="0"/>
    <n v="1000"/>
    <n v="0"/>
  </r>
  <r>
    <x v="94"/>
    <s v="ONDANSETRON 2MG/ML SOL.INY. AM O FAM 4ML"/>
    <n v="1500"/>
    <n v="0"/>
    <n v="1500"/>
    <n v="0"/>
  </r>
  <r>
    <x v="47"/>
    <s v="ONDANSETRON 8 MG CM BUCODISPERSABLES"/>
    <n v="170"/>
    <n v="0"/>
    <n v="170"/>
    <n v="0"/>
  </r>
  <r>
    <x v="57"/>
    <s v="SODIO CLORURO 0,9% SOL INY IV AM 20 ML"/>
    <n v="10600"/>
    <n v="0"/>
    <n v="10600"/>
    <n v="0"/>
  </r>
  <r>
    <x v="58"/>
    <s v="SODIO CLORURO 10 % SOL INY IV AM 10 ML"/>
    <n v="200"/>
    <n v="0"/>
    <n v="200"/>
    <n v="0"/>
  </r>
  <r>
    <x v="65"/>
    <s v="SULFAMET./TRIMETOPR. 400/80 MG/5ML AM"/>
    <n v="10"/>
    <n v="0"/>
    <n v="10"/>
    <n v="0"/>
  </r>
  <r>
    <x v="95"/>
    <s v="CLOBETASOL 0,05% CREMA DERMICA 25 A 30 G"/>
    <n v="10"/>
    <n v="0"/>
    <n v="10"/>
    <n v="0"/>
  </r>
  <r>
    <x v="14"/>
    <s v="FITOQUINONA 10 MG/1ML SOL IV/ORAL AM/FAM"/>
    <n v="25"/>
    <n v="0"/>
    <n v="25"/>
    <n v="0"/>
  </r>
  <r>
    <x v="96"/>
    <s v="HIDROCORTISONA 100MG LIOF. P/SOL INY FAM"/>
    <n v="100"/>
    <n v="0"/>
    <n v="100"/>
    <n v="0"/>
  </r>
  <r>
    <x v="44"/>
    <s v="LIDOCAINA 2% SOL. INY. AM/FAM 5 ML"/>
    <n v="1000"/>
    <n v="0"/>
    <n v="1000"/>
    <n v="0"/>
  </r>
  <r>
    <x v="97"/>
    <s v="METADONA 10 MG/2ML SOL.INY. IV-SC AM/FAM"/>
    <n v="700"/>
    <n v="0"/>
    <n v="700"/>
    <n v="0"/>
  </r>
  <r>
    <x v="98"/>
    <s v="PARACETAMOL 500 MG CM/CM REC"/>
    <n v="80000"/>
    <n v="0"/>
    <n v="80000"/>
    <n v="0"/>
  </r>
  <r>
    <x v="64"/>
    <s v="POTASIO CLORURO 10% SOL. INY. AM 10 ML"/>
    <n v="2000"/>
    <n v="0"/>
    <n v="2000"/>
    <n v="0"/>
  </r>
  <r>
    <x v="57"/>
    <s v="SODIO CLORURO 0,9% SOL INY IV AM 20 ML"/>
    <n v="10600"/>
    <n v="0"/>
    <n v="10600"/>
    <n v="0"/>
  </r>
  <r>
    <x v="58"/>
    <s v="SODIO CLORURO 10 % SOL INY IV AM 10 ML"/>
    <n v="200"/>
    <n v="0"/>
    <n v="200"/>
    <n v="0"/>
  </r>
  <r>
    <x v="99"/>
    <s v="TAPENTADOL 50 MG CM LIB. PROLONGADA"/>
    <n v="650"/>
    <n v="0"/>
    <n v="650"/>
    <n v="0"/>
  </r>
  <r>
    <x v="89"/>
    <s v="TEMOZOLOMIDA 180 MG CP"/>
    <n v="15"/>
    <n v="0"/>
    <n v="15"/>
    <n v="0"/>
  </r>
  <r>
    <x v="100"/>
    <s v="ACIDO TRANEX. 1G/10 ML SOL INY AMP O FAM"/>
    <n v="220"/>
    <n v="0"/>
    <n v="220"/>
    <n v="0"/>
  </r>
  <r>
    <x v="90"/>
    <s v="ATORVASTATINA 40 MG CM REC."/>
    <n v="240"/>
    <n v="0"/>
    <n v="240"/>
    <n v="0"/>
  </r>
  <r>
    <x v="101"/>
    <s v="CARVEDILOL 6,25 MG CM/CM REC."/>
    <n v="210"/>
    <n v="0"/>
    <n v="210"/>
    <n v="0"/>
  </r>
  <r>
    <x v="102"/>
    <s v="ENOXAPARINA 40 MG/0,4ML SOL.INY. JRP"/>
    <n v="1300"/>
    <n v="0"/>
    <n v="1300"/>
    <n v="0"/>
  </r>
  <r>
    <x v="103"/>
    <s v="EPOETINA ALFA-BETA HUMANA RECOMB 4000 UI"/>
    <n v="200"/>
    <n v="0"/>
    <n v="200"/>
    <n v="0"/>
  </r>
  <r>
    <x v="104"/>
    <s v="FUMARATO FERROSO + VITAMINAS CM O CP"/>
    <n v="3000"/>
    <n v="0"/>
    <n v="3000"/>
    <n v="0"/>
  </r>
  <r>
    <x v="105"/>
    <s v="GABAPENTINA 400 MG CP/CM REC."/>
    <n v="360"/>
    <n v="0"/>
    <n v="360"/>
    <n v="0"/>
  </r>
  <r>
    <x v="96"/>
    <s v="HIDROCORTISONA 100MG LIOF. P/SOL INY FAM"/>
    <n v="100"/>
    <n v="0"/>
    <n v="100"/>
    <n v="0"/>
  </r>
  <r>
    <x v="106"/>
    <s v="IRINOTECAN 100 MG/5 ML SOL. INY. FAM"/>
    <n v="60"/>
    <n v="0"/>
    <n v="60"/>
    <n v="0"/>
  </r>
  <r>
    <x v="44"/>
    <s v="LIDOCAINA 2% SOL. INY. AM/FAM 5 ML"/>
    <n v="1000"/>
    <n v="0"/>
    <n v="1000"/>
    <n v="0"/>
  </r>
  <r>
    <x v="107"/>
    <s v="MEROPENEM 500 MG POLVO/LIOF. FAM"/>
    <n v="450"/>
    <n v="0"/>
    <n v="450"/>
    <n v="0"/>
  </r>
  <r>
    <x v="57"/>
    <s v="SODIO CLORURO 0,9% SOL INY IV AM 20 ML"/>
    <n v="10600"/>
    <n v="0"/>
    <n v="10600"/>
    <n v="0"/>
  </r>
  <r>
    <x v="58"/>
    <s v="SODIO CLORURO 10 % SOL INY IV AM 10 ML"/>
    <n v="200"/>
    <n v="0"/>
    <n v="200"/>
    <n v="0"/>
  </r>
  <r>
    <x v="65"/>
    <s v="SULFAMET./TRIMETOPR. 400/80 MG/5ML AM"/>
    <n v="10"/>
    <n v="0"/>
    <n v="10"/>
    <n v="0"/>
  </r>
  <r>
    <x v="89"/>
    <s v="TEMOZOLOMIDA 180 MG CP"/>
    <n v="15"/>
    <n v="0"/>
    <n v="15"/>
    <n v="0"/>
  </r>
  <r>
    <x v="32"/>
    <s v="TEMOZOLOMIDA 20 MG CP"/>
    <n v="45"/>
    <n v="0"/>
    <n v="45"/>
    <n v="0"/>
  </r>
  <r>
    <x v="108"/>
    <s v="VASOPRESINA 20 U.I./ML SOL.INY AM"/>
    <n v="10"/>
    <n v="0"/>
    <n v="10"/>
    <n v="0"/>
  </r>
  <r>
    <x v="90"/>
    <s v="ATORVASTATINA 40 MG CM REC."/>
    <n v="240"/>
    <n v="0"/>
    <n v="240"/>
    <n v="0"/>
  </r>
  <r>
    <x v="33"/>
    <s v="CLINDAMICINA 600 MG/4 ML SOL.INY. AM/FAM"/>
    <n v="100"/>
    <n v="0"/>
    <n v="100"/>
    <n v="0"/>
  </r>
  <r>
    <x v="103"/>
    <s v="EPOETINA ALFA-BETA HUMANA RECOMB 4000 UI"/>
    <n v="100"/>
    <n v="0"/>
    <n v="100"/>
    <n v="0"/>
  </r>
  <r>
    <x v="19"/>
    <s v="GLUCOSAL. ISOT ENV.SEMIRIGIDO 500ML"/>
    <n v="80"/>
    <n v="0"/>
    <n v="80"/>
    <n v="0"/>
  </r>
  <r>
    <x v="109"/>
    <s v="LEVOCETIRIZINA 5 MG CM REC"/>
    <n v="600"/>
    <n v="0"/>
    <n v="600"/>
    <n v="0"/>
  </r>
  <r>
    <x v="110"/>
    <s v="METRONIDAZOL 500 MG CM/CM REC."/>
    <n v="400"/>
    <n v="0"/>
    <n v="400"/>
    <n v="0"/>
  </r>
  <r>
    <x v="111"/>
    <s v="METRONIDAZOL 500 MG OVULO/CP VAGINAL"/>
    <n v="100"/>
    <n v="0"/>
    <n v="100"/>
    <n v="0"/>
  </r>
  <r>
    <x v="112"/>
    <s v="OLANZAPINA 5 MG CM/CM REC"/>
    <n v="300"/>
    <n v="0"/>
    <n v="300"/>
    <n v="0"/>
  </r>
  <r>
    <x v="113"/>
    <s v="POLIETILENGLICOL (MACROGOL 3350) SO 17G"/>
    <n v="765"/>
    <n v="0"/>
    <n v="765"/>
    <n v="0"/>
  </r>
  <r>
    <x v="57"/>
    <s v="SODIO CLORURO 0,9% SOL INY IV AM 20 ML"/>
    <n v="13000"/>
    <n v="0"/>
    <n v="13000"/>
    <n v="0"/>
  </r>
  <r>
    <x v="114"/>
    <s v="TEMOZOLOMIDA 100 MG CP"/>
    <n v="95"/>
    <n v="0"/>
    <n v="95"/>
    <n v="0"/>
  </r>
  <r>
    <x v="49"/>
    <s v="AGUA ESTERIL P/INYECTABLES 10 ML AM"/>
    <n v="600"/>
    <n v="0"/>
    <n v="600"/>
    <n v="0"/>
  </r>
  <r>
    <x v="2"/>
    <s v="BLEOMICINA 15U.I. POLVO LIOF. P/INY FAM"/>
    <n v="60"/>
    <n v="0"/>
    <n v="60"/>
    <n v="0"/>
  </r>
  <r>
    <x v="115"/>
    <s v="BUPRENORFINA SIST. TRANSDERMICO 35 MCG/H"/>
    <n v="500"/>
    <n v="0"/>
    <n v="500"/>
    <n v="0"/>
  </r>
  <r>
    <x v="116"/>
    <s v="DEGARELIX 120MG LIOF P/SOL INY FAM"/>
    <n v="10"/>
    <n v="0"/>
    <n v="10"/>
    <n v="0"/>
  </r>
  <r>
    <x v="117"/>
    <s v="DEGARELIX 80MG LIOF P/SOL INY FAM"/>
    <n v="16"/>
    <n v="0"/>
    <n v="16"/>
    <n v="0"/>
  </r>
  <r>
    <x v="82"/>
    <s v="DROPERIDOL 5 MG/2 ML SOL.INYEC AM/FAM"/>
    <n v="100"/>
    <n v="0"/>
    <n v="100"/>
    <n v="0"/>
  </r>
  <r>
    <x v="118"/>
    <s v="FLUOROURACILO 1000MG/20 ML S.INY AM/FAM"/>
    <n v="230"/>
    <n v="0"/>
    <n v="230"/>
    <n v="0"/>
  </r>
  <r>
    <x v="119"/>
    <s v="GLUCOSA 5% ENV. SEMIRIGIDO 250 ML"/>
    <n v="120"/>
    <n v="0"/>
    <n v="120"/>
    <n v="0"/>
  </r>
  <r>
    <x v="44"/>
    <s v="LIDOCAINA 2% SOL. INY. AM/FAM 5 ML"/>
    <n v="1000"/>
    <n v="0"/>
    <n v="1000"/>
    <n v="0"/>
  </r>
  <r>
    <x v="107"/>
    <s v="MEROPENEM 500 MG POLVO/LIOF. FAM"/>
    <n v="450"/>
    <n v="0"/>
    <n v="450"/>
    <n v="0"/>
  </r>
  <r>
    <x v="110"/>
    <s v="METRONIDAZOL 500 MG CM/CM REC."/>
    <n v="400"/>
    <n v="0"/>
    <n v="400"/>
    <n v="0"/>
  </r>
  <r>
    <x v="84"/>
    <s v="MORFINA 10 MG/ML SOL. INY. AM"/>
    <n v="800"/>
    <n v="0"/>
    <n v="800"/>
    <n v="0"/>
  </r>
  <r>
    <x v="120"/>
    <s v="OCTREOTIDA 20MG MICROESF SUSP INYEC FAM"/>
    <n v="20"/>
    <n v="0"/>
    <n v="20"/>
    <n v="0"/>
  </r>
  <r>
    <x v="47"/>
    <s v="ONDANSETRON 8 MG CM BUCODISPERSABLES"/>
    <n v="170"/>
    <n v="0"/>
    <n v="170"/>
    <n v="0"/>
  </r>
  <r>
    <x v="64"/>
    <s v="POTASIO CLORURO 10% SOL. INY. AM 10 ML"/>
    <n v="2000"/>
    <n v="0"/>
    <n v="2000"/>
    <n v="0"/>
  </r>
  <r>
    <x v="121"/>
    <s v="PREGABALINA 150 MG CM/CP"/>
    <n v="15840"/>
    <n v="0"/>
    <n v="15840"/>
    <n v="0"/>
  </r>
  <r>
    <x v="122"/>
    <s v="ROCURONIO 50 MG/5 ML SOL. INY. FAM"/>
    <n v="160"/>
    <n v="0"/>
    <n v="160"/>
    <n v="0"/>
  </r>
  <r>
    <x v="57"/>
    <s v="SODIO CLORURO 0,9% SOL INY IV AM 20 ML"/>
    <n v="13000"/>
    <n v="0"/>
    <n v="13000"/>
    <n v="0"/>
  </r>
  <r>
    <x v="123"/>
    <s v="VASELINA LIQUIDA ESTERIL AM 10 ML"/>
    <n v="400"/>
    <n v="0"/>
    <n v="400"/>
    <n v="0"/>
  </r>
  <r>
    <x v="124"/>
    <s v="BENDAMUSTINA 100 MG POL/LIOF SOL INY.FAM"/>
    <n v="15"/>
    <n v="0"/>
    <n v="15"/>
    <n v="0"/>
  </r>
  <r>
    <x v="3"/>
    <s v="BUPIVACAINA 0,5% SOL INY AM/FAM 10 ML"/>
    <n v="200"/>
    <n v="0"/>
    <n v="200"/>
    <n v="0"/>
  </r>
  <r>
    <x v="96"/>
    <s v="HIDROCORTISONA 100MG LIOF. P/SOL INY FAM"/>
    <n v="100"/>
    <n v="0"/>
    <n v="100"/>
    <n v="0"/>
  </r>
  <r>
    <x v="125"/>
    <s v="IMATINIB 100 MG CP/CM REC."/>
    <n v="180"/>
    <n v="0"/>
    <n v="180"/>
    <n v="0"/>
  </r>
  <r>
    <x v="126"/>
    <s v="MELATONINA 3 MG CP"/>
    <n v="2400"/>
    <n v="0"/>
    <n v="2400"/>
    <n v="0"/>
  </r>
  <r>
    <x v="127"/>
    <s v="PARGEVERINA 5 MG/ML SOL INY IV-IM AM 1ML"/>
    <n v="100"/>
    <n v="0"/>
    <n v="100"/>
    <n v="0"/>
  </r>
  <r>
    <x v="58"/>
    <s v="SODIO CLORURO 10 % SOL INY IV AM 10 ML"/>
    <n v="200"/>
    <n v="0"/>
    <n v="200"/>
    <n v="0"/>
  </r>
  <r>
    <x v="128"/>
    <s v="TESTOSTERONA UNDECANOAT 1000MG/4ML AM/FA"/>
    <n v="19"/>
    <n v="0"/>
    <n v="19"/>
    <n v="0"/>
  </r>
  <r>
    <x v="129"/>
    <s v="CARBAMAZEPINA 400 MG CM LIB.PROLONG/SOST"/>
    <n v="560"/>
    <n v="0"/>
    <n v="560"/>
    <n v="0"/>
  </r>
  <r>
    <x v="130"/>
    <s v="CISPLATINO 50 MG/50 ML SOL. INY. FAM"/>
    <n v="180"/>
    <n v="0"/>
    <n v="180"/>
    <n v="0"/>
  </r>
  <r>
    <x v="117"/>
    <s v="DEGARELIX 80MG LIOF P/SOL INY FAM"/>
    <n v="16"/>
    <n v="0"/>
    <n v="16"/>
    <n v="0"/>
  </r>
  <r>
    <x v="50"/>
    <s v="FLUMAZENIL 0,5 MG/5 ML SOL. INY. AM/FAM"/>
    <n v="10"/>
    <n v="0"/>
    <n v="10"/>
    <n v="0"/>
  </r>
  <r>
    <x v="125"/>
    <s v="IMATINIB 100 MG CP/CM REC."/>
    <n v="180"/>
    <n v="0"/>
    <n v="180"/>
    <n v="0"/>
  </r>
  <r>
    <x v="85"/>
    <s v="PARACETAMOL 10MG/ML INY FAM/AM/BOL 100ML"/>
    <n v="1200"/>
    <n v="0"/>
    <n v="1200"/>
    <n v="0"/>
  </r>
  <r>
    <x v="48"/>
    <s v="PEMETREXED 500MG POLVO O LIOF. FAM."/>
    <n v="24"/>
    <n v="0"/>
    <n v="24"/>
    <n v="0"/>
  </r>
  <r>
    <x v="131"/>
    <s v="QUETIAPINA 25 MG CM REC."/>
    <n v="5000"/>
    <n v="0"/>
    <n v="5000"/>
    <n v="0"/>
  </r>
  <r>
    <x v="132"/>
    <s v="TOPOTECAN 4MG LIOF. SOL. INY FAM"/>
    <n v="8"/>
    <n v="0"/>
    <n v="8"/>
    <n v="0"/>
  </r>
  <r>
    <x v="133"/>
    <s v="TOXINA BOTULINICA 500 U PVO.P.SOL.IN FAM"/>
    <n v="4"/>
    <n v="0"/>
    <n v="4"/>
    <n v="0"/>
  </r>
  <r>
    <x v="130"/>
    <s v="CISPLATINO 50 MG/50 ML SOL. INY. FAM"/>
    <n v="180"/>
    <n v="0"/>
    <n v="180"/>
    <n v="0"/>
  </r>
  <r>
    <x v="15"/>
    <s v="GEFITINIB 250 MG CM REC."/>
    <n v="30"/>
    <n v="0"/>
    <n v="30"/>
    <n v="0"/>
  </r>
  <r>
    <x v="125"/>
    <s v="IMATINIB 100 MG CP/CM REC."/>
    <n v="180"/>
    <n v="0"/>
    <n v="180"/>
    <n v="0"/>
  </r>
  <r>
    <x v="134"/>
    <s v="LIPEGFILGRASTIM 6MG/0,6ML SOL INYECT JRP"/>
    <n v="40"/>
    <n v="0"/>
    <n v="40"/>
    <n v="0"/>
  </r>
  <r>
    <x v="78"/>
    <s v="NIVOLUMAB 10MG/ML SOL INY IV FAM 4 ML"/>
    <n v="40"/>
    <n v="0"/>
    <n v="40"/>
    <n v="0"/>
  </r>
  <r>
    <x v="135"/>
    <s v="NIVOLUMAB 10MG/ML SOL.INY. IV FAM 10ML"/>
    <n v="40"/>
    <n v="0"/>
    <n v="40"/>
    <n v="0"/>
  </r>
  <r>
    <x v="136"/>
    <s v="CALCIO/VITAMINA D 450A600 MG/400UI CM/CP"/>
    <n v="50000"/>
    <n v="0"/>
    <n v="50000"/>
    <n v="0"/>
  </r>
  <r>
    <x v="137"/>
    <s v="CAPECITABINA 150 MG CM REC"/>
    <n v="1200"/>
    <n v="0"/>
    <n v="1200"/>
    <n v="0"/>
  </r>
  <r>
    <x v="130"/>
    <s v="CISPLATINO 50 MG/50 ML SOL. INY. FAM"/>
    <n v="180"/>
    <n v="0"/>
    <n v="180"/>
    <n v="0"/>
  </r>
  <r>
    <x v="138"/>
    <s v="CLORAMFENICOL 1% UNG OFT 3 A 5 G TU-PO"/>
    <n v="10"/>
    <n v="0"/>
    <n v="10"/>
    <n v="0"/>
  </r>
  <r>
    <x v="93"/>
    <s v="EFEDRINA SULFATO 6% SOL. INY. AM/FAM 1ML"/>
    <n v="300"/>
    <n v="0"/>
    <n v="300"/>
    <n v="0"/>
  </r>
  <r>
    <x v="139"/>
    <s v="LETROZOL 2,5 MG CM/CM REC"/>
    <n v="10380"/>
    <n v="0"/>
    <n v="10380"/>
    <n v="0"/>
  </r>
  <r>
    <x v="134"/>
    <s v="LIPEGFILGRASTIM 6MG/0,6ML SOL INYECT JRP"/>
    <n v="40"/>
    <n v="0"/>
    <n v="40"/>
    <n v="0"/>
  </r>
  <r>
    <x v="126"/>
    <s v="MELATONINA 3 MG CP"/>
    <n v="3600"/>
    <n v="0"/>
    <n v="3600"/>
    <n v="0"/>
  </r>
  <r>
    <x v="85"/>
    <s v="PARACETAMOL 10MG/ML INY FAM/AM/BOL 100ML"/>
    <n v="1200"/>
    <n v="0"/>
    <n v="1200"/>
    <n v="0"/>
  </r>
  <r>
    <x v="122"/>
    <s v="ROCURONIO 50 MG/5 ML SOL. INY. FAM"/>
    <n v="160"/>
    <n v="0"/>
    <n v="160"/>
    <n v="0"/>
  </r>
  <r>
    <x v="69"/>
    <s v="SALBUTAMOL 5MG/ML SOL.NEBU FRA 20ML"/>
    <n v="8"/>
    <n v="0"/>
    <n v="8"/>
    <n v="0"/>
  </r>
  <r>
    <x v="140"/>
    <s v="TRAMADOL 100MG/ML SOL.ORAL FRASCO 10 ML"/>
    <n v="660"/>
    <n v="0"/>
    <n v="660"/>
    <n v="0"/>
  </r>
  <r>
    <x v="141"/>
    <s v="CIANOCOBALAMINA 0,1MG/1ML SOL.INY.AM/FAM"/>
    <n v="100"/>
    <n v="0"/>
    <n v="100"/>
    <n v="0"/>
  </r>
  <r>
    <x v="142"/>
    <s v="DANTROLENO 20 MG LIOF SOL INYEC.FAM"/>
    <n v="6"/>
    <n v="0"/>
    <n v="6"/>
    <n v="0"/>
  </r>
  <r>
    <x v="143"/>
    <s v="HALOPERIDOL 5 MG/1 ML SOL. INY. AM/FAM"/>
    <n v="300"/>
    <n v="0"/>
    <n v="300"/>
    <n v="0"/>
  </r>
  <r>
    <x v="96"/>
    <s v="HIDROCORTISONA 100MG LIOF. P/SOL INY FAM"/>
    <n v="100"/>
    <n v="0"/>
    <n v="100"/>
    <n v="0"/>
  </r>
  <r>
    <x v="144"/>
    <s v="NEOSTIGMINA 0,5 MG/1 ML SOL. INY. AM"/>
    <n v="100"/>
    <n v="0"/>
    <n v="100"/>
    <n v="0"/>
  </r>
  <r>
    <x v="124"/>
    <s v="BENDAMUSTINA 100 MG POL/LIOF SOL INY.FAM"/>
    <n v="45"/>
    <n v="0"/>
    <n v="45"/>
    <n v="0"/>
  </r>
  <r>
    <x v="145"/>
    <s v="DULOXETINA 60 MG CM REC ENT O CP ENT"/>
    <n v="810"/>
    <n v="0"/>
    <n v="810"/>
    <n v="0"/>
  </r>
  <r>
    <x v="93"/>
    <s v="EFEDRINA SULFATO 6% SOL. INY. AM/FAM 1ML"/>
    <n v="200"/>
    <n v="0"/>
    <n v="200"/>
    <n v="0"/>
  </r>
  <r>
    <x v="125"/>
    <s v="IMATINIB 100 MG CP/CM REC."/>
    <n v="180"/>
    <n v="0"/>
    <n v="180"/>
    <n v="0"/>
  </r>
  <r>
    <x v="146"/>
    <s v="RIVAROXABAN 15 MG CM REC"/>
    <n v="280"/>
    <n v="0"/>
    <n v="280"/>
    <n v="0"/>
  </r>
  <r>
    <x v="69"/>
    <s v="SALBUTAMOL 5MG/ML SOL.NEBU FRA 20ML"/>
    <n v="8"/>
    <n v="0"/>
    <n v="8"/>
    <n v="0"/>
  </r>
  <r>
    <x v="80"/>
    <s v="SODIO CLORURO 0,9% BOLSA 100 ML"/>
    <n v="2500"/>
    <n v="0"/>
    <n v="2500"/>
    <n v="0"/>
  </r>
  <r>
    <x v="80"/>
    <s v="SODIO CLORURO 0,9% BOLSA 100 ML"/>
    <n v="2450"/>
    <n v="0"/>
    <n v="2450"/>
    <n v="0"/>
  </r>
  <r>
    <x v="133"/>
    <s v="TOXINA BOTULINICA 500 U PVO.P.SOL.IN FAM"/>
    <n v="8"/>
    <n v="0"/>
    <n v="8"/>
    <n v="0"/>
  </r>
  <r>
    <x v="147"/>
    <s v="ACIDO FOLINICO (LEUCOVORINA) 100MG/10ML"/>
    <n v="270"/>
    <n v="0"/>
    <n v="270"/>
    <n v="0"/>
  </r>
  <r>
    <x v="49"/>
    <s v="AGUA ESTERIL P/INYECTABLES 10 ML AM"/>
    <n v="1300"/>
    <n v="0"/>
    <n v="1300"/>
    <n v="0"/>
  </r>
  <r>
    <x v="137"/>
    <s v="CAPECITABINA 150 MG CM REC"/>
    <n v="1200"/>
    <n v="0"/>
    <n v="1200"/>
    <n v="0"/>
  </r>
  <r>
    <x v="138"/>
    <s v="CLORAMFENICOL 1% UNG OFT 3 A 5 G TU-PO"/>
    <n v="10"/>
    <n v="0"/>
    <n v="10"/>
    <n v="0"/>
  </r>
  <r>
    <x v="148"/>
    <s v="DOXORUBICINA 2MG/ML SOL. INYEC FAM 25ML"/>
    <n v="250"/>
    <n v="0"/>
    <n v="250"/>
    <n v="0"/>
  </r>
  <r>
    <x v="139"/>
    <s v="LETROZOL 2,5 MG CM/CM REC"/>
    <n v="15000"/>
    <n v="0"/>
    <n v="15000"/>
    <n v="0"/>
  </r>
  <r>
    <x v="134"/>
    <s v="LIPEGFILGRASTIM 6MG/0,6ML SOL INYECT JRP"/>
    <n v="40"/>
    <n v="0"/>
    <n v="40"/>
    <n v="0"/>
  </r>
  <r>
    <x v="149"/>
    <s v="LORAZEPAM 2 MG CM/CM REC"/>
    <n v="510"/>
    <n v="0"/>
    <n v="510"/>
    <n v="0"/>
  </r>
  <r>
    <x v="48"/>
    <s v="PEMETREXED 500MG POLVO O LIOF. FAM."/>
    <n v="24"/>
    <n v="0"/>
    <n v="24"/>
    <n v="0"/>
  </r>
  <r>
    <x v="69"/>
    <s v="SALBUTAMOL 5MG/ML SOL.NEBU FRA 20ML"/>
    <n v="8"/>
    <n v="0"/>
    <n v="8"/>
    <n v="0"/>
  </r>
  <r>
    <x v="150"/>
    <s v="SUNITINIB 25 MG CP"/>
    <n v="28"/>
    <n v="0"/>
    <n v="28"/>
    <n v="0"/>
  </r>
  <r>
    <x v="60"/>
    <s v="TRAMADOL 100MG CM REC/CP LIBER.PROLONG"/>
    <n v="4200"/>
    <n v="0"/>
    <n v="4200"/>
    <n v="0"/>
  </r>
  <r>
    <x v="2"/>
    <s v="BLEOMICINA 15U.I. POLVO LIOF. P/INY FAM"/>
    <n v="60"/>
    <n v="0"/>
    <n v="60"/>
    <n v="0"/>
  </r>
  <r>
    <x v="137"/>
    <s v="CAPECITABINA 150 MG CM REC"/>
    <n v="4800"/>
    <n v="0"/>
    <n v="4800"/>
    <n v="0"/>
  </r>
  <r>
    <x v="151"/>
    <s v="DASATINIB 100 MG CM REC"/>
    <n v="1200"/>
    <n v="0"/>
    <n v="1200"/>
    <n v="0"/>
  </r>
  <r>
    <x v="93"/>
    <s v="EFEDRINA SULFATO 6% SOL. INY. AM/FAM 1ML"/>
    <n v="200"/>
    <n v="0"/>
    <n v="200"/>
    <n v="0"/>
  </r>
  <r>
    <x v="17"/>
    <s v="GLUCOSA 30% 500ML ENV SEMIRRIG MATRAZ"/>
    <n v="20"/>
    <n v="0"/>
    <n v="20"/>
    <n v="0"/>
  </r>
  <r>
    <x v="52"/>
    <s v="LENALIDOMIDA 25MG CP"/>
    <n v="1500"/>
    <n v="0"/>
    <n v="1500"/>
    <n v="0"/>
  </r>
  <r>
    <x v="150"/>
    <s v="SUNITINIB 25 MG CP"/>
    <n v="28"/>
    <n v="0"/>
    <n v="28"/>
    <n v="0"/>
  </r>
  <r>
    <x v="60"/>
    <s v="TRAMADOL 100MG CM REC/CP LIBER.PROLONG"/>
    <n v="4200"/>
    <n v="0"/>
    <n v="4200"/>
    <n v="0"/>
  </r>
  <r>
    <x v="152"/>
    <s v="AMINOFILINA 250 MG/10 ML SOL.INY. AM/FAM"/>
    <n v="100"/>
    <n v="0"/>
    <n v="100"/>
    <n v="0"/>
  </r>
  <r>
    <x v="81"/>
    <s v="ATROPINA 1 MG/1 ML SOL. INY. AM/FAM"/>
    <n v="200"/>
    <n v="0"/>
    <n v="200"/>
    <n v="0"/>
  </r>
  <r>
    <x v="153"/>
    <s v="CARBAMAZEPINA 200 MG CM/CM REC"/>
    <n v="1500"/>
    <n v="0"/>
    <n v="1500"/>
    <n v="0"/>
  </r>
  <r>
    <x v="141"/>
    <s v="CIANOCOBALAMINA 0,1MG/1ML SOL.INY.AM/FAM"/>
    <n v="100"/>
    <n v="0"/>
    <n v="100"/>
    <n v="0"/>
  </r>
  <r>
    <x v="154"/>
    <s v="CLINDAMICINA 300 MG CP"/>
    <n v="32"/>
    <n v="0"/>
    <n v="32"/>
    <n v="0"/>
  </r>
  <r>
    <x v="155"/>
    <s v="DACARBAZINA 200 MG POLVO O LIOFILIZ. FAM"/>
    <n v="50"/>
    <n v="0"/>
    <n v="50"/>
    <n v="0"/>
  </r>
  <r>
    <x v="156"/>
    <s v="DARATUMUMAB 1800MG/15ML SOL PERF FAM"/>
    <n v="3"/>
    <n v="0"/>
    <n v="3"/>
    <n v="0"/>
  </r>
  <r>
    <x v="151"/>
    <s v="DASATINIB 100 MG CM REC"/>
    <n v="720"/>
    <n v="0"/>
    <n v="720"/>
    <n v="0"/>
  </r>
  <r>
    <x v="14"/>
    <s v="FITOQUINONA 10 MG/1ML SOL IV/ORAL AM/FAM"/>
    <n v="30"/>
    <n v="0"/>
    <n v="30"/>
    <n v="0"/>
  </r>
  <r>
    <x v="157"/>
    <s v="FUROSEMIDA 20 MG/1-2 ML SOL. INY AM/FAM"/>
    <n v="100"/>
    <n v="0"/>
    <n v="100"/>
    <n v="0"/>
  </r>
  <r>
    <x v="143"/>
    <s v="HALOPERIDOL 5 MG/1 ML SOL. INY. AM/FAM"/>
    <n v="200"/>
    <n v="0"/>
    <n v="200"/>
    <n v="0"/>
  </r>
  <r>
    <x v="158"/>
    <s v="INSUL GLULI 100U/ML S/IN LAPIZ REUTIL+AG"/>
    <n v="1"/>
    <n v="0"/>
    <n v="1"/>
    <n v="0"/>
  </r>
  <r>
    <x v="139"/>
    <s v="LETROZOL 2,5 MG CM/CM REC"/>
    <n v="10380"/>
    <n v="0"/>
    <n v="10380"/>
    <n v="0"/>
  </r>
  <r>
    <x v="159"/>
    <s v="LEVOTIROXINA 100 MCG CM RANURADO"/>
    <n v="400"/>
    <n v="0"/>
    <n v="400"/>
    <n v="0"/>
  </r>
  <r>
    <x v="160"/>
    <s v="NITROFURANTOINA MACROC. 100MG CP/CM REC"/>
    <n v="180"/>
    <n v="0"/>
    <n v="180"/>
    <n v="0"/>
  </r>
  <r>
    <x v="48"/>
    <s v="PEMETREXED 500MG POLVO O LIOF. FAM."/>
    <n v="15"/>
    <n v="0"/>
    <n v="15"/>
    <n v="0"/>
  </r>
  <r>
    <x v="64"/>
    <s v="POTASIO CLORURO 10% SOL. INY. AM 10 ML"/>
    <n v="500"/>
    <n v="0"/>
    <n v="500"/>
    <n v="0"/>
  </r>
  <r>
    <x v="73"/>
    <s v="SUXAMETONIO 100MG AM/FAM"/>
    <n v="10"/>
    <n v="0"/>
    <n v="10"/>
    <n v="0"/>
  </r>
  <r>
    <x v="60"/>
    <s v="TRAMADOL 100MG CM REC/CP LIBER.PROLONG"/>
    <n v="3240"/>
    <n v="0"/>
    <n v="3240"/>
    <n v="0"/>
  </r>
  <r>
    <x v="161"/>
    <s v="TRAZODONA 100 MG CM RANURADO"/>
    <n v="800"/>
    <n v="0"/>
    <n v="800"/>
    <n v="0"/>
  </r>
  <r>
    <x v="125"/>
    <s v="IMATINIB 100 MG CP/CM REC."/>
    <n v="300"/>
    <n v="0"/>
    <n v="300"/>
    <n v="0"/>
  </r>
  <r>
    <x v="139"/>
    <s v="LETROZOL 2,5 MG CM/CM REC"/>
    <n v="10380"/>
    <n v="0"/>
    <n v="10380"/>
    <n v="0"/>
  </r>
  <r>
    <x v="162"/>
    <s v="NILOTINIB 150 MG CP"/>
    <n v="1120"/>
    <n v="0"/>
    <n v="1120"/>
    <n v="0"/>
  </r>
  <r>
    <x v="160"/>
    <s v="NITROFURANTOINA MACROC. 100MG CP/CM REC"/>
    <n v="180"/>
    <n v="0"/>
    <n v="180"/>
    <n v="0"/>
  </r>
  <r>
    <x v="120"/>
    <s v="OCTREOTIDA 20MG MICROESF SUSP INYEC FAM"/>
    <n v="25"/>
    <n v="0"/>
    <n v="25"/>
    <n v="0"/>
  </r>
  <r>
    <x v="163"/>
    <s v="SUGAMMADEX 200 MG/ 2ML SOL.INYECT FAM"/>
    <n v="30"/>
    <n v="0"/>
    <n v="30"/>
    <n v="0"/>
  </r>
  <r>
    <x v="132"/>
    <s v="TOPOTECAN 4MG LIOF. SOL. INY FAM"/>
    <n v="8"/>
    <n v="0"/>
    <n v="8"/>
    <n v="0"/>
  </r>
  <r>
    <x v="164"/>
    <s v="VANCOMICINA 1G POLVO O LIOF SOL. INY.FAM"/>
    <n v="120"/>
    <n v="0"/>
    <n v="120"/>
    <n v="0"/>
  </r>
  <r>
    <x v="40"/>
    <s v="BETAM.FOSF.DISOD.4 MG/MLSOL.INY. AM/FAM"/>
    <n v="200"/>
    <n v="0"/>
    <n v="200"/>
    <n v="0"/>
  </r>
  <r>
    <x v="165"/>
    <s v="CEFTRIAXONA 1G POLVO SOL.INY I.M/I.V.FAM"/>
    <n v="300"/>
    <n v="0"/>
    <n v="300"/>
    <n v="0"/>
  </r>
  <r>
    <x v="5"/>
    <s v="COLISTIMETATO 3.000.000 UI POLV/LIOF FAM"/>
    <n v="25"/>
    <n v="0"/>
    <n v="25"/>
    <n v="0"/>
  </r>
  <r>
    <x v="151"/>
    <s v="DASATINIB 100 MG CM REC"/>
    <n v="720"/>
    <n v="0"/>
    <n v="720"/>
    <n v="0"/>
  </r>
  <r>
    <x v="134"/>
    <s v="LIPEGFILGRASTIM 6MG/0,6ML SOL INYECT JRP"/>
    <n v="120"/>
    <n v="0"/>
    <n v="120"/>
    <n v="0"/>
  </r>
  <r>
    <x v="72"/>
    <s v="MIVACURIO 2MG/ML SOL INY 5 ML FAM"/>
    <n v="5"/>
    <n v="0"/>
    <n v="5"/>
    <n v="0"/>
  </r>
  <r>
    <x v="160"/>
    <s v="NITROFURANTOINA MACROC. 100MG CP/CM REC"/>
    <n v="180"/>
    <n v="0"/>
    <n v="180"/>
    <n v="0"/>
  </r>
  <r>
    <x v="120"/>
    <s v="OCTREOTIDA 20MG MICROESF SUSP INYEC FAM"/>
    <n v="25"/>
    <n v="0"/>
    <n v="25"/>
    <n v="0"/>
  </r>
  <r>
    <x v="166"/>
    <s v="PANCREOLIPASA 25.000 U.F. EUR CP"/>
    <n v="3200"/>
    <n v="0"/>
    <n v="3200"/>
    <n v="0"/>
  </r>
  <r>
    <x v="60"/>
    <s v="TRAMADOL 100MG CM REC/CP LIBER.PROLONG"/>
    <n v="3240"/>
    <n v="0"/>
    <n v="3240"/>
    <n v="0"/>
  </r>
  <r>
    <x v="167"/>
    <s v="VINBLASTINA 10MG LIOF O PVO P.SO INY FAM"/>
    <n v="20"/>
    <n v="0"/>
    <n v="20"/>
    <n v="0"/>
  </r>
  <r>
    <x v="147"/>
    <s v="ACIDO FOLINICO (LEUCOVORINA) 100MG/10ML"/>
    <n v="300"/>
    <n v="0"/>
    <n v="300"/>
    <n v="0"/>
  </r>
  <r>
    <x v="141"/>
    <s v="CIANOCOBALAMINA 0,1MG/1ML SOL.INY.AM/FAM"/>
    <n v="100"/>
    <n v="0"/>
    <n v="100"/>
    <n v="0"/>
  </r>
  <r>
    <x v="155"/>
    <s v="DACARBAZINA 200 MG POLVO O LIOFILIZ. FAM"/>
    <n v="50"/>
    <n v="0"/>
    <n v="50"/>
    <n v="0"/>
  </r>
  <r>
    <x v="168"/>
    <s v="ENOXAPARINA 80 MG/0,8ML SOL.INY. JRP"/>
    <n v="50"/>
    <n v="0"/>
    <n v="50"/>
    <n v="0"/>
  </r>
  <r>
    <x v="14"/>
    <s v="FITOQUINONA 10 MG/1ML SOL IV/ORAL AM/FAM"/>
    <n v="30"/>
    <n v="0"/>
    <n v="30"/>
    <n v="0"/>
  </r>
  <r>
    <x v="169"/>
    <s v="PIRIDOXINA 100 MG/1 ML SOL. INY. AM/FAM"/>
    <n v="100"/>
    <n v="0"/>
    <n v="100"/>
    <n v="0"/>
  </r>
  <r>
    <x v="161"/>
    <s v="TRAZODONA 100 MG CM RANURADO"/>
    <n v="800"/>
    <n v="0"/>
    <n v="800"/>
    <n v="0"/>
  </r>
  <r>
    <x v="170"/>
    <s v="VINCRISTINA 1MG/ML SOL. INYECT I.V. FAM"/>
    <n v="59"/>
    <n v="0"/>
    <n v="59"/>
    <n v="0"/>
  </r>
  <r>
    <x v="147"/>
    <s v="ACIDO FOLINICO (LEUCOVORINA) 100MG/10ML"/>
    <n v="300"/>
    <n v="0"/>
    <n v="300"/>
    <n v="0"/>
  </r>
  <r>
    <x v="171"/>
    <s v="ALBUMINA HUMANA 20% SOL.PERF.IV FAM 50ML"/>
    <n v="110"/>
    <n v="0"/>
    <n v="110"/>
    <n v="0"/>
  </r>
  <r>
    <x v="70"/>
    <s v="ALECTINIB 150 MG CP"/>
    <n v="896"/>
    <n v="0"/>
    <n v="896"/>
    <n v="0"/>
  </r>
  <r>
    <x v="152"/>
    <s v="AMINOFILINA 250 MG/10 ML SOL.INY. AM/FAM"/>
    <n v="100"/>
    <n v="0"/>
    <n v="100"/>
    <n v="0"/>
  </r>
  <r>
    <x v="172"/>
    <s v="AMOXICIL/CLAVULAN 875/125 MG CM/CM REC"/>
    <n v="1000"/>
    <n v="0"/>
    <n v="1000"/>
    <n v="0"/>
  </r>
  <r>
    <x v="173"/>
    <s v="BEVACIZUMAB 100 MG/4 ML SOL. P/INF. FAM"/>
    <n v="5"/>
    <n v="0"/>
    <n v="5"/>
    <n v="0"/>
  </r>
  <r>
    <x v="13"/>
    <s v="BUPRENORFINA SIST. TRANSDERMICO 10 MCG/H"/>
    <n v="40"/>
    <n v="0"/>
    <n v="40"/>
    <n v="0"/>
  </r>
  <r>
    <x v="174"/>
    <s v="CEFTAZ/AVIBACTAM 2/0.5G SOL INYECT FAM"/>
    <n v="50"/>
    <n v="0"/>
    <n v="50"/>
    <n v="0"/>
  </r>
  <r>
    <x v="141"/>
    <s v="CIANOCOBALAMINA 0,1MG/1ML SOL.INY.AM/FAM"/>
    <n v="100"/>
    <n v="0"/>
    <n v="100"/>
    <n v="0"/>
  </r>
  <r>
    <x v="130"/>
    <s v="CISPLATINO 50 MG/50 ML SOL. INY. FAM"/>
    <n v="200"/>
    <n v="0"/>
    <n v="200"/>
    <n v="0"/>
  </r>
  <r>
    <x v="130"/>
    <s v="CISPLATINO 50 MG/50 ML SOL. INY. FAM"/>
    <n v="100"/>
    <n v="0"/>
    <n v="100"/>
    <n v="0"/>
  </r>
  <r>
    <x v="155"/>
    <s v="DACARBAZINA 200 MG POLVO O LIOFILIZ. FAM"/>
    <n v="30"/>
    <n v="0"/>
    <n v="30"/>
    <n v="0"/>
  </r>
  <r>
    <x v="156"/>
    <s v="DARATUMUMAB 1800MG/15ML SOL PERF FAM"/>
    <n v="3"/>
    <n v="0"/>
    <n v="3"/>
    <n v="0"/>
  </r>
  <r>
    <x v="156"/>
    <s v="DARATUMUMAB 1800MG/15ML SOL PERF FAM"/>
    <n v="3"/>
    <n v="0"/>
    <n v="3"/>
    <n v="0"/>
  </r>
  <r>
    <x v="151"/>
    <s v="DASATINIB 100 MG CM REC"/>
    <n v="720"/>
    <n v="0"/>
    <n v="720"/>
    <n v="0"/>
  </r>
  <r>
    <x v="168"/>
    <s v="ENOXAPARINA 80 MG/0,8ML SOL.INY. JRP"/>
    <n v="50"/>
    <n v="0"/>
    <n v="50"/>
    <n v="0"/>
  </r>
  <r>
    <x v="14"/>
    <s v="FITOQUINONA 10 MG/1ML SOL IV/ORAL AM/FAM"/>
    <n v="30"/>
    <n v="0"/>
    <n v="30"/>
    <n v="0"/>
  </r>
  <r>
    <x v="175"/>
    <s v="GENTAMICINA 80 MG/2ML SOL. INY. AM/FAM"/>
    <n v="10"/>
    <n v="0"/>
    <n v="10"/>
    <n v="0"/>
  </r>
  <r>
    <x v="143"/>
    <s v="HALOPERIDOL 5 MG/1 ML SOL. INY. AM/FAM"/>
    <n v="200"/>
    <n v="0"/>
    <n v="200"/>
    <n v="0"/>
  </r>
  <r>
    <x v="76"/>
    <s v="IPRATROPIO 0,25MG/ML SOL P/NEB FRA 20ML"/>
    <n v="20"/>
    <n v="0"/>
    <n v="20"/>
    <n v="0"/>
  </r>
  <r>
    <x v="106"/>
    <s v="IRINOTECAN 100 MG/5 ML SOL. INY. FAM"/>
    <n v="64"/>
    <n v="0"/>
    <n v="64"/>
    <n v="0"/>
  </r>
  <r>
    <x v="134"/>
    <s v="LIPEGFILGRASTIM 6MG/0,6ML SOL INYECT JRP"/>
    <n v="120"/>
    <n v="0"/>
    <n v="120"/>
    <n v="0"/>
  </r>
  <r>
    <x v="72"/>
    <s v="MIVACURIO 2MG/ML SOL INY 5 ML FAM"/>
    <n v="5"/>
    <n v="0"/>
    <n v="5"/>
    <n v="0"/>
  </r>
  <r>
    <x v="176"/>
    <s v="NETUPITANT/PALONOSETRON 300/0,5MG CAP"/>
    <n v="30"/>
    <n v="0"/>
    <n v="30"/>
    <n v="0"/>
  </r>
  <r>
    <x v="120"/>
    <s v="OCTREOTIDA 20MG MICROESF SUSP INYEC FAM"/>
    <n v="25"/>
    <n v="0"/>
    <n v="25"/>
    <n v="0"/>
  </r>
  <r>
    <x v="166"/>
    <s v="PANCREOLIPASA 25.000 U.F. EUR CP"/>
    <n v="3200"/>
    <n v="0"/>
    <n v="3200"/>
    <n v="0"/>
  </r>
  <r>
    <x v="37"/>
    <s v="PAZOPANIB 400 MG CM REC"/>
    <n v="990"/>
    <n v="0"/>
    <n v="990"/>
    <n v="0"/>
  </r>
  <r>
    <x v="131"/>
    <s v="QUETIAPINA 25 MG CM REC."/>
    <n v="5000"/>
    <n v="0"/>
    <n v="5000"/>
    <n v="0"/>
  </r>
  <r>
    <x v="161"/>
    <s v="TRAZODONA 100 MG CM RANURADO"/>
    <n v="800"/>
    <n v="0"/>
    <n v="800"/>
    <n v="0"/>
  </r>
  <r>
    <x v="170"/>
    <s v="VINCRISTINA 1MG/ML SOL. INYECT I.V. FAM"/>
    <n v="59"/>
    <n v="0"/>
    <n v="59"/>
    <n v="0"/>
  </r>
  <r>
    <x v="171"/>
    <s v="ALBUMINA HUMANA 20% SOL.PERF.IV FAM 50ML"/>
    <n v="110"/>
    <n v="0"/>
    <n v="110"/>
    <n v="0"/>
  </r>
  <r>
    <x v="152"/>
    <s v="AMINOFILINA 250 MG/10 ML SOL.INY. AM/FAM"/>
    <n v="100"/>
    <n v="0"/>
    <n v="100"/>
    <n v="0"/>
  </r>
  <r>
    <x v="172"/>
    <s v="AMOXICIL/CLAVULAN 875/125 MG CM/CM REC"/>
    <n v="1000"/>
    <n v="0"/>
    <n v="1000"/>
    <n v="0"/>
  </r>
  <r>
    <x v="13"/>
    <s v="BUPRENORFINA SIST. TRANSDERMICO 10 MCG/H"/>
    <n v="40"/>
    <n v="0"/>
    <n v="40"/>
    <n v="0"/>
  </r>
  <r>
    <x v="147"/>
    <s v="CALCIO FOLINATO(LEUCOVOR) 100MG/10ML FAM"/>
    <n v="300"/>
    <n v="0"/>
    <n v="300"/>
    <n v="0"/>
  </r>
  <r>
    <x v="141"/>
    <s v="CIANOCOBALAMINA 0,1MG/1ML SOL.INY.AM/FAM"/>
    <n v="100"/>
    <n v="0"/>
    <n v="100"/>
    <n v="0"/>
  </r>
  <r>
    <x v="156"/>
    <s v="DARATUMUMAB 1800MG/15ML SOL PERF FAM"/>
    <n v="3"/>
    <n v="0"/>
    <n v="3"/>
    <n v="0"/>
  </r>
  <r>
    <x v="156"/>
    <s v="DARATUMUMAB 1800MG/15ML SOL PERF FAM"/>
    <n v="3"/>
    <n v="0"/>
    <n v="3"/>
    <n v="0"/>
  </r>
  <r>
    <x v="151"/>
    <s v="DASATINIB 100 MG CM REC"/>
    <n v="720"/>
    <n v="0"/>
    <n v="720"/>
    <n v="0"/>
  </r>
  <r>
    <x v="168"/>
    <s v="ENOXAPARINA 80 MG/0,8ML SOL.INY. JRP"/>
    <n v="50"/>
    <n v="0"/>
    <n v="50"/>
    <n v="0"/>
  </r>
  <r>
    <x v="14"/>
    <s v="FITOQUINONA 10 MG/1ML SOL IV/ORAL AM/FAM"/>
    <n v="30"/>
    <n v="0"/>
    <n v="30"/>
    <n v="0"/>
  </r>
  <r>
    <x v="15"/>
    <s v="GEFITINIB 250 MG CM REC."/>
    <n v="30"/>
    <n v="0"/>
    <n v="30"/>
    <n v="0"/>
  </r>
  <r>
    <x v="175"/>
    <s v="GENTAMICINA 80 MG/2ML SOL. INY. AM/FAM"/>
    <n v="10"/>
    <n v="0"/>
    <n v="10"/>
    <n v="0"/>
  </r>
  <r>
    <x v="143"/>
    <s v="HALOPERIDOL 5 MG/1 ML SOL. INY. AM/FAM"/>
    <n v="200"/>
    <n v="0"/>
    <n v="200"/>
    <n v="0"/>
  </r>
  <r>
    <x v="177"/>
    <s v="METOTREXATO 500MG/20ML SOL INY FAM"/>
    <n v="50"/>
    <n v="0"/>
    <n v="50"/>
    <n v="0"/>
  </r>
  <r>
    <x v="178"/>
    <s v="MORFINA 20MG/1ML SOL.INY. AM"/>
    <n v="400"/>
    <n v="0"/>
    <n v="400"/>
    <n v="0"/>
  </r>
  <r>
    <x v="162"/>
    <s v="NILOTINIB 150 MG CP"/>
    <n v="560"/>
    <n v="0"/>
    <n v="560"/>
    <n v="0"/>
  </r>
  <r>
    <x v="160"/>
    <s v="NITROFURANTOINA MACROC. 100MG CP/CM REC"/>
    <n v="180"/>
    <n v="0"/>
    <n v="180"/>
    <n v="0"/>
  </r>
  <r>
    <x v="120"/>
    <s v="OCTREOTIDA 20MG MICROESF SUSP INYEC FAM"/>
    <n v="25"/>
    <n v="0"/>
    <n v="25"/>
    <n v="0"/>
  </r>
  <r>
    <x v="166"/>
    <s v="PANCREOLIPASA 25.000 U.F. EUR CP"/>
    <n v="3200"/>
    <n v="0"/>
    <n v="3200"/>
    <n v="0"/>
  </r>
  <r>
    <x v="39"/>
    <s v="TRAZODONA 100 MG CP/CM/CM REC"/>
    <n v="756"/>
    <n v="0"/>
    <n v="756"/>
    <n v="0"/>
  </r>
  <r>
    <x v="170"/>
    <s v="VINCRISTINA 1MG/ML SOL. INYECT I.V. FAM"/>
    <n v="59"/>
    <n v="0"/>
    <n v="59"/>
    <n v="0"/>
  </r>
  <r>
    <x v="170"/>
    <s v="VINCRISTINA 1MG/ML SOL. INYECT I.V. FAM"/>
    <n v="70"/>
    <n v="0"/>
    <n v="70"/>
    <n v="0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45">
  <r>
    <n v="100000036"/>
    <x v="0"/>
    <n v="2023"/>
  </r>
  <r>
    <n v="100000172"/>
    <x v="1"/>
    <n v="2023"/>
  </r>
  <r>
    <n v="100002092"/>
    <x v="2"/>
    <n v="2023"/>
  </r>
  <r>
    <n v="100000241"/>
    <x v="3"/>
    <n v="2023"/>
  </r>
  <r>
    <n v="100000379"/>
    <x v="4"/>
    <n v="2023"/>
  </r>
  <r>
    <n v="100003905"/>
    <x v="5"/>
    <n v="2023"/>
  </r>
  <r>
    <n v="100000777"/>
    <x v="6"/>
    <n v="2023"/>
  </r>
  <r>
    <n v="100002047"/>
    <x v="7"/>
    <n v="2023"/>
  </r>
  <r>
    <n v="100000810"/>
    <x v="8"/>
    <n v="2023"/>
  </r>
  <r>
    <n v="100000921"/>
    <x v="9"/>
    <n v="2023"/>
  </r>
  <r>
    <n v="100001012"/>
    <x v="10"/>
    <n v="2023"/>
  </r>
  <r>
    <n v="100001306"/>
    <x v="11"/>
    <n v="2023"/>
  </r>
  <r>
    <n v="100000044"/>
    <x v="12"/>
    <n v="2023"/>
  </r>
  <r>
    <n v="100005282"/>
    <x v="13"/>
    <n v="2023"/>
  </r>
  <r>
    <n v="100003905"/>
    <x v="5"/>
    <n v="2023"/>
  </r>
  <r>
    <n v="100002903"/>
    <x v="14"/>
    <n v="2023"/>
  </r>
  <r>
    <n v="100004642"/>
    <x v="15"/>
    <n v="2023"/>
  </r>
  <r>
    <n v="100000729"/>
    <x v="16"/>
    <n v="2023"/>
  </r>
  <r>
    <n v="100002361"/>
    <x v="17"/>
    <n v="2023"/>
  </r>
  <r>
    <n v="100000735"/>
    <x v="18"/>
    <n v="2023"/>
  </r>
  <r>
    <n v="100000735"/>
    <x v="18"/>
    <n v="2023"/>
  </r>
  <r>
    <n v="100000733"/>
    <x v="19"/>
    <n v="2023"/>
  </r>
  <r>
    <n v="100003979"/>
    <x v="20"/>
    <n v="2023"/>
  </r>
  <r>
    <n v="100004982"/>
    <x v="21"/>
    <n v="2023"/>
  </r>
  <r>
    <n v="100000128"/>
    <x v="22"/>
    <n v="2023"/>
  </r>
  <r>
    <n v="100000582"/>
    <x v="23"/>
    <n v="2023"/>
  </r>
  <r>
    <n v="100000629"/>
    <x v="24"/>
    <n v="2023"/>
  </r>
  <r>
    <n v="100000730"/>
    <x v="25"/>
    <n v="2023"/>
  </r>
  <r>
    <n v="100000733"/>
    <x v="19"/>
    <n v="2023"/>
  </r>
  <r>
    <n v="100000824"/>
    <x v="26"/>
    <n v="2023"/>
  </r>
  <r>
    <n v="100000983"/>
    <x v="27"/>
    <n v="2023"/>
  </r>
  <r>
    <n v="100001012"/>
    <x v="10"/>
    <n v="2023"/>
  </r>
  <r>
    <n v="100001021"/>
    <x v="28"/>
    <n v="2023"/>
  </r>
  <r>
    <n v="100003231"/>
    <x v="29"/>
    <n v="2023"/>
  </r>
  <r>
    <n v="100001243"/>
    <x v="30"/>
    <n v="2023"/>
  </r>
  <r>
    <n v="100001309"/>
    <x v="31"/>
    <n v="2023"/>
  </r>
  <r>
    <n v="100005314"/>
    <x v="32"/>
    <n v="2023"/>
  </r>
  <r>
    <n v="100000388"/>
    <x v="33"/>
    <n v="2023"/>
  </r>
  <r>
    <n v="100003905"/>
    <x v="5"/>
    <n v="2023"/>
  </r>
  <r>
    <n v="100000585"/>
    <x v="34"/>
    <n v="2023"/>
  </r>
  <r>
    <n v="100000766"/>
    <x v="35"/>
    <n v="2023"/>
  </r>
  <r>
    <n v="100004906"/>
    <x v="36"/>
    <n v="2023"/>
  </r>
  <r>
    <n v="100003903"/>
    <x v="37"/>
    <n v="2023"/>
  </r>
  <r>
    <n v="100001295"/>
    <x v="38"/>
    <n v="2023"/>
  </r>
  <r>
    <n v="100001470"/>
    <x v="39"/>
    <n v="2023"/>
  </r>
  <r>
    <n v="100000194"/>
    <x v="40"/>
    <n v="2023"/>
  </r>
  <r>
    <n v="100000353"/>
    <x v="41"/>
    <n v="2023"/>
  </r>
  <r>
    <n v="100000388"/>
    <x v="33"/>
    <n v="2023"/>
  </r>
  <r>
    <n v="100003905"/>
    <x v="5"/>
    <n v="2023"/>
  </r>
  <r>
    <n v="100000498"/>
    <x v="42"/>
    <n v="2023"/>
  </r>
  <r>
    <n v="100000582"/>
    <x v="23"/>
    <n v="2023"/>
  </r>
  <r>
    <n v="100000730"/>
    <x v="25"/>
    <n v="2023"/>
  </r>
  <r>
    <n v="100000867"/>
    <x v="43"/>
    <n v="2023"/>
  </r>
  <r>
    <n v="100000918"/>
    <x v="44"/>
    <n v="2023"/>
  </r>
  <r>
    <n v="100002244"/>
    <x v="45"/>
    <n v="2023"/>
  </r>
  <r>
    <n v="100000983"/>
    <x v="27"/>
    <n v="2023"/>
  </r>
  <r>
    <n v="100001020"/>
    <x v="46"/>
    <n v="2023"/>
  </r>
  <r>
    <n v="100005482"/>
    <x v="47"/>
    <n v="2023"/>
  </r>
  <r>
    <n v="100003413"/>
    <x v="48"/>
    <n v="2023"/>
  </r>
  <r>
    <n v="100001306"/>
    <x v="11"/>
    <n v="2023"/>
  </r>
  <r>
    <n v="100001306"/>
    <x v="11"/>
    <n v="2023"/>
  </r>
  <r>
    <n v="100000044"/>
    <x v="12"/>
    <n v="2023"/>
  </r>
  <r>
    <n v="100000046"/>
    <x v="49"/>
    <n v="2023"/>
  </r>
  <r>
    <n v="100000388"/>
    <x v="33"/>
    <n v="2023"/>
  </r>
  <r>
    <n v="100000649"/>
    <x v="50"/>
    <n v="2023"/>
  </r>
  <r>
    <n v="100002361"/>
    <x v="17"/>
    <n v="2023"/>
  </r>
  <r>
    <n v="100000730"/>
    <x v="25"/>
    <n v="2023"/>
  </r>
  <r>
    <n v="100000735"/>
    <x v="18"/>
    <n v="2023"/>
  </r>
  <r>
    <n v="100000735"/>
    <x v="18"/>
    <n v="2023"/>
  </r>
  <r>
    <n v="100000894"/>
    <x v="51"/>
    <n v="2023"/>
  </r>
  <r>
    <n v="100003431"/>
    <x v="52"/>
    <n v="2023"/>
  </r>
  <r>
    <n v="100000918"/>
    <x v="44"/>
    <n v="2023"/>
  </r>
  <r>
    <n v="100001010"/>
    <x v="53"/>
    <n v="2023"/>
  </r>
  <r>
    <n v="100002581"/>
    <x v="54"/>
    <n v="2023"/>
  </r>
  <r>
    <n v="100001063"/>
    <x v="55"/>
    <n v="2023"/>
  </r>
  <r>
    <n v="100001243"/>
    <x v="30"/>
    <n v="2023"/>
  </r>
  <r>
    <n v="100001308"/>
    <x v="56"/>
    <n v="2023"/>
  </r>
  <r>
    <n v="100001308"/>
    <x v="56"/>
    <n v="2023"/>
  </r>
  <r>
    <n v="100001310"/>
    <x v="57"/>
    <n v="2023"/>
  </r>
  <r>
    <n v="100002561"/>
    <x v="58"/>
    <n v="2023"/>
  </r>
  <r>
    <n v="100002131"/>
    <x v="59"/>
    <n v="2023"/>
  </r>
  <r>
    <n v="100001466"/>
    <x v="60"/>
    <n v="2023"/>
  </r>
  <r>
    <n v="100000044"/>
    <x v="12"/>
    <n v="2023"/>
  </r>
  <r>
    <n v="100003907"/>
    <x v="61"/>
    <n v="2023"/>
  </r>
  <r>
    <n v="100000388"/>
    <x v="33"/>
    <n v="2023"/>
  </r>
  <r>
    <n v="100000698"/>
    <x v="62"/>
    <n v="2023"/>
  </r>
  <r>
    <n v="100001047"/>
    <x v="63"/>
    <n v="2023"/>
  </r>
  <r>
    <n v="100001199"/>
    <x v="64"/>
    <n v="2023"/>
  </r>
  <r>
    <n v="100001367"/>
    <x v="65"/>
    <n v="2023"/>
  </r>
  <r>
    <n v="100001466"/>
    <x v="60"/>
    <n v="2023"/>
  </r>
  <r>
    <n v="100000044"/>
    <x v="12"/>
    <n v="2023"/>
  </r>
  <r>
    <n v="100002190"/>
    <x v="66"/>
    <n v="2023"/>
  </r>
  <r>
    <n v="100002347"/>
    <x v="67"/>
    <n v="2023"/>
  </r>
  <r>
    <n v="100000388"/>
    <x v="33"/>
    <n v="2023"/>
  </r>
  <r>
    <n v="100000585"/>
    <x v="34"/>
    <n v="2023"/>
  </r>
  <r>
    <n v="100000698"/>
    <x v="62"/>
    <n v="2023"/>
  </r>
  <r>
    <n v="100001116"/>
    <x v="68"/>
    <n v="2023"/>
  </r>
  <r>
    <n v="100002314"/>
    <x v="69"/>
    <n v="2023"/>
  </r>
  <r>
    <n v="100002561"/>
    <x v="58"/>
    <n v="2023"/>
  </r>
  <r>
    <n v="100005325"/>
    <x v="70"/>
    <n v="2023"/>
  </r>
  <r>
    <n v="100000388"/>
    <x v="33"/>
    <n v="2023"/>
  </r>
  <r>
    <n v="100002164"/>
    <x v="71"/>
    <n v="2023"/>
  </r>
  <r>
    <n v="100004642"/>
    <x v="15"/>
    <n v="2023"/>
  </r>
  <r>
    <n v="100000983"/>
    <x v="27"/>
    <n v="2023"/>
  </r>
  <r>
    <n v="100002581"/>
    <x v="54"/>
    <n v="2023"/>
  </r>
  <r>
    <n v="100001047"/>
    <x v="63"/>
    <n v="2023"/>
  </r>
  <r>
    <n v="100005299"/>
    <x v="72"/>
    <n v="2023"/>
  </r>
  <r>
    <n v="100001063"/>
    <x v="55"/>
    <n v="2023"/>
  </r>
  <r>
    <n v="100001358"/>
    <x v="73"/>
    <n v="2023"/>
  </r>
  <r>
    <n v="100000388"/>
    <x v="33"/>
    <n v="2023"/>
  </r>
  <r>
    <n v="100002164"/>
    <x v="71"/>
    <n v="2023"/>
  </r>
  <r>
    <n v="100002361"/>
    <x v="17"/>
    <n v="2023"/>
  </r>
  <r>
    <n v="100002337"/>
    <x v="74"/>
    <n v="2023"/>
  </r>
  <r>
    <n v="100000776"/>
    <x v="75"/>
    <n v="2023"/>
  </r>
  <r>
    <n v="100002047"/>
    <x v="7"/>
    <n v="2023"/>
  </r>
  <r>
    <n v="100000829"/>
    <x v="76"/>
    <n v="2023"/>
  </r>
  <r>
    <n v="100000894"/>
    <x v="51"/>
    <n v="2023"/>
  </r>
  <r>
    <n v="100001826"/>
    <x v="77"/>
    <n v="2023"/>
  </r>
  <r>
    <n v="100001047"/>
    <x v="63"/>
    <n v="2023"/>
  </r>
  <r>
    <n v="100005302"/>
    <x v="78"/>
    <n v="2023"/>
  </r>
  <r>
    <n v="100004670"/>
    <x v="79"/>
    <n v="2023"/>
  </r>
  <r>
    <n v="100002919"/>
    <x v="80"/>
    <n v="2023"/>
  </r>
  <r>
    <n v="100002919"/>
    <x v="80"/>
    <n v="2023"/>
  </r>
  <r>
    <n v="100002561"/>
    <x v="58"/>
    <n v="2023"/>
  </r>
  <r>
    <n v="100000170"/>
    <x v="81"/>
    <n v="2023"/>
  </r>
  <r>
    <n v="100000388"/>
    <x v="33"/>
    <n v="2023"/>
  </r>
  <r>
    <n v="100000529"/>
    <x v="82"/>
    <n v="2023"/>
  </r>
  <r>
    <n v="100000894"/>
    <x v="51"/>
    <n v="2023"/>
  </r>
  <r>
    <n v="100000938"/>
    <x v="83"/>
    <n v="2023"/>
  </r>
  <r>
    <n v="100001052"/>
    <x v="84"/>
    <n v="2023"/>
  </r>
  <r>
    <n v="100002921"/>
    <x v="85"/>
    <n v="2023"/>
  </r>
  <r>
    <n v="100002919"/>
    <x v="80"/>
    <n v="2023"/>
  </r>
  <r>
    <n v="100002919"/>
    <x v="80"/>
    <n v="2023"/>
  </r>
  <r>
    <n v="100001310"/>
    <x v="57"/>
    <n v="2023"/>
  </r>
  <r>
    <n v="100002561"/>
    <x v="58"/>
    <n v="2023"/>
  </r>
  <r>
    <n v="100002567"/>
    <x v="86"/>
    <n v="2023"/>
  </r>
  <r>
    <n v="100000036"/>
    <x v="0"/>
    <n v="2023"/>
  </r>
  <r>
    <n v="100000194"/>
    <x v="40"/>
    <n v="2023"/>
  </r>
  <r>
    <n v="100000388"/>
    <x v="33"/>
    <n v="2023"/>
  </r>
  <r>
    <n v="100000621"/>
    <x v="87"/>
    <n v="2023"/>
  </r>
  <r>
    <n v="100000771"/>
    <x v="88"/>
    <n v="2023"/>
  </r>
  <r>
    <n v="100002244"/>
    <x v="45"/>
    <n v="2023"/>
  </r>
  <r>
    <n v="100000938"/>
    <x v="83"/>
    <n v="2023"/>
  </r>
  <r>
    <n v="100002921"/>
    <x v="85"/>
    <n v="2023"/>
  </r>
  <r>
    <n v="100005313"/>
    <x v="89"/>
    <n v="2023"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42">
  <r>
    <n v="100000046"/>
    <x v="0"/>
    <n v="2024"/>
  </r>
  <r>
    <n v="100002074"/>
    <x v="1"/>
    <n v="2024"/>
  </r>
  <r>
    <n v="100004356"/>
    <x v="2"/>
    <n v="2024"/>
  </r>
  <r>
    <n v="100004355"/>
    <x v="3"/>
    <n v="2024"/>
  </r>
  <r>
    <n v="100000535"/>
    <x v="4"/>
    <n v="2024"/>
  </r>
  <r>
    <n v="100000730"/>
    <x v="5"/>
    <n v="2024"/>
  </r>
  <r>
    <n v="100000771"/>
    <x v="6"/>
    <n v="2024"/>
  </r>
  <r>
    <n v="100003431"/>
    <x v="7"/>
    <n v="2024"/>
  </r>
  <r>
    <n v="100000918"/>
    <x v="8"/>
    <n v="2024"/>
  </r>
  <r>
    <n v="100001105"/>
    <x v="9"/>
    <n v="2024"/>
  </r>
  <r>
    <n v="100005482"/>
    <x v="10"/>
    <n v="2024"/>
  </r>
  <r>
    <n v="100001310"/>
    <x v="11"/>
    <n v="2024"/>
  </r>
  <r>
    <n v="100002561"/>
    <x v="12"/>
    <n v="2024"/>
  </r>
  <r>
    <n v="100001367"/>
    <x v="13"/>
    <n v="2024"/>
  </r>
  <r>
    <n v="100006806"/>
    <x v="14"/>
    <n v="2024"/>
  </r>
  <r>
    <n v="100002903"/>
    <x v="15"/>
    <n v="2024"/>
  </r>
  <r>
    <n v="100000772"/>
    <x v="16"/>
    <n v="2024"/>
  </r>
  <r>
    <n v="100000918"/>
    <x v="8"/>
    <n v="2024"/>
  </r>
  <r>
    <n v="100001018"/>
    <x v="17"/>
    <n v="2024"/>
  </r>
  <r>
    <n v="100001143"/>
    <x v="18"/>
    <n v="2024"/>
  </r>
  <r>
    <n v="100001199"/>
    <x v="19"/>
    <n v="2024"/>
  </r>
  <r>
    <n v="100001310"/>
    <x v="11"/>
    <n v="2024"/>
  </r>
  <r>
    <n v="100002561"/>
    <x v="12"/>
    <n v="2024"/>
  </r>
  <r>
    <n v="100004702"/>
    <x v="20"/>
    <n v="2024"/>
  </r>
  <r>
    <n v="100005313"/>
    <x v="21"/>
    <n v="2024"/>
  </r>
  <r>
    <n v="100002000"/>
    <x v="22"/>
    <n v="2024"/>
  </r>
  <r>
    <n v="100002074"/>
    <x v="1"/>
    <n v="2024"/>
  </r>
  <r>
    <n v="100002004"/>
    <x v="23"/>
    <n v="2024"/>
  </r>
  <r>
    <n v="100000551"/>
    <x v="24"/>
    <n v="2024"/>
  </r>
  <r>
    <n v="100001916"/>
    <x v="25"/>
    <n v="2024"/>
  </r>
  <r>
    <n v="100000688"/>
    <x v="26"/>
    <n v="2024"/>
  </r>
  <r>
    <n v="100000697"/>
    <x v="27"/>
    <n v="2024"/>
  </r>
  <r>
    <n v="100000772"/>
    <x v="16"/>
    <n v="2024"/>
  </r>
  <r>
    <n v="100002241"/>
    <x v="28"/>
    <n v="2024"/>
  </r>
  <r>
    <n v="100000918"/>
    <x v="8"/>
    <n v="2024"/>
  </r>
  <r>
    <n v="100001016"/>
    <x v="29"/>
    <n v="2024"/>
  </r>
  <r>
    <n v="100001310"/>
    <x v="11"/>
    <n v="2024"/>
  </r>
  <r>
    <n v="100002561"/>
    <x v="12"/>
    <n v="2024"/>
  </r>
  <r>
    <n v="100001367"/>
    <x v="13"/>
    <n v="2024"/>
  </r>
  <r>
    <n v="100005313"/>
    <x v="21"/>
    <n v="2024"/>
  </r>
  <r>
    <n v="100005314"/>
    <x v="30"/>
    <n v="2024"/>
  </r>
  <r>
    <n v="100004677"/>
    <x v="31"/>
    <n v="2024"/>
  </r>
  <r>
    <n v="100002074"/>
    <x v="1"/>
    <n v="2024"/>
  </r>
  <r>
    <n v="100000388"/>
    <x v="32"/>
    <n v="2024"/>
  </r>
  <r>
    <n v="100001916"/>
    <x v="25"/>
    <n v="2024"/>
  </r>
  <r>
    <n v="100000733"/>
    <x v="33"/>
    <n v="2024"/>
  </r>
  <r>
    <n v="100003221"/>
    <x v="34"/>
    <n v="2024"/>
  </r>
  <r>
    <n v="100001041"/>
    <x v="35"/>
    <n v="2024"/>
  </r>
  <r>
    <n v="100001042"/>
    <x v="36"/>
    <n v="2024"/>
  </r>
  <r>
    <n v="100003840"/>
    <x v="37"/>
    <n v="2024"/>
  </r>
  <r>
    <n v="100002906"/>
    <x v="38"/>
    <n v="2024"/>
  </r>
  <r>
    <n v="100001310"/>
    <x v="11"/>
    <n v="2024"/>
  </r>
  <r>
    <n v="100004645"/>
    <x v="39"/>
    <n v="2024"/>
  </r>
  <r>
    <n v="100000046"/>
    <x v="0"/>
    <n v="2024"/>
  </r>
  <r>
    <n v="100002092"/>
    <x v="40"/>
    <n v="2024"/>
  </r>
  <r>
    <n v="100000244"/>
    <x v="41"/>
    <n v="2024"/>
  </r>
  <r>
    <n v="100004000"/>
    <x v="42"/>
    <n v="2024"/>
  </r>
  <r>
    <n v="100004001"/>
    <x v="43"/>
    <n v="2024"/>
  </r>
  <r>
    <n v="100000529"/>
    <x v="44"/>
    <n v="2024"/>
  </r>
  <r>
    <n v="100003448"/>
    <x v="45"/>
    <n v="2024"/>
  </r>
  <r>
    <n v="100000721"/>
    <x v="46"/>
    <n v="2024"/>
  </r>
  <r>
    <n v="100000918"/>
    <x v="8"/>
    <n v="2024"/>
  </r>
  <r>
    <n v="100001016"/>
    <x v="29"/>
    <n v="2024"/>
  </r>
  <r>
    <n v="100001041"/>
    <x v="35"/>
    <n v="2024"/>
  </r>
  <r>
    <n v="100001052"/>
    <x v="47"/>
    <n v="2024"/>
  </r>
  <r>
    <n v="100002254"/>
    <x v="48"/>
    <n v="2024"/>
  </r>
  <r>
    <n v="100005482"/>
    <x v="10"/>
    <n v="2024"/>
  </r>
  <r>
    <n v="100001199"/>
    <x v="19"/>
    <n v="2024"/>
  </r>
  <r>
    <n v="100002261"/>
    <x v="49"/>
    <n v="2024"/>
  </r>
  <r>
    <n v="100001260"/>
    <x v="50"/>
    <n v="2024"/>
  </r>
  <r>
    <n v="100001310"/>
    <x v="11"/>
    <n v="2024"/>
  </r>
  <r>
    <n v="100001551"/>
    <x v="51"/>
    <n v="2024"/>
  </r>
  <r>
    <n v="100005268"/>
    <x v="52"/>
    <n v="2024"/>
  </r>
  <r>
    <n v="100000241"/>
    <x v="53"/>
    <n v="2024"/>
  </r>
  <r>
    <n v="100000772"/>
    <x v="16"/>
    <n v="2024"/>
  </r>
  <r>
    <n v="100000809"/>
    <x v="54"/>
    <n v="2024"/>
  </r>
  <r>
    <n v="100004066"/>
    <x v="55"/>
    <n v="2024"/>
  </r>
  <r>
    <n v="100001222"/>
    <x v="56"/>
    <n v="2024"/>
  </r>
  <r>
    <n v="100002561"/>
    <x v="12"/>
    <n v="2024"/>
  </r>
  <r>
    <n v="100004116"/>
    <x v="57"/>
    <n v="2024"/>
  </r>
  <r>
    <n v="100000308"/>
    <x v="58"/>
    <n v="2024"/>
  </r>
  <r>
    <n v="100000381"/>
    <x v="59"/>
    <n v="2024"/>
  </r>
  <r>
    <n v="100004001"/>
    <x v="43"/>
    <n v="2024"/>
  </r>
  <r>
    <n v="100000649"/>
    <x v="60"/>
    <n v="2024"/>
  </r>
  <r>
    <n v="100000809"/>
    <x v="54"/>
    <n v="2024"/>
  </r>
  <r>
    <n v="100002921"/>
    <x v="61"/>
    <n v="2024"/>
  </r>
  <r>
    <n v="100003413"/>
    <x v="62"/>
    <n v="2024"/>
  </r>
  <r>
    <n v="100001232"/>
    <x v="63"/>
    <n v="2024"/>
  </r>
  <r>
    <n v="100002269"/>
    <x v="64"/>
    <n v="2024"/>
  </r>
  <r>
    <n v="100004675"/>
    <x v="65"/>
    <n v="2024"/>
  </r>
  <r>
    <n v="100000381"/>
    <x v="59"/>
    <n v="2024"/>
  </r>
  <r>
    <n v="100004642"/>
    <x v="66"/>
    <n v="2024"/>
  </r>
  <r>
    <n v="100000809"/>
    <x v="54"/>
    <n v="2024"/>
  </r>
  <r>
    <n v="100005505"/>
    <x v="67"/>
    <n v="2024"/>
  </r>
  <r>
    <n v="100005302"/>
    <x v="68"/>
    <n v="2024"/>
  </r>
  <r>
    <n v="100004632"/>
    <x v="69"/>
    <n v="2024"/>
  </r>
  <r>
    <n v="100001902"/>
    <x v="70"/>
    <n v="2024"/>
  </r>
  <r>
    <n v="100003422"/>
    <x v="71"/>
    <n v="2024"/>
  </r>
  <r>
    <n v="100000381"/>
    <x v="59"/>
    <n v="2024"/>
  </r>
  <r>
    <n v="100001903"/>
    <x v="72"/>
    <n v="2024"/>
  </r>
  <r>
    <n v="100000535"/>
    <x v="4"/>
    <n v="2024"/>
  </r>
  <r>
    <n v="100000908"/>
    <x v="73"/>
    <n v="2024"/>
  </r>
  <r>
    <n v="100005505"/>
    <x v="67"/>
    <n v="2024"/>
  </r>
  <r>
    <n v="100004066"/>
    <x v="55"/>
    <n v="2024"/>
  </r>
  <r>
    <n v="100002921"/>
    <x v="61"/>
    <n v="2024"/>
  </r>
  <r>
    <n v="100001260"/>
    <x v="50"/>
    <n v="2024"/>
  </r>
  <r>
    <n v="100002314"/>
    <x v="74"/>
    <n v="2024"/>
  </r>
  <r>
    <n v="100001463"/>
    <x v="75"/>
    <n v="2024"/>
  </r>
  <r>
    <n v="100000368"/>
    <x v="76"/>
    <n v="2024"/>
  </r>
  <r>
    <n v="100000486"/>
    <x v="77"/>
    <n v="2024"/>
  </r>
  <r>
    <n v="100000763"/>
    <x v="78"/>
    <n v="2024"/>
  </r>
  <r>
    <n v="100000772"/>
    <x v="16"/>
    <n v="2024"/>
  </r>
  <r>
    <n v="100001068"/>
    <x v="79"/>
    <n v="2024"/>
  </r>
  <r>
    <n v="100005268"/>
    <x v="52"/>
    <n v="2024"/>
  </r>
  <r>
    <n v="100004006"/>
    <x v="80"/>
    <n v="2024"/>
  </r>
  <r>
    <n v="100000535"/>
    <x v="4"/>
    <n v="2024"/>
  </r>
  <r>
    <n v="100000809"/>
    <x v="54"/>
    <n v="2024"/>
  </r>
  <r>
    <n v="100004354"/>
    <x v="81"/>
    <n v="2024"/>
  </r>
  <r>
    <n v="100002314"/>
    <x v="74"/>
    <n v="2024"/>
  </r>
  <r>
    <n v="100002919"/>
    <x v="82"/>
    <n v="2024"/>
  </r>
  <r>
    <n v="100002919"/>
    <x v="82"/>
    <n v="2024"/>
  </r>
  <r>
    <n v="100004675"/>
    <x v="65"/>
    <n v="2024"/>
  </r>
  <r>
    <n v="100003423"/>
    <x v="83"/>
    <n v="2024"/>
  </r>
  <r>
    <n v="100000046"/>
    <x v="0"/>
    <n v="2024"/>
  </r>
  <r>
    <n v="100003422"/>
    <x v="71"/>
    <n v="2024"/>
  </r>
  <r>
    <n v="100001903"/>
    <x v="72"/>
    <n v="2024"/>
  </r>
  <r>
    <n v="100002040"/>
    <x v="84"/>
    <n v="2024"/>
  </r>
  <r>
    <n v="100000908"/>
    <x v="73"/>
    <n v="2024"/>
  </r>
  <r>
    <n v="100005505"/>
    <x v="67"/>
    <n v="2024"/>
  </r>
  <r>
    <n v="100000944"/>
    <x v="85"/>
    <n v="2024"/>
  </r>
  <r>
    <n v="100003413"/>
    <x v="62"/>
    <n v="2024"/>
  </r>
  <r>
    <n v="100002314"/>
    <x v="74"/>
    <n v="2024"/>
  </r>
  <r>
    <n v="100004493"/>
    <x v="86"/>
    <n v="2024"/>
  </r>
  <r>
    <n v="100001466"/>
    <x v="87"/>
    <n v="2024"/>
  </r>
  <r>
    <n v="100002092"/>
    <x v="40"/>
    <n v="2024"/>
  </r>
  <r>
    <n v="100003422"/>
    <x v="71"/>
    <n v="2024"/>
  </r>
  <r>
    <n v="100002037"/>
    <x v="88"/>
    <n v="2024"/>
  </r>
  <r>
    <n v="100000535"/>
    <x v="4"/>
    <n v="2024"/>
  </r>
  <r>
    <n v="100002361"/>
    <x v="89"/>
    <n v="2024"/>
  </r>
  <r>
    <n v="100003431"/>
    <x v="7"/>
    <n v="2024"/>
  </r>
  <r>
    <n v="100004493"/>
    <x v="86"/>
    <n v="2024"/>
  </r>
  <r>
    <n v="100001466"/>
    <x v="87"/>
    <n v="2024"/>
  </r>
</pivotCacheRecords>
</file>

<file path=xl/pivotCache/pivotCacheRecords5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">
  <r>
    <n v="100000115"/>
    <x v="0"/>
    <n v="2025"/>
  </r>
  <r>
    <n v="100000170"/>
    <x v="1"/>
    <n v="2025"/>
  </r>
  <r>
    <n v="100000309"/>
    <x v="2"/>
    <n v="2025"/>
  </r>
  <r>
    <n v="100000368"/>
    <x v="3"/>
    <n v="2025"/>
  </r>
  <r>
    <n v="100000389"/>
    <x v="4"/>
    <n v="2025"/>
  </r>
  <r>
    <n v="100002208"/>
    <x v="5"/>
    <n v="2025"/>
  </r>
  <r>
    <n v="100002308"/>
    <x v="6"/>
    <n v="2025"/>
  </r>
  <r>
    <n v="100002037"/>
    <x v="7"/>
    <n v="2025"/>
  </r>
  <r>
    <n v="100002903"/>
    <x v="8"/>
    <n v="2025"/>
  </r>
  <r>
    <n v="100000693"/>
    <x v="9"/>
    <n v="2025"/>
  </r>
  <r>
    <n v="100000763"/>
    <x v="10"/>
    <n v="2025"/>
  </r>
  <r>
    <n v="100006440"/>
    <x v="11"/>
    <n v="2025"/>
  </r>
  <r>
    <n v="100000908"/>
    <x v="12"/>
    <n v="2025"/>
  </r>
  <r>
    <n v="100000964"/>
    <x v="13"/>
    <n v="2025"/>
  </r>
  <r>
    <n v="100001084"/>
    <x v="14"/>
    <n v="2025"/>
  </r>
  <r>
    <n v="100003413"/>
    <x v="15"/>
    <n v="2025"/>
  </r>
  <r>
    <n v="100001199"/>
    <x v="16"/>
    <n v="2025"/>
  </r>
  <r>
    <n v="100001358"/>
    <x v="17"/>
    <n v="2025"/>
  </r>
  <r>
    <n v="100001466"/>
    <x v="18"/>
    <n v="2025"/>
  </r>
  <r>
    <n v="100002295"/>
    <x v="19"/>
    <n v="2025"/>
  </r>
  <r>
    <n v="100000809"/>
    <x v="20"/>
    <n v="2025"/>
  </r>
  <r>
    <n v="100000908"/>
    <x v="12"/>
    <n v="2025"/>
  </r>
  <r>
    <n v="100003439"/>
    <x v="21"/>
    <n v="2025"/>
  </r>
  <r>
    <n v="100001084"/>
    <x v="14"/>
    <n v="2025"/>
  </r>
  <r>
    <n v="100002254"/>
    <x v="22"/>
    <n v="2025"/>
  </r>
  <r>
    <n v="100003904"/>
    <x v="23"/>
    <n v="2025"/>
  </r>
  <r>
    <n v="100002269"/>
    <x v="24"/>
    <n v="2025"/>
  </r>
  <r>
    <n v="100001547"/>
    <x v="25"/>
    <n v="2025"/>
  </r>
  <r>
    <n v="100000194"/>
    <x v="26"/>
    <n v="2025"/>
  </r>
  <r>
    <n v="100000358"/>
    <x v="27"/>
    <n v="2025"/>
  </r>
  <r>
    <n v="100003905"/>
    <x v="28"/>
    <n v="2025"/>
  </r>
  <r>
    <n v="100002037"/>
    <x v="7"/>
    <n v="2025"/>
  </r>
  <r>
    <n v="100005505"/>
    <x v="29"/>
    <n v="2025"/>
  </r>
  <r>
    <n v="100005299"/>
    <x v="30"/>
    <n v="2025"/>
  </r>
  <r>
    <n v="100001084"/>
    <x v="14"/>
    <n v="2025"/>
  </r>
  <r>
    <n v="100002254"/>
    <x v="22"/>
    <n v="2025"/>
  </r>
  <r>
    <n v="100001124"/>
    <x v="31"/>
    <n v="2025"/>
  </r>
  <r>
    <n v="100001466"/>
    <x v="18"/>
    <n v="2025"/>
  </r>
  <r>
    <n v="100001603"/>
    <x v="32"/>
    <n v="2025"/>
  </r>
  <r>
    <n v="100003423"/>
    <x v="33"/>
    <n v="2025"/>
  </r>
  <r>
    <n v="100000368"/>
    <x v="3"/>
    <n v="2025"/>
  </r>
  <r>
    <n v="100002208"/>
    <x v="5"/>
    <n v="2025"/>
  </r>
  <r>
    <n v="100000553"/>
    <x v="34"/>
    <n v="2025"/>
  </r>
  <r>
    <n v="100002903"/>
    <x v="8"/>
    <n v="2025"/>
  </r>
  <r>
    <n v="100001184"/>
    <x v="35"/>
    <n v="2025"/>
  </r>
  <r>
    <n v="100002295"/>
    <x v="19"/>
    <n v="2025"/>
  </r>
  <r>
    <n v="100001568"/>
    <x v="36"/>
    <n v="2025"/>
  </r>
  <r>
    <n v="100003423"/>
    <x v="33"/>
    <n v="2025"/>
  </r>
  <r>
    <n v="100000085"/>
    <x v="37"/>
    <n v="2025"/>
  </r>
  <r>
    <n v="100005325"/>
    <x v="38"/>
    <n v="2025"/>
  </r>
  <r>
    <n v="100000115"/>
    <x v="0"/>
    <n v="2025"/>
  </r>
  <r>
    <n v="100000126"/>
    <x v="39"/>
    <n v="2025"/>
  </r>
  <r>
    <n v="100003406"/>
    <x v="40"/>
    <n v="2025"/>
  </r>
  <r>
    <n v="100005282"/>
    <x v="41"/>
    <n v="2025"/>
  </r>
  <r>
    <n v="100005535"/>
    <x v="42"/>
    <n v="2025"/>
  </r>
  <r>
    <n v="100000368"/>
    <x v="3"/>
    <n v="2025"/>
  </r>
  <r>
    <n v="100000381"/>
    <x v="43"/>
    <n v="2025"/>
  </r>
  <r>
    <n v="100000381"/>
    <x v="43"/>
    <n v="2025"/>
  </r>
  <r>
    <n v="100002208"/>
    <x v="5"/>
    <n v="2025"/>
  </r>
  <r>
    <n v="100002308"/>
    <x v="6"/>
    <n v="2025"/>
  </r>
  <r>
    <n v="100002308"/>
    <x v="6"/>
    <n v="2025"/>
  </r>
  <r>
    <n v="100002037"/>
    <x v="7"/>
    <n v="2025"/>
  </r>
  <r>
    <n v="100000553"/>
    <x v="34"/>
    <n v="2025"/>
  </r>
  <r>
    <n v="100002903"/>
    <x v="8"/>
    <n v="2025"/>
  </r>
  <r>
    <n v="100000715"/>
    <x v="44"/>
    <n v="2025"/>
  </r>
  <r>
    <n v="100000763"/>
    <x v="10"/>
    <n v="2025"/>
  </r>
  <r>
    <n v="100000829"/>
    <x v="45"/>
    <n v="2025"/>
  </r>
  <r>
    <n v="100002241"/>
    <x v="46"/>
    <n v="2025"/>
  </r>
  <r>
    <n v="100005505"/>
    <x v="29"/>
    <n v="2025"/>
  </r>
  <r>
    <n v="100005299"/>
    <x v="30"/>
    <n v="2025"/>
  </r>
  <r>
    <n v="100006171"/>
    <x v="47"/>
    <n v="2025"/>
  </r>
  <r>
    <n v="100002254"/>
    <x v="22"/>
    <n v="2025"/>
  </r>
  <r>
    <n v="100001124"/>
    <x v="31"/>
    <n v="2025"/>
  </r>
  <r>
    <n v="100003903"/>
    <x v="48"/>
    <n v="2025"/>
  </r>
  <r>
    <n v="100001232"/>
    <x v="49"/>
    <n v="2025"/>
  </r>
  <r>
    <n v="100002295"/>
    <x v="19"/>
    <n v="2025"/>
  </r>
  <r>
    <n v="100001568"/>
    <x v="36"/>
    <n v="2025"/>
  </r>
  <r>
    <n v="100000085"/>
    <x v="37"/>
    <n v="2025"/>
  </r>
  <r>
    <n v="100000115"/>
    <x v="0"/>
    <n v="2025"/>
  </r>
  <r>
    <n v="100000126"/>
    <x v="39"/>
    <n v="2025"/>
  </r>
  <r>
    <n v="100005282"/>
    <x v="41"/>
    <n v="2025"/>
  </r>
  <r>
    <n v="100003423"/>
    <x v="50"/>
    <n v="2025"/>
  </r>
  <r>
    <n v="100000368"/>
    <x v="3"/>
    <n v="2025"/>
  </r>
  <r>
    <n v="100002308"/>
    <x v="6"/>
    <n v="2025"/>
  </r>
  <r>
    <n v="100002308"/>
    <x v="6"/>
    <n v="2025"/>
  </r>
  <r>
    <n v="100002037"/>
    <x v="7"/>
    <n v="2025"/>
  </r>
  <r>
    <n v="100000553"/>
    <x v="34"/>
    <n v="2025"/>
  </r>
  <r>
    <n v="100002903"/>
    <x v="8"/>
    <n v="2025"/>
  </r>
  <r>
    <n v="100004642"/>
    <x v="51"/>
    <n v="2025"/>
  </r>
  <r>
    <n v="100000715"/>
    <x v="44"/>
    <n v="2025"/>
  </r>
  <r>
    <n v="100000763"/>
    <x v="10"/>
    <n v="2025"/>
  </r>
  <r>
    <n v="100001037"/>
    <x v="52"/>
    <n v="2025"/>
  </r>
  <r>
    <n v="100001053"/>
    <x v="53"/>
    <n v="2025"/>
  </r>
  <r>
    <n v="100003439"/>
    <x v="21"/>
    <n v="2025"/>
  </r>
  <r>
    <n v="100001084"/>
    <x v="14"/>
    <n v="2025"/>
  </r>
  <r>
    <n v="100002254"/>
    <x v="22"/>
    <n v="2025"/>
  </r>
  <r>
    <n v="100001124"/>
    <x v="31"/>
    <n v="2025"/>
  </r>
  <r>
    <n v="100001470"/>
    <x v="54"/>
    <n v="2025"/>
  </r>
  <r>
    <n v="100001568"/>
    <x v="36"/>
    <n v="2025"/>
  </r>
  <r>
    <n v="100001568"/>
    <x v="36"/>
    <n v="2025"/>
  </r>
</pivotCacheRecords>
</file>

<file path=xl/pivotCache/pivotCacheRecords6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87">
  <r>
    <n v="100000036"/>
    <x v="0"/>
    <n v="2023"/>
  </r>
  <r>
    <n v="100000172"/>
    <x v="1"/>
    <n v="2023"/>
  </r>
  <r>
    <n v="100002092"/>
    <x v="2"/>
    <n v="2023"/>
  </r>
  <r>
    <n v="100000241"/>
    <x v="3"/>
    <n v="2023"/>
  </r>
  <r>
    <n v="100000379"/>
    <x v="4"/>
    <n v="2023"/>
  </r>
  <r>
    <n v="100003905"/>
    <x v="5"/>
    <n v="2023"/>
  </r>
  <r>
    <n v="100000777"/>
    <x v="6"/>
    <n v="2023"/>
  </r>
  <r>
    <n v="100002047"/>
    <x v="7"/>
    <n v="2023"/>
  </r>
  <r>
    <n v="100000810"/>
    <x v="8"/>
    <n v="2023"/>
  </r>
  <r>
    <n v="100000921"/>
    <x v="9"/>
    <n v="2023"/>
  </r>
  <r>
    <n v="100001012"/>
    <x v="10"/>
    <n v="2023"/>
  </r>
  <r>
    <n v="100001306"/>
    <x v="11"/>
    <n v="2023"/>
  </r>
  <r>
    <n v="100000044"/>
    <x v="12"/>
    <n v="2023"/>
  </r>
  <r>
    <n v="100005282"/>
    <x v="13"/>
    <n v="2023"/>
  </r>
  <r>
    <n v="100003905"/>
    <x v="5"/>
    <n v="2023"/>
  </r>
  <r>
    <n v="100002903"/>
    <x v="14"/>
    <n v="2023"/>
  </r>
  <r>
    <n v="100004642"/>
    <x v="15"/>
    <n v="2023"/>
  </r>
  <r>
    <n v="100000729"/>
    <x v="16"/>
    <n v="2023"/>
  </r>
  <r>
    <n v="100002361"/>
    <x v="17"/>
    <n v="2023"/>
  </r>
  <r>
    <n v="100000735"/>
    <x v="18"/>
    <n v="2023"/>
  </r>
  <r>
    <n v="100000735"/>
    <x v="18"/>
    <n v="2023"/>
  </r>
  <r>
    <n v="100000733"/>
    <x v="19"/>
    <n v="2023"/>
  </r>
  <r>
    <n v="100003979"/>
    <x v="20"/>
    <n v="2023"/>
  </r>
  <r>
    <n v="100004982"/>
    <x v="21"/>
    <n v="2023"/>
  </r>
  <r>
    <n v="100000128"/>
    <x v="22"/>
    <n v="2023"/>
  </r>
  <r>
    <n v="100000582"/>
    <x v="23"/>
    <n v="2023"/>
  </r>
  <r>
    <n v="100000629"/>
    <x v="24"/>
    <n v="2023"/>
  </r>
  <r>
    <n v="100000730"/>
    <x v="25"/>
    <n v="2023"/>
  </r>
  <r>
    <n v="100000733"/>
    <x v="19"/>
    <n v="2023"/>
  </r>
  <r>
    <n v="100000824"/>
    <x v="26"/>
    <n v="2023"/>
  </r>
  <r>
    <n v="100000983"/>
    <x v="27"/>
    <n v="2023"/>
  </r>
  <r>
    <n v="100001012"/>
    <x v="10"/>
    <n v="2023"/>
  </r>
  <r>
    <n v="100001021"/>
    <x v="28"/>
    <n v="2023"/>
  </r>
  <r>
    <n v="100003231"/>
    <x v="29"/>
    <n v="2023"/>
  </r>
  <r>
    <n v="100001243"/>
    <x v="30"/>
    <n v="2023"/>
  </r>
  <r>
    <n v="100001309"/>
    <x v="31"/>
    <n v="2023"/>
  </r>
  <r>
    <n v="100005314"/>
    <x v="32"/>
    <n v="2023"/>
  </r>
  <r>
    <n v="100000388"/>
    <x v="33"/>
    <n v="2023"/>
  </r>
  <r>
    <n v="100003905"/>
    <x v="5"/>
    <n v="2023"/>
  </r>
  <r>
    <n v="100000585"/>
    <x v="34"/>
    <n v="2023"/>
  </r>
  <r>
    <n v="100000766"/>
    <x v="35"/>
    <n v="2023"/>
  </r>
  <r>
    <n v="100004906"/>
    <x v="36"/>
    <n v="2023"/>
  </r>
  <r>
    <n v="100003903"/>
    <x v="37"/>
    <n v="2023"/>
  </r>
  <r>
    <n v="100001295"/>
    <x v="38"/>
    <n v="2023"/>
  </r>
  <r>
    <n v="100001470"/>
    <x v="39"/>
    <n v="2023"/>
  </r>
  <r>
    <n v="100000194"/>
    <x v="40"/>
    <n v="2023"/>
  </r>
  <r>
    <n v="100000353"/>
    <x v="41"/>
    <n v="2023"/>
  </r>
  <r>
    <n v="100000388"/>
    <x v="33"/>
    <n v="2023"/>
  </r>
  <r>
    <n v="100003905"/>
    <x v="5"/>
    <n v="2023"/>
  </r>
  <r>
    <n v="100000498"/>
    <x v="42"/>
    <n v="2023"/>
  </r>
  <r>
    <n v="100000582"/>
    <x v="23"/>
    <n v="2023"/>
  </r>
  <r>
    <n v="100000730"/>
    <x v="25"/>
    <n v="2023"/>
  </r>
  <r>
    <n v="100000867"/>
    <x v="43"/>
    <n v="2023"/>
  </r>
  <r>
    <n v="100000918"/>
    <x v="44"/>
    <n v="2023"/>
  </r>
  <r>
    <n v="100002244"/>
    <x v="45"/>
    <n v="2023"/>
  </r>
  <r>
    <n v="100000983"/>
    <x v="27"/>
    <n v="2023"/>
  </r>
  <r>
    <n v="100001020"/>
    <x v="46"/>
    <n v="2023"/>
  </r>
  <r>
    <n v="100005482"/>
    <x v="47"/>
    <n v="2023"/>
  </r>
  <r>
    <n v="100003413"/>
    <x v="48"/>
    <n v="2023"/>
  </r>
  <r>
    <n v="100001306"/>
    <x v="11"/>
    <n v="2023"/>
  </r>
  <r>
    <n v="100001306"/>
    <x v="11"/>
    <n v="2023"/>
  </r>
  <r>
    <n v="100000044"/>
    <x v="12"/>
    <n v="2023"/>
  </r>
  <r>
    <n v="100000046"/>
    <x v="49"/>
    <n v="2023"/>
  </r>
  <r>
    <n v="100000388"/>
    <x v="33"/>
    <n v="2023"/>
  </r>
  <r>
    <n v="100000649"/>
    <x v="50"/>
    <n v="2023"/>
  </r>
  <r>
    <n v="100002361"/>
    <x v="17"/>
    <n v="2023"/>
  </r>
  <r>
    <n v="100000730"/>
    <x v="25"/>
    <n v="2023"/>
  </r>
  <r>
    <n v="100000735"/>
    <x v="18"/>
    <n v="2023"/>
  </r>
  <r>
    <n v="100000735"/>
    <x v="18"/>
    <n v="2023"/>
  </r>
  <r>
    <n v="100000894"/>
    <x v="51"/>
    <n v="2023"/>
  </r>
  <r>
    <n v="100003431"/>
    <x v="52"/>
    <n v="2023"/>
  </r>
  <r>
    <n v="100000918"/>
    <x v="44"/>
    <n v="2023"/>
  </r>
  <r>
    <n v="100001010"/>
    <x v="53"/>
    <n v="2023"/>
  </r>
  <r>
    <n v="100002581"/>
    <x v="54"/>
    <n v="2023"/>
  </r>
  <r>
    <n v="100001063"/>
    <x v="55"/>
    <n v="2023"/>
  </r>
  <r>
    <n v="100001243"/>
    <x v="30"/>
    <n v="2023"/>
  </r>
  <r>
    <n v="100001308"/>
    <x v="56"/>
    <n v="2023"/>
  </r>
  <r>
    <n v="100001308"/>
    <x v="56"/>
    <n v="2023"/>
  </r>
  <r>
    <n v="100001310"/>
    <x v="57"/>
    <n v="2023"/>
  </r>
  <r>
    <n v="100002561"/>
    <x v="58"/>
    <n v="2023"/>
  </r>
  <r>
    <n v="100002131"/>
    <x v="59"/>
    <n v="2023"/>
  </r>
  <r>
    <n v="100001466"/>
    <x v="60"/>
    <n v="2023"/>
  </r>
  <r>
    <n v="100000044"/>
    <x v="12"/>
    <n v="2023"/>
  </r>
  <r>
    <n v="100003907"/>
    <x v="61"/>
    <n v="2023"/>
  </r>
  <r>
    <n v="100000388"/>
    <x v="33"/>
    <n v="2023"/>
  </r>
  <r>
    <n v="100000698"/>
    <x v="62"/>
    <n v="2023"/>
  </r>
  <r>
    <n v="100001047"/>
    <x v="63"/>
    <n v="2023"/>
  </r>
  <r>
    <n v="100001199"/>
    <x v="64"/>
    <n v="2023"/>
  </r>
  <r>
    <n v="100001367"/>
    <x v="65"/>
    <n v="2023"/>
  </r>
  <r>
    <n v="100001466"/>
    <x v="60"/>
    <n v="2023"/>
  </r>
  <r>
    <n v="100000044"/>
    <x v="12"/>
    <n v="2023"/>
  </r>
  <r>
    <n v="100002190"/>
    <x v="66"/>
    <n v="2023"/>
  </r>
  <r>
    <n v="100002347"/>
    <x v="67"/>
    <n v="2023"/>
  </r>
  <r>
    <n v="100000388"/>
    <x v="33"/>
    <n v="2023"/>
  </r>
  <r>
    <n v="100000585"/>
    <x v="34"/>
    <n v="2023"/>
  </r>
  <r>
    <n v="100000698"/>
    <x v="62"/>
    <n v="2023"/>
  </r>
  <r>
    <n v="100001116"/>
    <x v="68"/>
    <n v="2023"/>
  </r>
  <r>
    <n v="100002314"/>
    <x v="69"/>
    <n v="2023"/>
  </r>
  <r>
    <n v="100002561"/>
    <x v="58"/>
    <n v="2023"/>
  </r>
  <r>
    <n v="100005325"/>
    <x v="70"/>
    <n v="2023"/>
  </r>
  <r>
    <n v="100000388"/>
    <x v="33"/>
    <n v="2023"/>
  </r>
  <r>
    <n v="100002164"/>
    <x v="71"/>
    <n v="2023"/>
  </r>
  <r>
    <n v="100004642"/>
    <x v="15"/>
    <n v="2023"/>
  </r>
  <r>
    <n v="100000983"/>
    <x v="27"/>
    <n v="2023"/>
  </r>
  <r>
    <n v="100002581"/>
    <x v="54"/>
    <n v="2023"/>
  </r>
  <r>
    <n v="100001047"/>
    <x v="63"/>
    <n v="2023"/>
  </r>
  <r>
    <n v="100005299"/>
    <x v="72"/>
    <n v="2023"/>
  </r>
  <r>
    <n v="100001063"/>
    <x v="55"/>
    <n v="2023"/>
  </r>
  <r>
    <n v="100001358"/>
    <x v="73"/>
    <n v="2023"/>
  </r>
  <r>
    <n v="100000388"/>
    <x v="33"/>
    <n v="2023"/>
  </r>
  <r>
    <n v="100002164"/>
    <x v="71"/>
    <n v="2023"/>
  </r>
  <r>
    <n v="100002361"/>
    <x v="17"/>
    <n v="2023"/>
  </r>
  <r>
    <n v="100002337"/>
    <x v="74"/>
    <n v="2023"/>
  </r>
  <r>
    <n v="100000776"/>
    <x v="75"/>
    <n v="2023"/>
  </r>
  <r>
    <n v="100002047"/>
    <x v="7"/>
    <n v="2023"/>
  </r>
  <r>
    <n v="100000829"/>
    <x v="76"/>
    <n v="2023"/>
  </r>
  <r>
    <n v="100000894"/>
    <x v="51"/>
    <n v="2023"/>
  </r>
  <r>
    <n v="100001826"/>
    <x v="77"/>
    <n v="2023"/>
  </r>
  <r>
    <n v="100001047"/>
    <x v="63"/>
    <n v="2023"/>
  </r>
  <r>
    <n v="100005302"/>
    <x v="78"/>
    <n v="2023"/>
  </r>
  <r>
    <n v="100004670"/>
    <x v="79"/>
    <n v="2023"/>
  </r>
  <r>
    <n v="100002919"/>
    <x v="80"/>
    <n v="2023"/>
  </r>
  <r>
    <n v="100002919"/>
    <x v="80"/>
    <n v="2023"/>
  </r>
  <r>
    <n v="100002561"/>
    <x v="58"/>
    <n v="2023"/>
  </r>
  <r>
    <n v="100000170"/>
    <x v="81"/>
    <n v="2023"/>
  </r>
  <r>
    <n v="100000388"/>
    <x v="33"/>
    <n v="2023"/>
  </r>
  <r>
    <n v="100000529"/>
    <x v="82"/>
    <n v="2023"/>
  </r>
  <r>
    <n v="100000894"/>
    <x v="51"/>
    <n v="2023"/>
  </r>
  <r>
    <n v="100000938"/>
    <x v="83"/>
    <n v="2023"/>
  </r>
  <r>
    <n v="100001052"/>
    <x v="84"/>
    <n v="2023"/>
  </r>
  <r>
    <n v="100002921"/>
    <x v="85"/>
    <n v="2023"/>
  </r>
  <r>
    <n v="100002919"/>
    <x v="80"/>
    <n v="2023"/>
  </r>
  <r>
    <n v="100002919"/>
    <x v="80"/>
    <n v="2023"/>
  </r>
  <r>
    <n v="100001310"/>
    <x v="57"/>
    <n v="2023"/>
  </r>
  <r>
    <n v="100002561"/>
    <x v="58"/>
    <n v="2023"/>
  </r>
  <r>
    <n v="100002567"/>
    <x v="86"/>
    <n v="2023"/>
  </r>
  <r>
    <n v="100000036"/>
    <x v="0"/>
    <n v="2023"/>
  </r>
  <r>
    <n v="100000194"/>
    <x v="40"/>
    <n v="2023"/>
  </r>
  <r>
    <n v="100000388"/>
    <x v="33"/>
    <n v="2023"/>
  </r>
  <r>
    <n v="100000621"/>
    <x v="87"/>
    <n v="2023"/>
  </r>
  <r>
    <n v="100000771"/>
    <x v="88"/>
    <n v="2023"/>
  </r>
  <r>
    <n v="100002244"/>
    <x v="45"/>
    <n v="2023"/>
  </r>
  <r>
    <n v="100000938"/>
    <x v="83"/>
    <n v="2023"/>
  </r>
  <r>
    <n v="100002921"/>
    <x v="85"/>
    <n v="2023"/>
  </r>
  <r>
    <n v="100005313"/>
    <x v="89"/>
    <n v="2023"/>
  </r>
  <r>
    <n v="100000046"/>
    <x v="49"/>
    <n v="2024"/>
  </r>
  <r>
    <n v="100002074"/>
    <x v="90"/>
    <n v="2024"/>
  </r>
  <r>
    <n v="100004356"/>
    <x v="91"/>
    <n v="2024"/>
  </r>
  <r>
    <n v="100004355"/>
    <x v="92"/>
    <n v="2024"/>
  </r>
  <r>
    <n v="100000535"/>
    <x v="93"/>
    <n v="2024"/>
  </r>
  <r>
    <n v="100000730"/>
    <x v="25"/>
    <n v="2024"/>
  </r>
  <r>
    <n v="100000771"/>
    <x v="88"/>
    <n v="2024"/>
  </r>
  <r>
    <n v="100003431"/>
    <x v="52"/>
    <n v="2024"/>
  </r>
  <r>
    <n v="100000918"/>
    <x v="44"/>
    <n v="2024"/>
  </r>
  <r>
    <n v="100001105"/>
    <x v="94"/>
    <n v="2024"/>
  </r>
  <r>
    <n v="100005482"/>
    <x v="47"/>
    <n v="2024"/>
  </r>
  <r>
    <n v="100001310"/>
    <x v="57"/>
    <n v="2024"/>
  </r>
  <r>
    <n v="100002561"/>
    <x v="58"/>
    <n v="2024"/>
  </r>
  <r>
    <n v="100001367"/>
    <x v="65"/>
    <n v="2024"/>
  </r>
  <r>
    <n v="100006806"/>
    <x v="95"/>
    <n v="2024"/>
  </r>
  <r>
    <n v="100002903"/>
    <x v="96"/>
    <n v="2024"/>
  </r>
  <r>
    <n v="100000772"/>
    <x v="97"/>
    <n v="2024"/>
  </r>
  <r>
    <n v="100000918"/>
    <x v="44"/>
    <n v="2024"/>
  </r>
  <r>
    <n v="100001018"/>
    <x v="98"/>
    <n v="2024"/>
  </r>
  <r>
    <n v="100001143"/>
    <x v="99"/>
    <n v="2024"/>
  </r>
  <r>
    <n v="100001199"/>
    <x v="64"/>
    <n v="2024"/>
  </r>
  <r>
    <n v="100001310"/>
    <x v="57"/>
    <n v="2024"/>
  </r>
  <r>
    <n v="100002561"/>
    <x v="58"/>
    <n v="2024"/>
  </r>
  <r>
    <n v="100004702"/>
    <x v="100"/>
    <n v="2024"/>
  </r>
  <r>
    <n v="100005313"/>
    <x v="89"/>
    <n v="2024"/>
  </r>
  <r>
    <n v="100002000"/>
    <x v="101"/>
    <n v="2024"/>
  </r>
  <r>
    <n v="100002074"/>
    <x v="90"/>
    <n v="2024"/>
  </r>
  <r>
    <n v="100002004"/>
    <x v="102"/>
    <n v="2024"/>
  </r>
  <r>
    <n v="100000551"/>
    <x v="103"/>
    <n v="2024"/>
  </r>
  <r>
    <n v="100001916"/>
    <x v="104"/>
    <n v="2024"/>
  </r>
  <r>
    <n v="100000688"/>
    <x v="105"/>
    <n v="2024"/>
  </r>
  <r>
    <n v="100000697"/>
    <x v="106"/>
    <n v="2024"/>
  </r>
  <r>
    <n v="100000772"/>
    <x v="97"/>
    <n v="2024"/>
  </r>
  <r>
    <n v="100002241"/>
    <x v="107"/>
    <n v="2024"/>
  </r>
  <r>
    <n v="100000918"/>
    <x v="44"/>
    <n v="2024"/>
  </r>
  <r>
    <n v="100001016"/>
    <x v="108"/>
    <n v="2024"/>
  </r>
  <r>
    <n v="100001310"/>
    <x v="57"/>
    <n v="2024"/>
  </r>
  <r>
    <n v="100002561"/>
    <x v="58"/>
    <n v="2024"/>
  </r>
  <r>
    <n v="100001367"/>
    <x v="65"/>
    <n v="2024"/>
  </r>
  <r>
    <n v="100005313"/>
    <x v="89"/>
    <n v="2024"/>
  </r>
  <r>
    <n v="100005314"/>
    <x v="32"/>
    <n v="2024"/>
  </r>
  <r>
    <n v="100004677"/>
    <x v="109"/>
    <n v="2024"/>
  </r>
  <r>
    <n v="100002074"/>
    <x v="90"/>
    <n v="2024"/>
  </r>
  <r>
    <n v="100000388"/>
    <x v="33"/>
    <n v="2024"/>
  </r>
  <r>
    <n v="100001916"/>
    <x v="104"/>
    <n v="2024"/>
  </r>
  <r>
    <n v="100000733"/>
    <x v="19"/>
    <n v="2024"/>
  </r>
  <r>
    <n v="100003221"/>
    <x v="110"/>
    <n v="2024"/>
  </r>
  <r>
    <n v="100001041"/>
    <x v="111"/>
    <n v="2024"/>
  </r>
  <r>
    <n v="100001042"/>
    <x v="112"/>
    <n v="2024"/>
  </r>
  <r>
    <n v="100003840"/>
    <x v="113"/>
    <n v="2024"/>
  </r>
  <r>
    <n v="100002906"/>
    <x v="114"/>
    <n v="2024"/>
  </r>
  <r>
    <n v="100001310"/>
    <x v="57"/>
    <n v="2024"/>
  </r>
  <r>
    <n v="100004645"/>
    <x v="115"/>
    <n v="2024"/>
  </r>
  <r>
    <n v="100000046"/>
    <x v="49"/>
    <n v="2024"/>
  </r>
  <r>
    <n v="100002092"/>
    <x v="2"/>
    <n v="2024"/>
  </r>
  <r>
    <n v="100000244"/>
    <x v="116"/>
    <n v="2024"/>
  </r>
  <r>
    <n v="100004000"/>
    <x v="117"/>
    <n v="2024"/>
  </r>
  <r>
    <n v="100004001"/>
    <x v="118"/>
    <n v="2024"/>
  </r>
  <r>
    <n v="100000529"/>
    <x v="82"/>
    <n v="2024"/>
  </r>
  <r>
    <n v="100003448"/>
    <x v="119"/>
    <n v="2024"/>
  </r>
  <r>
    <n v="100000721"/>
    <x v="120"/>
    <n v="2024"/>
  </r>
  <r>
    <n v="100000918"/>
    <x v="44"/>
    <n v="2024"/>
  </r>
  <r>
    <n v="100001016"/>
    <x v="108"/>
    <n v="2024"/>
  </r>
  <r>
    <n v="100001041"/>
    <x v="111"/>
    <n v="2024"/>
  </r>
  <r>
    <n v="100001052"/>
    <x v="84"/>
    <n v="2024"/>
  </r>
  <r>
    <n v="100002254"/>
    <x v="121"/>
    <n v="2024"/>
  </r>
  <r>
    <n v="100005482"/>
    <x v="47"/>
    <n v="2024"/>
  </r>
  <r>
    <n v="100001199"/>
    <x v="64"/>
    <n v="2024"/>
  </r>
  <r>
    <n v="100002261"/>
    <x v="122"/>
    <n v="2024"/>
  </r>
  <r>
    <n v="100001260"/>
    <x v="123"/>
    <n v="2024"/>
  </r>
  <r>
    <n v="100001310"/>
    <x v="57"/>
    <n v="2024"/>
  </r>
  <r>
    <n v="100001551"/>
    <x v="124"/>
    <n v="2024"/>
  </r>
  <r>
    <n v="100005268"/>
    <x v="125"/>
    <n v="2024"/>
  </r>
  <r>
    <n v="100000241"/>
    <x v="3"/>
    <n v="2024"/>
  </r>
  <r>
    <n v="100000772"/>
    <x v="97"/>
    <n v="2024"/>
  </r>
  <r>
    <n v="100000809"/>
    <x v="126"/>
    <n v="2024"/>
  </r>
  <r>
    <n v="100004066"/>
    <x v="127"/>
    <n v="2024"/>
  </r>
  <r>
    <n v="100001222"/>
    <x v="128"/>
    <n v="2024"/>
  </r>
  <r>
    <n v="100002561"/>
    <x v="58"/>
    <n v="2024"/>
  </r>
  <r>
    <n v="100004116"/>
    <x v="129"/>
    <n v="2024"/>
  </r>
  <r>
    <n v="100000308"/>
    <x v="130"/>
    <n v="2024"/>
  </r>
  <r>
    <n v="100000381"/>
    <x v="131"/>
    <n v="2024"/>
  </r>
  <r>
    <n v="100004001"/>
    <x v="118"/>
    <n v="2024"/>
  </r>
  <r>
    <n v="100000649"/>
    <x v="50"/>
    <n v="2024"/>
  </r>
  <r>
    <n v="100000809"/>
    <x v="126"/>
    <n v="2024"/>
  </r>
  <r>
    <n v="100002921"/>
    <x v="85"/>
    <n v="2024"/>
  </r>
  <r>
    <n v="100003413"/>
    <x v="48"/>
    <n v="2024"/>
  </r>
  <r>
    <n v="100001232"/>
    <x v="132"/>
    <n v="2024"/>
  </r>
  <r>
    <n v="100002269"/>
    <x v="133"/>
    <n v="2024"/>
  </r>
  <r>
    <n v="100004675"/>
    <x v="134"/>
    <n v="2024"/>
  </r>
  <r>
    <n v="100000381"/>
    <x v="131"/>
    <n v="2024"/>
  </r>
  <r>
    <n v="100004642"/>
    <x v="15"/>
    <n v="2024"/>
  </r>
  <r>
    <n v="100000809"/>
    <x v="126"/>
    <n v="2024"/>
  </r>
  <r>
    <n v="100005505"/>
    <x v="135"/>
    <n v="2024"/>
  </r>
  <r>
    <n v="100005302"/>
    <x v="78"/>
    <n v="2024"/>
  </r>
  <r>
    <n v="100004632"/>
    <x v="136"/>
    <n v="2024"/>
  </r>
  <r>
    <n v="100001902"/>
    <x v="137"/>
    <n v="2024"/>
  </r>
  <r>
    <n v="100003422"/>
    <x v="138"/>
    <n v="2024"/>
  </r>
  <r>
    <n v="100000381"/>
    <x v="131"/>
    <n v="2024"/>
  </r>
  <r>
    <n v="100001903"/>
    <x v="139"/>
    <n v="2024"/>
  </r>
  <r>
    <n v="100000535"/>
    <x v="93"/>
    <n v="2024"/>
  </r>
  <r>
    <n v="100000908"/>
    <x v="140"/>
    <n v="2024"/>
  </r>
  <r>
    <n v="100005505"/>
    <x v="135"/>
    <n v="2024"/>
  </r>
  <r>
    <n v="100004066"/>
    <x v="127"/>
    <n v="2024"/>
  </r>
  <r>
    <n v="100002921"/>
    <x v="85"/>
    <n v="2024"/>
  </r>
  <r>
    <n v="100001260"/>
    <x v="123"/>
    <n v="2024"/>
  </r>
  <r>
    <n v="100002314"/>
    <x v="69"/>
    <n v="2024"/>
  </r>
  <r>
    <n v="100001463"/>
    <x v="141"/>
    <n v="2024"/>
  </r>
  <r>
    <n v="100000368"/>
    <x v="142"/>
    <n v="2024"/>
  </r>
  <r>
    <n v="100000486"/>
    <x v="143"/>
    <n v="2024"/>
  </r>
  <r>
    <n v="100000763"/>
    <x v="144"/>
    <n v="2024"/>
  </r>
  <r>
    <n v="100000772"/>
    <x v="97"/>
    <n v="2024"/>
  </r>
  <r>
    <n v="100001068"/>
    <x v="145"/>
    <n v="2024"/>
  </r>
  <r>
    <n v="100005268"/>
    <x v="125"/>
    <n v="2024"/>
  </r>
  <r>
    <n v="100004006"/>
    <x v="146"/>
    <n v="2024"/>
  </r>
  <r>
    <n v="100000535"/>
    <x v="93"/>
    <n v="2024"/>
  </r>
  <r>
    <n v="100000809"/>
    <x v="126"/>
    <n v="2024"/>
  </r>
  <r>
    <n v="100004354"/>
    <x v="147"/>
    <n v="2024"/>
  </r>
  <r>
    <n v="100002314"/>
    <x v="69"/>
    <n v="2024"/>
  </r>
  <r>
    <n v="100002919"/>
    <x v="80"/>
    <n v="2024"/>
  </r>
  <r>
    <n v="100002919"/>
    <x v="80"/>
    <n v="2024"/>
  </r>
  <r>
    <n v="100004675"/>
    <x v="134"/>
    <n v="2024"/>
  </r>
  <r>
    <n v="100003423"/>
    <x v="148"/>
    <n v="2024"/>
  </r>
  <r>
    <n v="100000046"/>
    <x v="49"/>
    <n v="2024"/>
  </r>
  <r>
    <n v="100003422"/>
    <x v="138"/>
    <n v="2024"/>
  </r>
  <r>
    <n v="100001903"/>
    <x v="139"/>
    <n v="2024"/>
  </r>
  <r>
    <n v="100002040"/>
    <x v="149"/>
    <n v="2024"/>
  </r>
  <r>
    <n v="100000908"/>
    <x v="140"/>
    <n v="2024"/>
  </r>
  <r>
    <n v="100005505"/>
    <x v="135"/>
    <n v="2024"/>
  </r>
  <r>
    <n v="100000944"/>
    <x v="150"/>
    <n v="2024"/>
  </r>
  <r>
    <n v="100003413"/>
    <x v="48"/>
    <n v="2024"/>
  </r>
  <r>
    <n v="100002314"/>
    <x v="69"/>
    <n v="2024"/>
  </r>
  <r>
    <n v="100004493"/>
    <x v="151"/>
    <n v="2024"/>
  </r>
  <r>
    <n v="100001466"/>
    <x v="60"/>
    <n v="2024"/>
  </r>
  <r>
    <n v="100002092"/>
    <x v="2"/>
    <n v="2024"/>
  </r>
  <r>
    <n v="100003422"/>
    <x v="138"/>
    <n v="2024"/>
  </r>
  <r>
    <n v="100002037"/>
    <x v="152"/>
    <n v="2024"/>
  </r>
  <r>
    <n v="100000535"/>
    <x v="93"/>
    <n v="2024"/>
  </r>
  <r>
    <n v="100002361"/>
    <x v="17"/>
    <n v="2024"/>
  </r>
  <r>
    <n v="100003431"/>
    <x v="52"/>
    <n v="2024"/>
  </r>
  <r>
    <n v="100004493"/>
    <x v="151"/>
    <n v="2024"/>
  </r>
  <r>
    <n v="100001466"/>
    <x v="60"/>
    <n v="2024"/>
  </r>
  <r>
    <n v="100000115"/>
    <x v="153"/>
    <n v="2025"/>
  </r>
  <r>
    <n v="100000170"/>
    <x v="81"/>
    <n v="2025"/>
  </r>
  <r>
    <n v="100000309"/>
    <x v="154"/>
    <n v="2025"/>
  </r>
  <r>
    <n v="100000368"/>
    <x v="142"/>
    <n v="2025"/>
  </r>
  <r>
    <n v="100000389"/>
    <x v="155"/>
    <n v="2025"/>
  </r>
  <r>
    <n v="100002208"/>
    <x v="156"/>
    <n v="2025"/>
  </r>
  <r>
    <n v="100002308"/>
    <x v="157"/>
    <n v="2025"/>
  </r>
  <r>
    <n v="100002037"/>
    <x v="152"/>
    <n v="2025"/>
  </r>
  <r>
    <n v="100002903"/>
    <x v="96"/>
    <n v="2025"/>
  </r>
  <r>
    <n v="100000693"/>
    <x v="158"/>
    <n v="2025"/>
  </r>
  <r>
    <n v="100000763"/>
    <x v="144"/>
    <n v="2025"/>
  </r>
  <r>
    <n v="100006440"/>
    <x v="159"/>
    <n v="2025"/>
  </r>
  <r>
    <n v="100000908"/>
    <x v="140"/>
    <n v="2025"/>
  </r>
  <r>
    <n v="100000964"/>
    <x v="160"/>
    <n v="2025"/>
  </r>
  <r>
    <n v="100001084"/>
    <x v="161"/>
    <n v="2025"/>
  </r>
  <r>
    <n v="100003413"/>
    <x v="48"/>
    <n v="2025"/>
  </r>
  <r>
    <n v="100001199"/>
    <x v="64"/>
    <n v="2025"/>
  </r>
  <r>
    <n v="100001358"/>
    <x v="73"/>
    <n v="2025"/>
  </r>
  <r>
    <n v="100001466"/>
    <x v="60"/>
    <n v="2025"/>
  </r>
  <r>
    <n v="100002295"/>
    <x v="162"/>
    <n v="2025"/>
  </r>
  <r>
    <n v="100000809"/>
    <x v="126"/>
    <n v="2025"/>
  </r>
  <r>
    <n v="100000908"/>
    <x v="140"/>
    <n v="2025"/>
  </r>
  <r>
    <n v="100003439"/>
    <x v="163"/>
    <n v="2025"/>
  </r>
  <r>
    <n v="100001084"/>
    <x v="161"/>
    <n v="2025"/>
  </r>
  <r>
    <n v="100002254"/>
    <x v="121"/>
    <n v="2025"/>
  </r>
  <r>
    <n v="100003904"/>
    <x v="164"/>
    <n v="2025"/>
  </r>
  <r>
    <n v="100002269"/>
    <x v="133"/>
    <n v="2025"/>
  </r>
  <r>
    <n v="100001547"/>
    <x v="165"/>
    <n v="2025"/>
  </r>
  <r>
    <n v="100000194"/>
    <x v="40"/>
    <n v="2025"/>
  </r>
  <r>
    <n v="100000358"/>
    <x v="166"/>
    <n v="2025"/>
  </r>
  <r>
    <n v="100003905"/>
    <x v="5"/>
    <n v="2025"/>
  </r>
  <r>
    <n v="100002037"/>
    <x v="152"/>
    <n v="2025"/>
  </r>
  <r>
    <n v="100005505"/>
    <x v="135"/>
    <n v="2025"/>
  </r>
  <r>
    <n v="100005299"/>
    <x v="72"/>
    <n v="2025"/>
  </r>
  <r>
    <n v="100001084"/>
    <x v="161"/>
    <n v="2025"/>
  </r>
  <r>
    <n v="100002254"/>
    <x v="121"/>
    <n v="2025"/>
  </r>
  <r>
    <n v="100001124"/>
    <x v="167"/>
    <n v="2025"/>
  </r>
  <r>
    <n v="100001466"/>
    <x v="60"/>
    <n v="2025"/>
  </r>
  <r>
    <n v="100001603"/>
    <x v="168"/>
    <n v="2025"/>
  </r>
  <r>
    <n v="100003423"/>
    <x v="148"/>
    <n v="2025"/>
  </r>
  <r>
    <n v="100000368"/>
    <x v="142"/>
    <n v="2025"/>
  </r>
  <r>
    <n v="100002208"/>
    <x v="156"/>
    <n v="2025"/>
  </r>
  <r>
    <n v="100000553"/>
    <x v="169"/>
    <n v="2025"/>
  </r>
  <r>
    <n v="100002903"/>
    <x v="96"/>
    <n v="2025"/>
  </r>
  <r>
    <n v="100001184"/>
    <x v="170"/>
    <n v="2025"/>
  </r>
  <r>
    <n v="100002295"/>
    <x v="162"/>
    <n v="2025"/>
  </r>
  <r>
    <n v="100001568"/>
    <x v="171"/>
    <n v="2025"/>
  </r>
  <r>
    <n v="100003423"/>
    <x v="148"/>
    <n v="2025"/>
  </r>
  <r>
    <n v="100000085"/>
    <x v="172"/>
    <n v="2025"/>
  </r>
  <r>
    <n v="100005325"/>
    <x v="70"/>
    <n v="2025"/>
  </r>
  <r>
    <n v="100000115"/>
    <x v="153"/>
    <n v="2025"/>
  </r>
  <r>
    <n v="100000126"/>
    <x v="173"/>
    <n v="2025"/>
  </r>
  <r>
    <n v="100003406"/>
    <x v="174"/>
    <n v="2025"/>
  </r>
  <r>
    <n v="100005282"/>
    <x v="13"/>
    <n v="2025"/>
  </r>
  <r>
    <n v="100005535"/>
    <x v="175"/>
    <n v="2025"/>
  </r>
  <r>
    <n v="100000368"/>
    <x v="142"/>
    <n v="2025"/>
  </r>
  <r>
    <n v="100000381"/>
    <x v="131"/>
    <n v="2025"/>
  </r>
  <r>
    <n v="100000381"/>
    <x v="131"/>
    <n v="2025"/>
  </r>
  <r>
    <n v="100002208"/>
    <x v="156"/>
    <n v="2025"/>
  </r>
  <r>
    <n v="100002308"/>
    <x v="157"/>
    <n v="2025"/>
  </r>
  <r>
    <n v="100002308"/>
    <x v="157"/>
    <n v="2025"/>
  </r>
  <r>
    <n v="100002037"/>
    <x v="152"/>
    <n v="2025"/>
  </r>
  <r>
    <n v="100000553"/>
    <x v="169"/>
    <n v="2025"/>
  </r>
  <r>
    <n v="100002903"/>
    <x v="96"/>
    <n v="2025"/>
  </r>
  <r>
    <n v="100000715"/>
    <x v="176"/>
    <n v="2025"/>
  </r>
  <r>
    <n v="100000763"/>
    <x v="144"/>
    <n v="2025"/>
  </r>
  <r>
    <n v="100000829"/>
    <x v="76"/>
    <n v="2025"/>
  </r>
  <r>
    <n v="100002241"/>
    <x v="107"/>
    <n v="2025"/>
  </r>
  <r>
    <n v="100005505"/>
    <x v="135"/>
    <n v="2025"/>
  </r>
  <r>
    <n v="100005299"/>
    <x v="72"/>
    <n v="2025"/>
  </r>
  <r>
    <n v="100006171"/>
    <x v="177"/>
    <n v="2025"/>
  </r>
  <r>
    <n v="100002254"/>
    <x v="121"/>
    <n v="2025"/>
  </r>
  <r>
    <n v="100001124"/>
    <x v="167"/>
    <n v="2025"/>
  </r>
  <r>
    <n v="100003903"/>
    <x v="37"/>
    <n v="2025"/>
  </r>
  <r>
    <n v="100001232"/>
    <x v="132"/>
    <n v="2025"/>
  </r>
  <r>
    <n v="100002295"/>
    <x v="162"/>
    <n v="2025"/>
  </r>
  <r>
    <n v="100001568"/>
    <x v="171"/>
    <n v="2025"/>
  </r>
  <r>
    <n v="100000085"/>
    <x v="172"/>
    <n v="2025"/>
  </r>
  <r>
    <n v="100000115"/>
    <x v="153"/>
    <n v="2025"/>
  </r>
  <r>
    <n v="100000126"/>
    <x v="173"/>
    <n v="2025"/>
  </r>
  <r>
    <n v="100005282"/>
    <x v="13"/>
    <n v="2025"/>
  </r>
  <r>
    <n v="100003423"/>
    <x v="178"/>
    <n v="2025"/>
  </r>
  <r>
    <n v="100000368"/>
    <x v="142"/>
    <n v="2025"/>
  </r>
  <r>
    <n v="100002308"/>
    <x v="157"/>
    <n v="2025"/>
  </r>
  <r>
    <n v="100002308"/>
    <x v="157"/>
    <n v="2025"/>
  </r>
  <r>
    <n v="100002037"/>
    <x v="152"/>
    <n v="2025"/>
  </r>
  <r>
    <n v="100000553"/>
    <x v="169"/>
    <n v="2025"/>
  </r>
  <r>
    <n v="100002903"/>
    <x v="96"/>
    <n v="2025"/>
  </r>
  <r>
    <n v="100004642"/>
    <x v="15"/>
    <n v="2025"/>
  </r>
  <r>
    <n v="100000715"/>
    <x v="176"/>
    <n v="2025"/>
  </r>
  <r>
    <n v="100000763"/>
    <x v="144"/>
    <n v="2025"/>
  </r>
  <r>
    <n v="100001037"/>
    <x v="179"/>
    <n v="2025"/>
  </r>
  <r>
    <n v="100001053"/>
    <x v="180"/>
    <n v="2025"/>
  </r>
  <r>
    <n v="100003439"/>
    <x v="163"/>
    <n v="2025"/>
  </r>
  <r>
    <n v="100001084"/>
    <x v="161"/>
    <n v="2025"/>
  </r>
  <r>
    <n v="100002254"/>
    <x v="121"/>
    <n v="2025"/>
  </r>
  <r>
    <n v="100001124"/>
    <x v="167"/>
    <n v="2025"/>
  </r>
  <r>
    <n v="100001470"/>
    <x v="181"/>
    <n v="2025"/>
  </r>
  <r>
    <n v="100001568"/>
    <x v="171"/>
    <n v="2025"/>
  </r>
  <r>
    <n v="100001568"/>
    <x v="171"/>
    <n v="202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DB41651-1D0C-42B5-8E00-825C43E69122}" name="TablaDinámica5" cacheId="7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2">
  <location ref="F2:G185" firstHeaderRow="1" firstDataRow="1" firstDataCol="1"/>
  <pivotFields count="3">
    <pivotField showAll="0"/>
    <pivotField axis="axisRow" dataField="1" showAll="0" sortType="descending">
      <items count="183">
        <item x="148"/>
        <item x="101"/>
        <item x="0"/>
        <item x="21"/>
        <item x="12"/>
        <item x="49"/>
        <item x="172"/>
        <item x="70"/>
        <item x="153"/>
        <item x="173"/>
        <item x="22"/>
        <item x="90"/>
        <item x="81"/>
        <item x="1"/>
        <item x="61"/>
        <item x="125"/>
        <item x="40"/>
        <item x="174"/>
        <item x="2"/>
        <item x="3"/>
        <item x="13"/>
        <item x="116"/>
        <item x="178"/>
        <item x="137"/>
        <item x="66"/>
        <item x="138"/>
        <item x="154"/>
        <item x="130"/>
        <item x="67"/>
        <item x="102"/>
        <item x="41"/>
        <item x="175"/>
        <item x="166"/>
        <item x="142"/>
        <item x="4"/>
        <item x="131"/>
        <item x="155"/>
        <item x="33"/>
        <item x="95"/>
        <item x="139"/>
        <item x="5"/>
        <item x="91"/>
        <item x="156"/>
        <item x="143"/>
        <item x="157"/>
        <item x="152"/>
        <item x="117"/>
        <item x="118"/>
        <item x="42"/>
        <item x="92"/>
        <item x="149"/>
        <item x="82"/>
        <item x="146"/>
        <item x="93"/>
        <item x="103"/>
        <item x="169"/>
        <item x="104"/>
        <item x="23"/>
        <item x="34"/>
        <item x="87"/>
        <item x="24"/>
        <item x="71"/>
        <item x="14"/>
        <item x="96"/>
        <item x="50"/>
        <item x="119"/>
        <item x="105"/>
        <item x="158"/>
        <item x="106"/>
        <item x="62"/>
        <item x="15"/>
        <item x="176"/>
        <item x="16"/>
        <item x="17"/>
        <item x="25"/>
        <item x="120"/>
        <item x="18"/>
        <item x="19"/>
        <item x="74"/>
        <item x="144"/>
        <item x="35"/>
        <item x="88"/>
        <item x="97"/>
        <item x="75"/>
        <item x="6"/>
        <item x="126"/>
        <item x="7"/>
        <item x="8"/>
        <item x="159"/>
        <item x="26"/>
        <item x="76"/>
        <item x="107"/>
        <item x="43"/>
        <item x="51"/>
        <item x="52"/>
        <item x="140"/>
        <item x="110"/>
        <item x="160"/>
        <item x="77"/>
        <item x="9"/>
        <item x="44"/>
        <item x="45"/>
        <item x="135"/>
        <item x="83"/>
        <item x="150"/>
        <item x="27"/>
        <item x="127"/>
        <item x="53"/>
        <item x="10"/>
        <item x="108"/>
        <item x="54"/>
        <item x="98"/>
        <item x="46"/>
        <item x="28"/>
        <item x="179"/>
        <item x="111"/>
        <item x="112"/>
        <item x="63"/>
        <item x="29"/>
        <item x="72"/>
        <item x="84"/>
        <item x="180"/>
        <item x="55"/>
        <item x="145"/>
        <item x="177"/>
        <item x="163"/>
        <item x="161"/>
        <item x="78"/>
        <item x="136"/>
        <item x="121"/>
        <item x="113"/>
        <item x="94"/>
        <item x="47"/>
        <item x="68"/>
        <item x="167"/>
        <item x="85"/>
        <item x="99"/>
        <item x="128"/>
        <item x="36"/>
        <item x="37"/>
        <item x="79"/>
        <item x="48"/>
        <item x="170"/>
        <item x="114"/>
        <item x="64"/>
        <item x="122"/>
        <item x="132"/>
        <item x="30"/>
        <item x="147"/>
        <item x="123"/>
        <item x="69"/>
        <item x="38"/>
        <item x="80"/>
        <item x="11"/>
        <item x="56"/>
        <item x="31"/>
        <item x="57"/>
        <item x="58"/>
        <item x="164"/>
        <item x="65"/>
        <item x="151"/>
        <item x="73"/>
        <item x="100"/>
        <item x="115"/>
        <item x="89"/>
        <item x="32"/>
        <item x="59"/>
        <item x="129"/>
        <item x="133"/>
        <item x="134"/>
        <item x="60"/>
        <item x="141"/>
        <item x="20"/>
        <item x="162"/>
        <item x="39"/>
        <item x="181"/>
        <item x="165"/>
        <item x="124"/>
        <item x="109"/>
        <item x="86"/>
        <item x="168"/>
        <item x="17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</pivotFields>
  <rowFields count="1">
    <field x="1"/>
  </rowFields>
  <rowItems count="183">
    <i>
      <x v="37"/>
    </i>
    <i>
      <x v="157"/>
    </i>
    <i>
      <x v="156"/>
    </i>
    <i>
      <x v="152"/>
    </i>
    <i>
      <x v="100"/>
    </i>
    <i>
      <x v="170"/>
    </i>
    <i>
      <x v="129"/>
    </i>
    <i>
      <x v="33"/>
    </i>
    <i>
      <x v="40"/>
    </i>
    <i>
      <x v="44"/>
    </i>
    <i>
      <x v="102"/>
    </i>
    <i>
      <x v="45"/>
    </i>
    <i>
      <x v="35"/>
    </i>
    <i>
      <x v="63"/>
    </i>
    <i>
      <x v="85"/>
    </i>
    <i>
      <x v="74"/>
    </i>
    <i>
      <x v="150"/>
    </i>
    <i>
      <x v="141"/>
    </i>
    <i>
      <x v="4"/>
    </i>
    <i>
      <x v="79"/>
    </i>
    <i>
      <x v="53"/>
    </i>
    <i>
      <x v="135"/>
    </i>
    <i>
      <x v="95"/>
    </i>
    <i>
      <x v="144"/>
    </i>
    <i>
      <x v="70"/>
    </i>
    <i>
      <x v="5"/>
    </i>
    <i>
      <x v="73"/>
    </i>
    <i>
      <x v="126"/>
    </i>
    <i>
      <x v="181"/>
    </i>
    <i>
      <x v="76"/>
    </i>
    <i>
      <x v="82"/>
    </i>
    <i>
      <x v="93"/>
    </i>
    <i>
      <x v="173"/>
    </i>
    <i>
      <x v="11"/>
    </i>
    <i>
      <x v="18"/>
    </i>
    <i>
      <x v="55"/>
    </i>
    <i>
      <x v="105"/>
    </i>
    <i>
      <x v="159"/>
    </i>
    <i>
      <x v="117"/>
    </i>
    <i>
      <x v="25"/>
    </i>
    <i>
      <x v="119"/>
    </i>
    <i>
      <x v="8"/>
    </i>
    <i>
      <x v="42"/>
    </i>
    <i>
      <x v="153"/>
    </i>
    <i>
      <x v="20"/>
    </i>
    <i>
      <x v="94"/>
    </i>
    <i>
      <x v="132"/>
    </i>
    <i>
      <x v="164"/>
    </i>
    <i>
      <x v="134"/>
    </i>
    <i>
      <x v="16"/>
    </i>
    <i>
      <x v="77"/>
    </i>
    <i>
      <x/>
    </i>
    <i>
      <x v="91"/>
    </i>
    <i>
      <x v="146"/>
    </i>
    <i>
      <x v="58"/>
    </i>
    <i>
      <x v="7"/>
    </i>
    <i>
      <x v="12"/>
    </i>
    <i>
      <x v="103"/>
    </i>
    <i>
      <x v="57"/>
    </i>
    <i>
      <x v="64"/>
    </i>
    <i>
      <x v="47"/>
    </i>
    <i>
      <x v="106"/>
    </i>
    <i>
      <x v="149"/>
    </i>
    <i>
      <x v="108"/>
    </i>
    <i>
      <x v="154"/>
    </i>
    <i>
      <x v="109"/>
    </i>
    <i>
      <x v="160"/>
    </i>
    <i>
      <x v="110"/>
    </i>
    <i>
      <x v="168"/>
    </i>
    <i>
      <x v="115"/>
    </i>
    <i>
      <x v="101"/>
    </i>
    <i>
      <x v="69"/>
    </i>
    <i>
      <x v="81"/>
    </i>
    <i>
      <x v="39"/>
    </i>
    <i>
      <x v="147"/>
    </i>
    <i>
      <x v="120"/>
    </i>
    <i>
      <x v="51"/>
    </i>
    <i>
      <x v="122"/>
    </i>
    <i>
      <x v="86"/>
    </i>
    <i>
      <x v="125"/>
    </i>
    <i>
      <x v="15"/>
    </i>
    <i>
      <x v="71"/>
    </i>
    <i>
      <x v="56"/>
    </i>
    <i>
      <x v="127"/>
    </i>
    <i>
      <x v="161"/>
    </i>
    <i>
      <x v="2"/>
    </i>
    <i>
      <x v="165"/>
    </i>
    <i>
      <x v="19"/>
    </i>
    <i>
      <x v="169"/>
    </i>
    <i>
      <x v="9"/>
    </i>
    <i>
      <x v="61"/>
    </i>
    <i>
      <x v="6"/>
    </i>
    <i>
      <x v="139"/>
    </i>
    <i>
      <x v="90"/>
    </i>
    <i>
      <x v="83"/>
    </i>
    <i>
      <x v="3"/>
    </i>
    <i>
      <x v="92"/>
    </i>
    <i>
      <x v="50"/>
    </i>
    <i>
      <x v="14"/>
    </i>
    <i>
      <x v="96"/>
    </i>
    <i>
      <x v="88"/>
    </i>
    <i>
      <x v="97"/>
    </i>
    <i>
      <x v="48"/>
    </i>
    <i>
      <x v="98"/>
    </i>
    <i>
      <x v="145"/>
    </i>
    <i>
      <x v="99"/>
    </i>
    <i>
      <x v="80"/>
    </i>
    <i>
      <x v="10"/>
    </i>
    <i>
      <x v="23"/>
    </i>
    <i>
      <x v="52"/>
    </i>
    <i>
      <x v="46"/>
    </i>
    <i>
      <x v="26"/>
    </i>
    <i>
      <x v="177"/>
    </i>
    <i>
      <x v="54"/>
    </i>
    <i>
      <x v="72"/>
    </i>
    <i>
      <x v="104"/>
    </i>
    <i>
      <x v="143"/>
    </i>
    <i>
      <x v="27"/>
    </i>
    <i>
      <x v="13"/>
    </i>
    <i>
      <x v="28"/>
    </i>
    <i>
      <x v="151"/>
    </i>
    <i>
      <x v="107"/>
    </i>
    <i>
      <x v="155"/>
    </i>
    <i>
      <x v="29"/>
    </i>
    <i>
      <x v="84"/>
    </i>
    <i>
      <x v="30"/>
    </i>
    <i>
      <x v="163"/>
    </i>
    <i>
      <x v="59"/>
    </i>
    <i>
      <x v="167"/>
    </i>
    <i>
      <x v="111"/>
    </i>
    <i>
      <x v="171"/>
    </i>
    <i>
      <x v="112"/>
    </i>
    <i>
      <x v="175"/>
    </i>
    <i>
      <x v="113"/>
    </i>
    <i>
      <x v="179"/>
    </i>
    <i>
      <x v="114"/>
    </i>
    <i>
      <x v="138"/>
    </i>
    <i>
      <x v="60"/>
    </i>
    <i>
      <x v="140"/>
    </i>
    <i>
      <x v="116"/>
    </i>
    <i>
      <x v="142"/>
    </i>
    <i>
      <x v="31"/>
    </i>
    <i>
      <x v="38"/>
    </i>
    <i>
      <x v="118"/>
    </i>
    <i>
      <x v="75"/>
    </i>
    <i>
      <x v="62"/>
    </i>
    <i>
      <x v="148"/>
    </i>
    <i>
      <x v="32"/>
    </i>
    <i>
      <x v="78"/>
    </i>
    <i>
      <x v="121"/>
    </i>
    <i>
      <x v="41"/>
    </i>
    <i>
      <x v="1"/>
    </i>
    <i>
      <x v="21"/>
    </i>
    <i>
      <x v="123"/>
    </i>
    <i>
      <x v="43"/>
    </i>
    <i>
      <x v="124"/>
    </i>
    <i>
      <x v="158"/>
    </i>
    <i>
      <x v="65"/>
    </i>
    <i>
      <x v="22"/>
    </i>
    <i>
      <x v="66"/>
    </i>
    <i>
      <x v="162"/>
    </i>
    <i>
      <x v="67"/>
    </i>
    <i>
      <x v="87"/>
    </i>
    <i>
      <x v="128"/>
    </i>
    <i>
      <x v="166"/>
    </i>
    <i>
      <x v="68"/>
    </i>
    <i>
      <x v="89"/>
    </i>
    <i>
      <x v="130"/>
    </i>
    <i>
      <x v="24"/>
    </i>
    <i>
      <x v="131"/>
    </i>
    <i>
      <x v="172"/>
    </i>
    <i>
      <x v="34"/>
    </i>
    <i>
      <x v="174"/>
    </i>
    <i>
      <x v="133"/>
    </i>
    <i>
      <x v="176"/>
    </i>
    <i>
      <x v="17"/>
    </i>
    <i>
      <x v="178"/>
    </i>
    <i>
      <x v="36"/>
    </i>
    <i>
      <x v="180"/>
    </i>
    <i>
      <x v="136"/>
    </i>
    <i>
      <x v="49"/>
    </i>
    <i>
      <x v="137"/>
    </i>
    <i t="grand">
      <x/>
    </i>
  </rowItems>
  <colItems count="1">
    <i/>
  </colItems>
  <dataFields count="1">
    <dataField name="Cuenta de NOMBRE GENERICO" fld="1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16077DC-39AD-42D7-B136-AB05B591DF4F}" name="TablaDinámica1" cacheId="4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94" firstHeaderRow="1" firstDataRow="1" firstDataCol="1"/>
  <pivotFields count="3">
    <pivotField showAll="0"/>
    <pivotField axis="axisRow" dataField="1" showAll="0" sortType="descending">
      <items count="91">
        <item x="0"/>
        <item x="21"/>
        <item x="12"/>
        <item x="49"/>
        <item x="70"/>
        <item x="22"/>
        <item x="81"/>
        <item x="1"/>
        <item x="61"/>
        <item x="40"/>
        <item x="2"/>
        <item x="3"/>
        <item x="13"/>
        <item x="66"/>
        <item x="67"/>
        <item x="41"/>
        <item x="4"/>
        <item x="33"/>
        <item x="5"/>
        <item x="42"/>
        <item x="82"/>
        <item x="23"/>
        <item x="34"/>
        <item x="87"/>
        <item x="24"/>
        <item x="71"/>
        <item x="14"/>
        <item x="50"/>
        <item x="62"/>
        <item x="15"/>
        <item x="16"/>
        <item x="17"/>
        <item x="25"/>
        <item x="18"/>
        <item x="19"/>
        <item x="74"/>
        <item x="35"/>
        <item x="88"/>
        <item x="75"/>
        <item x="6"/>
        <item x="7"/>
        <item x="8"/>
        <item x="26"/>
        <item x="76"/>
        <item x="43"/>
        <item x="51"/>
        <item x="52"/>
        <item x="77"/>
        <item x="9"/>
        <item x="44"/>
        <item x="45"/>
        <item x="83"/>
        <item x="27"/>
        <item x="53"/>
        <item x="10"/>
        <item x="54"/>
        <item x="46"/>
        <item x="28"/>
        <item x="63"/>
        <item x="29"/>
        <item x="72"/>
        <item x="84"/>
        <item x="55"/>
        <item x="78"/>
        <item x="47"/>
        <item x="68"/>
        <item x="85"/>
        <item x="36"/>
        <item x="37"/>
        <item x="79"/>
        <item x="48"/>
        <item x="64"/>
        <item x="30"/>
        <item x="69"/>
        <item x="38"/>
        <item x="80"/>
        <item x="11"/>
        <item x="56"/>
        <item x="31"/>
        <item x="57"/>
        <item x="58"/>
        <item x="65"/>
        <item x="73"/>
        <item x="89"/>
        <item x="32"/>
        <item x="59"/>
        <item x="60"/>
        <item x="20"/>
        <item x="39"/>
        <item x="86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</pivotFields>
  <rowFields count="1">
    <field x="1"/>
  </rowFields>
  <rowItems count="91">
    <i>
      <x v="17"/>
    </i>
    <i>
      <x v="80"/>
    </i>
    <i>
      <x v="75"/>
    </i>
    <i>
      <x v="2"/>
    </i>
    <i>
      <x v="33"/>
    </i>
    <i>
      <x v="18"/>
    </i>
    <i>
      <x v="52"/>
    </i>
    <i>
      <x v="58"/>
    </i>
    <i>
      <x v="76"/>
    </i>
    <i>
      <x v="31"/>
    </i>
    <i>
      <x v="32"/>
    </i>
    <i>
      <x v="45"/>
    </i>
    <i>
      <x v="9"/>
    </i>
    <i>
      <x v="62"/>
    </i>
    <i>
      <x v="22"/>
    </i>
    <i>
      <x v="34"/>
    </i>
    <i>
      <x v="72"/>
    </i>
    <i>
      <x v="40"/>
    </i>
    <i>
      <x v="79"/>
    </i>
    <i>
      <x v="86"/>
    </i>
    <i>
      <x v="28"/>
    </i>
    <i>
      <x v="49"/>
    </i>
    <i>
      <x v="66"/>
    </i>
    <i>
      <x v="50"/>
    </i>
    <i>
      <x v="29"/>
    </i>
    <i>
      <x v="51"/>
    </i>
    <i>
      <x v="77"/>
    </i>
    <i>
      <x v="25"/>
    </i>
    <i>
      <x v="21"/>
    </i>
    <i>
      <x v="54"/>
    </i>
    <i>
      <x v="55"/>
    </i>
    <i>
      <x/>
    </i>
    <i>
      <x v="63"/>
    </i>
    <i>
      <x v="1"/>
    </i>
    <i>
      <x v="71"/>
    </i>
    <i>
      <x v="12"/>
    </i>
    <i>
      <x v="87"/>
    </i>
    <i>
      <x v="13"/>
    </i>
    <i>
      <x v="67"/>
    </i>
    <i>
      <x v="35"/>
    </i>
    <i>
      <x v="26"/>
    </i>
    <i>
      <x v="36"/>
    </i>
    <i>
      <x v="83"/>
    </i>
    <i>
      <x v="37"/>
    </i>
    <i>
      <x v="61"/>
    </i>
    <i>
      <x v="38"/>
    </i>
    <i>
      <x v="65"/>
    </i>
    <i>
      <x v="39"/>
    </i>
    <i>
      <x v="69"/>
    </i>
    <i>
      <x v="14"/>
    </i>
    <i>
      <x v="73"/>
    </i>
    <i>
      <x v="41"/>
    </i>
    <i>
      <x v="8"/>
    </i>
    <i>
      <x v="42"/>
    </i>
    <i>
      <x v="81"/>
    </i>
    <i>
      <x v="43"/>
    </i>
    <i>
      <x v="85"/>
    </i>
    <i>
      <x v="89"/>
    </i>
    <i>
      <x v="11"/>
    </i>
    <i>
      <x v="15"/>
    </i>
    <i>
      <x v="23"/>
    </i>
    <i>
      <x v="46"/>
    </i>
    <i>
      <x v="64"/>
    </i>
    <i>
      <x v="47"/>
    </i>
    <i>
      <x v="24"/>
    </i>
    <i>
      <x v="48"/>
    </i>
    <i>
      <x v="68"/>
    </i>
    <i>
      <x v="16"/>
    </i>
    <i>
      <x v="70"/>
    </i>
    <i>
      <x v="3"/>
    </i>
    <i>
      <x v="7"/>
    </i>
    <i>
      <x v="4"/>
    </i>
    <i>
      <x v="74"/>
    </i>
    <i>
      <x v="19"/>
    </i>
    <i>
      <x v="27"/>
    </i>
    <i>
      <x v="53"/>
    </i>
    <i>
      <x v="78"/>
    </i>
    <i>
      <x v="20"/>
    </i>
    <i>
      <x v="30"/>
    </i>
    <i>
      <x v="5"/>
    </i>
    <i>
      <x v="82"/>
    </i>
    <i>
      <x v="56"/>
    </i>
    <i>
      <x v="84"/>
    </i>
    <i>
      <x v="57"/>
    </i>
    <i>
      <x v="10"/>
    </i>
    <i>
      <x v="6"/>
    </i>
    <i>
      <x v="88"/>
    </i>
    <i>
      <x v="59"/>
    </i>
    <i>
      <x v="60"/>
    </i>
    <i>
      <x v="44"/>
    </i>
    <i t="grand">
      <x/>
    </i>
  </rowItems>
  <colItems count="1">
    <i/>
  </colItems>
  <dataFields count="1">
    <dataField name="Cuenta de NOMBRE GENERICO" fld="1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397F0B8-1B9F-491C-8330-3FA910D733B2}" name="TablaDinámica3" cacheId="5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94" firstHeaderRow="1" firstDataRow="1" firstDataCol="1"/>
  <pivotFields count="3">
    <pivotField showAll="0"/>
    <pivotField axis="axisRow" dataField="1" showAll="0" sortType="descending">
      <items count="91">
        <item x="83"/>
        <item x="22"/>
        <item x="0"/>
        <item x="1"/>
        <item x="52"/>
        <item x="40"/>
        <item x="53"/>
        <item x="41"/>
        <item x="70"/>
        <item x="71"/>
        <item x="58"/>
        <item x="23"/>
        <item x="76"/>
        <item x="59"/>
        <item x="32"/>
        <item x="14"/>
        <item x="72"/>
        <item x="2"/>
        <item x="77"/>
        <item x="88"/>
        <item x="42"/>
        <item x="43"/>
        <item x="3"/>
        <item x="84"/>
        <item x="44"/>
        <item x="80"/>
        <item x="4"/>
        <item x="24"/>
        <item x="25"/>
        <item x="15"/>
        <item x="60"/>
        <item x="45"/>
        <item x="26"/>
        <item x="27"/>
        <item x="66"/>
        <item x="89"/>
        <item x="5"/>
        <item x="46"/>
        <item x="33"/>
        <item x="78"/>
        <item x="6"/>
        <item x="16"/>
        <item x="54"/>
        <item x="28"/>
        <item x="7"/>
        <item x="73"/>
        <item x="34"/>
        <item x="8"/>
        <item x="67"/>
        <item x="85"/>
        <item x="55"/>
        <item x="29"/>
        <item x="17"/>
        <item x="35"/>
        <item x="36"/>
        <item x="47"/>
        <item x="79"/>
        <item x="68"/>
        <item x="69"/>
        <item x="48"/>
        <item x="37"/>
        <item x="9"/>
        <item x="10"/>
        <item x="61"/>
        <item x="18"/>
        <item x="56"/>
        <item x="62"/>
        <item x="38"/>
        <item x="19"/>
        <item x="49"/>
        <item x="63"/>
        <item x="81"/>
        <item x="50"/>
        <item x="74"/>
        <item x="82"/>
        <item x="11"/>
        <item x="12"/>
        <item x="13"/>
        <item x="86"/>
        <item x="20"/>
        <item x="39"/>
        <item x="21"/>
        <item x="30"/>
        <item x="57"/>
        <item x="64"/>
        <item x="65"/>
        <item x="87"/>
        <item x="75"/>
        <item x="51"/>
        <item x="3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</pivotFields>
  <rowFields count="1">
    <field x="1"/>
  </rowFields>
  <rowItems count="91">
    <i>
      <x v="75"/>
    </i>
    <i>
      <x v="42"/>
    </i>
    <i>
      <x v="47"/>
    </i>
    <i>
      <x v="76"/>
    </i>
    <i>
      <x v="41"/>
    </i>
    <i>
      <x v="26"/>
    </i>
    <i>
      <x v="73"/>
    </i>
    <i>
      <x v="3"/>
    </i>
    <i>
      <x v="2"/>
    </i>
    <i>
      <x v="9"/>
    </i>
    <i>
      <x v="13"/>
    </i>
    <i>
      <x v="48"/>
    </i>
    <i>
      <x v="5"/>
    </i>
    <i>
      <x v="72"/>
    </i>
    <i>
      <x v="85"/>
    </i>
    <i>
      <x v="45"/>
    </i>
    <i>
      <x v="74"/>
    </i>
    <i>
      <x v="21"/>
    </i>
    <i>
      <x v="78"/>
    </i>
    <i>
      <x v="86"/>
    </i>
    <i>
      <x v="68"/>
    </i>
    <i>
      <x v="50"/>
    </i>
    <i>
      <x v="4"/>
    </i>
    <i>
      <x v="51"/>
    </i>
    <i>
      <x v="28"/>
    </i>
    <i>
      <x v="53"/>
    </i>
    <i>
      <x v="77"/>
    </i>
    <i>
      <x v="62"/>
    </i>
    <i>
      <x v="81"/>
    </i>
    <i>
      <x v="63"/>
    </i>
    <i>
      <x v="16"/>
    </i>
    <i>
      <x v="66"/>
    </i>
    <i>
      <x v="44"/>
    </i>
    <i>
      <x v="64"/>
    </i>
    <i>
      <x v="80"/>
    </i>
    <i>
      <x v="23"/>
    </i>
    <i>
      <x v="34"/>
    </i>
    <i>
      <x v="88"/>
    </i>
    <i>
      <x v="35"/>
    </i>
    <i>
      <x v="22"/>
    </i>
    <i>
      <x v="36"/>
    </i>
    <i>
      <x v="27"/>
    </i>
    <i>
      <x v="37"/>
    </i>
    <i>
      <x v="84"/>
    </i>
    <i>
      <x v="38"/>
    </i>
    <i>
      <x v="19"/>
    </i>
    <i>
      <x v="39"/>
    </i>
    <i>
      <x v="8"/>
    </i>
    <i>
      <x v="40"/>
    </i>
    <i>
      <x v="70"/>
    </i>
    <i>
      <x v="11"/>
    </i>
    <i>
      <x v="25"/>
    </i>
    <i>
      <x v="12"/>
    </i>
    <i>
      <x v="29"/>
    </i>
    <i>
      <x v="43"/>
    </i>
    <i>
      <x v="82"/>
    </i>
    <i>
      <x/>
    </i>
    <i>
      <x v="32"/>
    </i>
    <i>
      <x v="6"/>
    </i>
    <i>
      <x v="33"/>
    </i>
    <i>
      <x v="46"/>
    </i>
    <i>
      <x v="20"/>
    </i>
    <i>
      <x v="14"/>
    </i>
    <i>
      <x v="65"/>
    </i>
    <i>
      <x v="15"/>
    </i>
    <i>
      <x v="67"/>
    </i>
    <i>
      <x v="49"/>
    </i>
    <i>
      <x v="69"/>
    </i>
    <i>
      <x v="7"/>
    </i>
    <i>
      <x v="71"/>
    </i>
    <i>
      <x v="17"/>
    </i>
    <i>
      <x v="24"/>
    </i>
    <i>
      <x v="52"/>
    </i>
    <i>
      <x v="1"/>
    </i>
    <i>
      <x v="18"/>
    </i>
    <i>
      <x v="10"/>
    </i>
    <i>
      <x v="54"/>
    </i>
    <i>
      <x v="79"/>
    </i>
    <i>
      <x v="55"/>
    </i>
    <i>
      <x v="30"/>
    </i>
    <i>
      <x v="56"/>
    </i>
    <i>
      <x v="83"/>
    </i>
    <i>
      <x v="57"/>
    </i>
    <i>
      <x v="31"/>
    </i>
    <i>
      <x v="58"/>
    </i>
    <i>
      <x v="87"/>
    </i>
    <i>
      <x v="59"/>
    </i>
    <i>
      <x v="89"/>
    </i>
    <i>
      <x v="60"/>
    </i>
    <i>
      <x v="61"/>
    </i>
    <i t="grand">
      <x/>
    </i>
  </rowItems>
  <colItems count="1">
    <i/>
  </colItems>
  <dataFields count="1">
    <dataField name="Cuenta de TEMOZOLOMIDA 180 MG CP" fld="1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5E849FC-19A2-4DFF-BA67-986F45C82013}" name="TablaDinámica4" cacheId="6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59" firstHeaderRow="1" firstDataRow="1" firstDataCol="1"/>
  <pivotFields count="3">
    <pivotField showAll="0"/>
    <pivotField axis="axisRow" dataField="1" showAll="0" sortType="descending">
      <items count="56">
        <item x="33"/>
        <item x="37"/>
        <item x="38"/>
        <item x="0"/>
        <item x="39"/>
        <item x="1"/>
        <item x="26"/>
        <item x="40"/>
        <item x="41"/>
        <item x="50"/>
        <item x="2"/>
        <item x="42"/>
        <item x="27"/>
        <item x="3"/>
        <item x="43"/>
        <item x="4"/>
        <item x="28"/>
        <item x="5"/>
        <item x="6"/>
        <item x="7"/>
        <item x="34"/>
        <item x="8"/>
        <item x="9"/>
        <item x="51"/>
        <item x="44"/>
        <item x="10"/>
        <item x="20"/>
        <item x="11"/>
        <item x="45"/>
        <item x="46"/>
        <item x="12"/>
        <item x="13"/>
        <item x="29"/>
        <item x="52"/>
        <item x="30"/>
        <item x="53"/>
        <item x="47"/>
        <item x="21"/>
        <item x="14"/>
        <item x="22"/>
        <item x="31"/>
        <item x="48"/>
        <item x="15"/>
        <item x="35"/>
        <item x="16"/>
        <item x="49"/>
        <item x="23"/>
        <item x="17"/>
        <item x="24"/>
        <item x="18"/>
        <item x="19"/>
        <item x="54"/>
        <item x="25"/>
        <item x="32"/>
        <item x="36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</pivotFields>
  <rowFields count="1">
    <field x="1"/>
  </rowFields>
  <rowItems count="56">
    <i>
      <x v="18"/>
    </i>
    <i>
      <x v="21"/>
    </i>
    <i>
      <x v="13"/>
    </i>
    <i>
      <x v="38"/>
    </i>
    <i>
      <x v="39"/>
    </i>
    <i>
      <x v="19"/>
    </i>
    <i>
      <x v="54"/>
    </i>
    <i>
      <x v="20"/>
    </i>
    <i>
      <x v="50"/>
    </i>
    <i>
      <x v="25"/>
    </i>
    <i>
      <x v="17"/>
    </i>
    <i>
      <x v="3"/>
    </i>
    <i>
      <x v="40"/>
    </i>
    <i>
      <x v="32"/>
    </i>
    <i>
      <x v="1"/>
    </i>
    <i>
      <x v="14"/>
    </i>
    <i>
      <x v="37"/>
    </i>
    <i>
      <x v="30"/>
    </i>
    <i>
      <x v="24"/>
    </i>
    <i>
      <x v="34"/>
    </i>
    <i>
      <x v="8"/>
    </i>
    <i>
      <x v="49"/>
    </i>
    <i>
      <x v="4"/>
    </i>
    <i>
      <x/>
    </i>
    <i>
      <x v="6"/>
    </i>
    <i>
      <x v="47"/>
    </i>
    <i>
      <x v="43"/>
    </i>
    <i>
      <x v="16"/>
    </i>
    <i>
      <x v="22"/>
    </i>
    <i>
      <x v="53"/>
    </i>
    <i>
      <x v="41"/>
    </i>
    <i>
      <x v="11"/>
    </i>
    <i>
      <x v="45"/>
    </i>
    <i>
      <x v="2"/>
    </i>
    <i>
      <x v="15"/>
    </i>
    <i>
      <x v="52"/>
    </i>
    <i>
      <x v="5"/>
    </i>
    <i>
      <x v="12"/>
    </i>
    <i>
      <x v="23"/>
    </i>
    <i>
      <x v="31"/>
    </i>
    <i>
      <x v="42"/>
    </i>
    <i>
      <x v="9"/>
    </i>
    <i>
      <x v="44"/>
    </i>
    <i>
      <x v="33"/>
    </i>
    <i>
      <x v="46"/>
    </i>
    <i>
      <x v="10"/>
    </i>
    <i>
      <x v="48"/>
    </i>
    <i>
      <x v="35"/>
    </i>
    <i>
      <x v="36"/>
    </i>
    <i>
      <x v="51"/>
    </i>
    <i>
      <x v="28"/>
    </i>
    <i>
      <x v="7"/>
    </i>
    <i>
      <x v="29"/>
    </i>
    <i>
      <x v="26"/>
    </i>
    <i>
      <x v="27"/>
    </i>
    <i t="grand">
      <x/>
    </i>
  </rowItems>
  <colItems count="1">
    <i/>
  </colItems>
  <dataFields count="1">
    <dataField name="Cuenta de TRAMADOL 100MG CM REC/CP LIBER.PROLONG" fld="1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B311B36-10FE-4654-95FD-F6BE95E44373}" name="TablaDinámica2" cacheId="3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J2:K182" firstHeaderRow="1" firstDataRow="1" firstDataCol="1"/>
  <pivotFields count="6">
    <pivotField axis="axisRow" showAll="0">
      <items count="180">
        <item x="0"/>
        <item x="12"/>
        <item x="49"/>
        <item x="171"/>
        <item x="152"/>
        <item x="172"/>
        <item x="22"/>
        <item x="81"/>
        <item x="1"/>
        <item x="40"/>
        <item x="3"/>
        <item x="115"/>
        <item x="129"/>
        <item x="153"/>
        <item x="41"/>
        <item x="165"/>
        <item x="141"/>
        <item x="4"/>
        <item x="130"/>
        <item x="33"/>
        <item x="154"/>
        <item x="142"/>
        <item x="42"/>
        <item x="82"/>
        <item x="93"/>
        <item x="102"/>
        <item x="168"/>
        <item x="23"/>
        <item x="34"/>
        <item x="87"/>
        <item x="24"/>
        <item x="50"/>
        <item x="104"/>
        <item x="157"/>
        <item x="105"/>
        <item x="62"/>
        <item x="175"/>
        <item x="119"/>
        <item x="16"/>
        <item x="25"/>
        <item x="19"/>
        <item x="18"/>
        <item x="143"/>
        <item x="35"/>
        <item x="88"/>
        <item x="96"/>
        <item x="75"/>
        <item x="6"/>
        <item x="125"/>
        <item x="8"/>
        <item x="26"/>
        <item x="76"/>
        <item x="43"/>
        <item x="51"/>
        <item x="139"/>
        <item x="44"/>
        <item x="9"/>
        <item x="83"/>
        <item x="149"/>
        <item x="159"/>
        <item x="27"/>
        <item x="53"/>
        <item x="10"/>
        <item x="107"/>
        <item x="97"/>
        <item x="46"/>
        <item x="28"/>
        <item x="177"/>
        <item x="110"/>
        <item x="111"/>
        <item x="63"/>
        <item x="84"/>
        <item x="178"/>
        <item x="55"/>
        <item x="144"/>
        <item x="160"/>
        <item x="94"/>
        <item x="68"/>
        <item x="166"/>
        <item x="98"/>
        <item x="169"/>
        <item x="64"/>
        <item x="127"/>
        <item x="131"/>
        <item x="30"/>
        <item x="122"/>
        <item x="38"/>
        <item x="11"/>
        <item x="56"/>
        <item x="31"/>
        <item x="57"/>
        <item x="73"/>
        <item x="65"/>
        <item x="140"/>
        <item x="60"/>
        <item x="39"/>
        <item x="164"/>
        <item x="123"/>
        <item x="170"/>
        <item x="167"/>
        <item x="77"/>
        <item x="136"/>
        <item x="138"/>
        <item x="103"/>
        <item x="100"/>
        <item x="101"/>
        <item x="151"/>
        <item x="148"/>
        <item x="7"/>
        <item x="90"/>
        <item x="2"/>
        <item x="59"/>
        <item x="71"/>
        <item x="66"/>
        <item x="155"/>
        <item x="106"/>
        <item x="45"/>
        <item x="120"/>
        <item x="121"/>
        <item x="132"/>
        <item x="161"/>
        <item x="156"/>
        <item x="69"/>
        <item x="74"/>
        <item x="67"/>
        <item x="17"/>
        <item x="58"/>
        <item x="86"/>
        <item x="54"/>
        <item x="14"/>
        <item x="113"/>
        <item x="80"/>
        <item x="85"/>
        <item x="109"/>
        <item x="29"/>
        <item x="173"/>
        <item x="48"/>
        <item x="137"/>
        <item x="147"/>
        <item x="52"/>
        <item x="162"/>
        <item x="118"/>
        <item x="112"/>
        <item x="37"/>
        <item x="163"/>
        <item x="5"/>
        <item x="61"/>
        <item x="20"/>
        <item x="116"/>
        <item x="117"/>
        <item x="145"/>
        <item x="126"/>
        <item x="128"/>
        <item x="146"/>
        <item x="92"/>
        <item x="91"/>
        <item x="150"/>
        <item x="135"/>
        <item x="15"/>
        <item x="114"/>
        <item x="79"/>
        <item x="133"/>
        <item x="108"/>
        <item x="99"/>
        <item x="36"/>
        <item x="21"/>
        <item x="124"/>
        <item x="13"/>
        <item x="72"/>
        <item x="78"/>
        <item x="89"/>
        <item x="32"/>
        <item x="70"/>
        <item x="47"/>
        <item x="134"/>
        <item x="174"/>
        <item x="176"/>
        <item x="158"/>
        <item x="95"/>
        <item t="default"/>
      </items>
    </pivotField>
    <pivotField showAll="0"/>
    <pivotField showAll="0"/>
    <pivotField showAll="0"/>
    <pivotField showAll="0"/>
    <pivotField dataField="1" numFmtId="9" showAll="0"/>
  </pivotFields>
  <rowFields count="1">
    <field x="0"/>
  </rowFields>
  <rowItems count="18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 t="grand">
      <x/>
    </i>
  </rowItems>
  <colItems count="1">
    <i/>
  </colItems>
  <dataFields count="1">
    <dataField name="Cuenta de PORCENTAJE CUMPLIMIENTO" fld="5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EF64FE5-D952-4F9B-8DC8-82ACC904BCFA}" name="TablaDinámica1" cacheId="2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K2:L54" firstHeaderRow="1" firstDataRow="1" firstDataCol="1"/>
  <pivotFields count="6">
    <pivotField axis="axisRow" showAll="0">
      <items count="52">
        <item x="44"/>
        <item x="8"/>
        <item x="11"/>
        <item x="19"/>
        <item x="39"/>
        <item x="32"/>
        <item x="37"/>
        <item x="34"/>
        <item x="24"/>
        <item x="12"/>
        <item x="22"/>
        <item x="2"/>
        <item x="40"/>
        <item x="3"/>
        <item x="38"/>
        <item x="4"/>
        <item x="30"/>
        <item x="7"/>
        <item x="18"/>
        <item x="25"/>
        <item x="41"/>
        <item x="26"/>
        <item x="35"/>
        <item x="50"/>
        <item x="42"/>
        <item x="5"/>
        <item x="31"/>
        <item x="20"/>
        <item x="6"/>
        <item x="21"/>
        <item x="33"/>
        <item x="43"/>
        <item x="9"/>
        <item x="23"/>
        <item x="0"/>
        <item x="14"/>
        <item x="13"/>
        <item x="49"/>
        <item x="10"/>
        <item x="36"/>
        <item x="15"/>
        <item x="46"/>
        <item x="29"/>
        <item x="47"/>
        <item x="27"/>
        <item x="17"/>
        <item x="45"/>
        <item x="1"/>
        <item x="48"/>
        <item x="16"/>
        <item x="28"/>
        <item t="default"/>
      </items>
    </pivotField>
    <pivotField showAll="0"/>
    <pivotField showAll="0"/>
    <pivotField showAll="0"/>
    <pivotField showAll="0"/>
    <pivotField dataField="1" numFmtId="9" showAll="0"/>
  </pivotFields>
  <rowFields count="1">
    <field x="0"/>
  </rowFields>
  <rowItems count="5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 t="grand">
      <x/>
    </i>
  </rowItems>
  <colItems count="1">
    <i/>
  </colItems>
  <dataFields count="1">
    <dataField name="Cuenta de PORCENTAJE CUMPLIMIENTO" fld="5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A00C02-55F8-471D-9176-9D7E0052AAB4}">
  <dimension ref="A1:L31"/>
  <sheetViews>
    <sheetView topLeftCell="A2" workbookViewId="0">
      <selection activeCell="F5" sqref="F5"/>
    </sheetView>
  </sheetViews>
  <sheetFormatPr baseColWidth="10" defaultRowHeight="14.5" x14ac:dyDescent="0.35"/>
  <cols>
    <col min="7" max="7" width="16.54296875" bestFit="1" customWidth="1"/>
    <col min="8" max="8" width="9.36328125" bestFit="1" customWidth="1"/>
    <col min="10" max="11" width="15.81640625" customWidth="1"/>
    <col min="12" max="12" width="13.08984375" customWidth="1"/>
  </cols>
  <sheetData>
    <row r="1" spans="1:12" ht="15" thickBot="1" x14ac:dyDescent="0.4">
      <c r="G1" t="s">
        <v>301</v>
      </c>
    </row>
    <row r="2" spans="1:12" ht="18.5" thickBot="1" x14ac:dyDescent="0.4">
      <c r="A2" s="24" t="s">
        <v>293</v>
      </c>
      <c r="B2" s="24" t="s">
        <v>294</v>
      </c>
      <c r="C2" s="25" t="s">
        <v>296</v>
      </c>
      <c r="D2" s="26" t="s">
        <v>302</v>
      </c>
      <c r="E2" s="26" t="s">
        <v>298</v>
      </c>
      <c r="G2" s="29" t="s">
        <v>299</v>
      </c>
      <c r="H2" s="29"/>
      <c r="I2" s="29"/>
      <c r="J2" s="29"/>
      <c r="K2" s="29"/>
      <c r="L2" s="29"/>
    </row>
    <row r="3" spans="1:12" ht="44" thickBot="1" x14ac:dyDescent="0.4">
      <c r="A3" s="21">
        <v>44927</v>
      </c>
      <c r="B3" s="18">
        <v>271</v>
      </c>
      <c r="C3" s="18">
        <v>14</v>
      </c>
      <c r="D3" s="18">
        <v>287</v>
      </c>
      <c r="E3" s="23">
        <f>B3/D3</f>
        <v>0.94425087108013939</v>
      </c>
      <c r="G3" s="11" t="s">
        <v>253</v>
      </c>
      <c r="H3" s="27" t="s">
        <v>303</v>
      </c>
      <c r="I3" s="27" t="s">
        <v>295</v>
      </c>
      <c r="J3" s="27" t="s">
        <v>296</v>
      </c>
      <c r="K3" s="27" t="s">
        <v>298</v>
      </c>
      <c r="L3" s="27" t="s">
        <v>297</v>
      </c>
    </row>
    <row r="4" spans="1:12" ht="15" thickBot="1" x14ac:dyDescent="0.4">
      <c r="A4" s="21">
        <v>44958</v>
      </c>
      <c r="B4" s="19">
        <v>249</v>
      </c>
      <c r="C4" s="19">
        <v>13</v>
      </c>
      <c r="D4" s="18">
        <v>262</v>
      </c>
      <c r="E4" s="23">
        <f t="shared" ref="E4:E31" si="0">B4/D4</f>
        <v>0.95038167938931295</v>
      </c>
      <c r="G4" s="12">
        <v>2023</v>
      </c>
      <c r="H4" s="12">
        <f>SUM(B3:B14)</f>
        <v>3071</v>
      </c>
      <c r="I4" s="12">
        <v>3293</v>
      </c>
      <c r="J4" s="12">
        <v>173</v>
      </c>
      <c r="K4" s="22">
        <f>H4/I4</f>
        <v>0.93258426966292129</v>
      </c>
      <c r="L4" s="28">
        <f>J4/12</f>
        <v>14.416666666666666</v>
      </c>
    </row>
    <row r="5" spans="1:12" ht="15" thickBot="1" x14ac:dyDescent="0.4">
      <c r="A5" s="21">
        <v>44986</v>
      </c>
      <c r="B5" s="20">
        <v>264</v>
      </c>
      <c r="C5" s="20">
        <v>15</v>
      </c>
      <c r="D5" s="18">
        <v>280</v>
      </c>
      <c r="E5" s="23">
        <f t="shared" si="0"/>
        <v>0.94285714285714284</v>
      </c>
      <c r="G5" s="12">
        <v>2024</v>
      </c>
      <c r="H5" s="12">
        <f>SUM(B15:B26)</f>
        <v>2804</v>
      </c>
      <c r="I5" s="12">
        <v>3079</v>
      </c>
      <c r="J5" s="12">
        <v>168</v>
      </c>
      <c r="K5" s="22">
        <f>H5/I5</f>
        <v>0.91068528743098409</v>
      </c>
      <c r="L5" s="28">
        <f t="shared" ref="L5" si="1">J5/12</f>
        <v>14</v>
      </c>
    </row>
    <row r="6" spans="1:12" ht="15" thickBot="1" x14ac:dyDescent="0.4">
      <c r="A6" s="21">
        <v>45017</v>
      </c>
      <c r="B6" s="20">
        <v>267</v>
      </c>
      <c r="C6" s="20">
        <v>11</v>
      </c>
      <c r="D6" s="18">
        <v>288</v>
      </c>
      <c r="E6" s="23">
        <f t="shared" si="0"/>
        <v>0.92708333333333337</v>
      </c>
      <c r="G6" s="12">
        <v>2025</v>
      </c>
      <c r="H6" s="12">
        <v>1178</v>
      </c>
      <c r="I6" s="12">
        <v>1329</v>
      </c>
      <c r="J6" s="12">
        <v>66</v>
      </c>
      <c r="K6" s="22">
        <f>H6/I6</f>
        <v>0.88638073739653878</v>
      </c>
      <c r="L6" s="28">
        <f>J6/5</f>
        <v>13.2</v>
      </c>
    </row>
    <row r="7" spans="1:12" ht="15" thickBot="1" x14ac:dyDescent="0.4">
      <c r="A7" s="21">
        <v>45047</v>
      </c>
      <c r="B7" s="20">
        <v>302</v>
      </c>
      <c r="C7" s="20">
        <v>17</v>
      </c>
      <c r="D7" s="18">
        <v>322</v>
      </c>
      <c r="E7" s="23">
        <f t="shared" si="0"/>
        <v>0.93788819875776397</v>
      </c>
    </row>
    <row r="8" spans="1:12" ht="15" thickBot="1" x14ac:dyDescent="0.4">
      <c r="A8" s="21">
        <v>45078</v>
      </c>
      <c r="B8" s="20">
        <v>303</v>
      </c>
      <c r="C8" s="20">
        <v>25</v>
      </c>
      <c r="D8" s="18">
        <v>331</v>
      </c>
      <c r="E8" s="23">
        <f t="shared" si="0"/>
        <v>0.9154078549848943</v>
      </c>
    </row>
    <row r="9" spans="1:12" ht="15" thickBot="1" x14ac:dyDescent="0.4">
      <c r="A9" s="21">
        <v>45108</v>
      </c>
      <c r="B9" s="20">
        <v>299</v>
      </c>
      <c r="C9" s="20">
        <v>9</v>
      </c>
      <c r="D9" s="18">
        <v>311</v>
      </c>
      <c r="E9" s="23">
        <f t="shared" si="0"/>
        <v>0.96141479099678462</v>
      </c>
      <c r="G9" t="s">
        <v>304</v>
      </c>
    </row>
    <row r="10" spans="1:12" ht="15" thickBot="1" x14ac:dyDescent="0.4">
      <c r="A10" s="21">
        <v>45139</v>
      </c>
      <c r="B10" s="20">
        <v>189</v>
      </c>
      <c r="C10" s="20">
        <v>10</v>
      </c>
      <c r="D10" s="18">
        <v>218</v>
      </c>
      <c r="E10" s="23">
        <f t="shared" si="0"/>
        <v>0.8669724770642202</v>
      </c>
    </row>
    <row r="11" spans="1:12" ht="15" thickBot="1" x14ac:dyDescent="0.4">
      <c r="A11" s="21">
        <v>45170</v>
      </c>
      <c r="B11" s="20">
        <v>233</v>
      </c>
      <c r="C11" s="20">
        <v>22</v>
      </c>
      <c r="D11" s="18">
        <v>259</v>
      </c>
      <c r="E11" s="23">
        <f t="shared" si="0"/>
        <v>0.89961389961389959</v>
      </c>
    </row>
    <row r="12" spans="1:12" ht="15" thickBot="1" x14ac:dyDescent="0.4">
      <c r="A12" s="21">
        <v>45200</v>
      </c>
      <c r="B12" s="20">
        <v>230</v>
      </c>
      <c r="C12" s="20">
        <v>15</v>
      </c>
      <c r="D12" s="18">
        <v>247</v>
      </c>
      <c r="E12" s="23">
        <f t="shared" si="0"/>
        <v>0.93117408906882593</v>
      </c>
    </row>
    <row r="13" spans="1:12" ht="15" thickBot="1" x14ac:dyDescent="0.4">
      <c r="A13" s="21">
        <v>45231</v>
      </c>
      <c r="B13" s="20">
        <v>248</v>
      </c>
      <c r="C13" s="20">
        <v>13</v>
      </c>
      <c r="D13" s="18">
        <v>262</v>
      </c>
      <c r="E13" s="23">
        <f t="shared" si="0"/>
        <v>0.94656488549618323</v>
      </c>
    </row>
    <row r="14" spans="1:12" ht="15" thickBot="1" x14ac:dyDescent="0.4">
      <c r="A14" s="21">
        <v>45261</v>
      </c>
      <c r="B14" s="20">
        <v>216</v>
      </c>
      <c r="C14" s="20">
        <v>9</v>
      </c>
      <c r="D14" s="18">
        <v>226</v>
      </c>
      <c r="E14" s="23">
        <f t="shared" si="0"/>
        <v>0.95575221238938057</v>
      </c>
    </row>
    <row r="15" spans="1:12" ht="15" thickBot="1" x14ac:dyDescent="0.4">
      <c r="A15" s="21">
        <v>45292</v>
      </c>
      <c r="B15" s="20">
        <v>284</v>
      </c>
      <c r="C15" s="20">
        <v>17</v>
      </c>
      <c r="D15" s="18">
        <v>301</v>
      </c>
      <c r="E15" s="23">
        <f t="shared" si="0"/>
        <v>0.94352159468438535</v>
      </c>
    </row>
    <row r="16" spans="1:12" ht="15" thickBot="1" x14ac:dyDescent="0.4">
      <c r="A16" s="21">
        <v>45323</v>
      </c>
      <c r="B16" s="20">
        <v>231</v>
      </c>
      <c r="C16" s="20">
        <v>10</v>
      </c>
      <c r="D16" s="18">
        <v>252</v>
      </c>
      <c r="E16" s="23">
        <f t="shared" si="0"/>
        <v>0.91666666666666663</v>
      </c>
    </row>
    <row r="17" spans="1:5" ht="15" thickBot="1" x14ac:dyDescent="0.4">
      <c r="A17" s="21">
        <v>45352</v>
      </c>
      <c r="B17" s="20">
        <v>254</v>
      </c>
      <c r="C17" s="20">
        <v>21</v>
      </c>
      <c r="D17" s="18">
        <v>280</v>
      </c>
      <c r="E17" s="23">
        <f t="shared" si="0"/>
        <v>0.90714285714285714</v>
      </c>
    </row>
    <row r="18" spans="1:5" ht="15" thickBot="1" x14ac:dyDescent="0.4">
      <c r="A18" s="21">
        <v>45383</v>
      </c>
      <c r="B18" s="20">
        <v>248</v>
      </c>
      <c r="C18" s="20">
        <v>11</v>
      </c>
      <c r="D18" s="18">
        <v>272</v>
      </c>
      <c r="E18" s="23">
        <f t="shared" si="0"/>
        <v>0.91176470588235292</v>
      </c>
    </row>
    <row r="19" spans="1:5" ht="15" thickBot="1" x14ac:dyDescent="0.4">
      <c r="A19" s="21">
        <v>45413</v>
      </c>
      <c r="B19" s="20">
        <v>239</v>
      </c>
      <c r="C19" s="20">
        <v>19</v>
      </c>
      <c r="D19" s="18">
        <v>264</v>
      </c>
      <c r="E19" s="23">
        <f t="shared" si="0"/>
        <v>0.90530303030303028</v>
      </c>
    </row>
    <row r="20" spans="1:5" ht="15" thickBot="1" x14ac:dyDescent="0.4">
      <c r="A20" s="21">
        <v>45444</v>
      </c>
      <c r="B20" s="20">
        <v>236</v>
      </c>
      <c r="C20" s="20">
        <v>13</v>
      </c>
      <c r="D20" s="18">
        <v>256</v>
      </c>
      <c r="E20" s="23">
        <f t="shared" si="0"/>
        <v>0.921875</v>
      </c>
    </row>
    <row r="21" spans="1:5" ht="15" thickBot="1" x14ac:dyDescent="0.4">
      <c r="A21" s="21">
        <v>45474</v>
      </c>
      <c r="B21" s="20">
        <v>219</v>
      </c>
      <c r="C21" s="20">
        <v>15</v>
      </c>
      <c r="D21" s="18">
        <v>242</v>
      </c>
      <c r="E21" s="23">
        <f t="shared" si="0"/>
        <v>0.9049586776859504</v>
      </c>
    </row>
    <row r="22" spans="1:5" ht="15" thickBot="1" x14ac:dyDescent="0.4">
      <c r="A22" s="21">
        <v>45505</v>
      </c>
      <c r="B22" s="20">
        <v>189</v>
      </c>
      <c r="C22" s="20">
        <v>10</v>
      </c>
      <c r="D22" s="18">
        <v>218</v>
      </c>
      <c r="E22" s="23">
        <f t="shared" si="0"/>
        <v>0.8669724770642202</v>
      </c>
    </row>
    <row r="23" spans="1:5" ht="15" thickBot="1" x14ac:dyDescent="0.4">
      <c r="A23" s="21">
        <v>45536</v>
      </c>
      <c r="B23" s="20">
        <v>212</v>
      </c>
      <c r="C23" s="20">
        <v>14</v>
      </c>
      <c r="D23" s="18">
        <v>236</v>
      </c>
      <c r="E23" s="23">
        <f t="shared" si="0"/>
        <v>0.89830508474576276</v>
      </c>
    </row>
    <row r="24" spans="1:5" ht="15" thickBot="1" x14ac:dyDescent="0.4">
      <c r="A24" s="21">
        <v>45566</v>
      </c>
      <c r="B24" s="20">
        <v>221</v>
      </c>
      <c r="C24" s="20">
        <v>13</v>
      </c>
      <c r="D24" s="18">
        <v>242</v>
      </c>
      <c r="E24" s="23">
        <f t="shared" si="0"/>
        <v>0.91322314049586772</v>
      </c>
    </row>
    <row r="25" spans="1:5" ht="15" thickBot="1" x14ac:dyDescent="0.4">
      <c r="A25" s="21">
        <v>45597</v>
      </c>
      <c r="B25" s="20">
        <v>220</v>
      </c>
      <c r="C25" s="20">
        <v>15</v>
      </c>
      <c r="D25" s="18">
        <v>244</v>
      </c>
      <c r="E25" s="23">
        <f t="shared" si="0"/>
        <v>0.90163934426229508</v>
      </c>
    </row>
    <row r="26" spans="1:5" ht="15" thickBot="1" x14ac:dyDescent="0.4">
      <c r="A26" s="21">
        <v>45627</v>
      </c>
      <c r="B26" s="20">
        <v>251</v>
      </c>
      <c r="C26" s="20">
        <v>10</v>
      </c>
      <c r="D26" s="18">
        <v>272</v>
      </c>
      <c r="E26" s="23">
        <f t="shared" si="0"/>
        <v>0.92279411764705888</v>
      </c>
    </row>
    <row r="27" spans="1:5" ht="15" thickBot="1" x14ac:dyDescent="0.4">
      <c r="A27" s="21">
        <v>45658</v>
      </c>
      <c r="B27" s="20">
        <v>295</v>
      </c>
      <c r="C27" s="20">
        <v>15</v>
      </c>
      <c r="D27" s="18">
        <v>325</v>
      </c>
      <c r="E27" s="23">
        <f t="shared" si="0"/>
        <v>0.90769230769230769</v>
      </c>
    </row>
    <row r="28" spans="1:5" ht="15" thickBot="1" x14ac:dyDescent="0.4">
      <c r="A28" s="21">
        <v>45689</v>
      </c>
      <c r="B28" s="20">
        <v>227</v>
      </c>
      <c r="C28" s="20">
        <v>9</v>
      </c>
      <c r="D28" s="18">
        <v>254</v>
      </c>
      <c r="E28" s="23">
        <f t="shared" si="0"/>
        <v>0.89370078740157477</v>
      </c>
    </row>
    <row r="29" spans="1:5" ht="15" thickBot="1" x14ac:dyDescent="0.4">
      <c r="A29" s="21">
        <v>45717</v>
      </c>
      <c r="B29" s="20">
        <v>214</v>
      </c>
      <c r="C29" s="20">
        <v>12</v>
      </c>
      <c r="D29" s="18">
        <v>250</v>
      </c>
      <c r="E29" s="23">
        <f t="shared" si="0"/>
        <v>0.85599999999999998</v>
      </c>
    </row>
    <row r="30" spans="1:5" ht="15" thickBot="1" x14ac:dyDescent="0.4">
      <c r="A30" s="21">
        <v>45748</v>
      </c>
      <c r="B30" s="20">
        <v>225</v>
      </c>
      <c r="C30" s="20">
        <v>7</v>
      </c>
      <c r="D30" s="18">
        <v>255</v>
      </c>
      <c r="E30" s="23">
        <f t="shared" si="0"/>
        <v>0.88235294117647056</v>
      </c>
    </row>
    <row r="31" spans="1:5" ht="15" thickBot="1" x14ac:dyDescent="0.4">
      <c r="A31" s="21">
        <v>45778</v>
      </c>
      <c r="B31" s="20">
        <v>217</v>
      </c>
      <c r="C31" s="20">
        <v>23</v>
      </c>
      <c r="D31" s="18">
        <v>245</v>
      </c>
      <c r="E31" s="23">
        <f t="shared" si="0"/>
        <v>0.88571428571428568</v>
      </c>
    </row>
  </sheetData>
  <mergeCells count="1">
    <mergeCell ref="G2:L2"/>
  </mergeCells>
  <phoneticPr fontId="1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552DA7-A416-4D2D-99DC-F8C33053EBBC}">
  <dimension ref="A1:Q388"/>
  <sheetViews>
    <sheetView tabSelected="1" topLeftCell="I1" workbookViewId="0">
      <selection activeCell="O5" sqref="O5"/>
    </sheetView>
  </sheetViews>
  <sheetFormatPr baseColWidth="10" defaultRowHeight="14.5" x14ac:dyDescent="0.35"/>
  <cols>
    <col min="2" max="2" width="44.54296875" customWidth="1"/>
    <col min="6" max="6" width="47.1796875" bestFit="1" customWidth="1"/>
    <col min="7" max="7" width="28.453125" bestFit="1" customWidth="1"/>
    <col min="9" max="9" width="34.6328125" customWidth="1"/>
    <col min="10" max="10" width="30.26953125" bestFit="1" customWidth="1"/>
    <col min="11" max="11" width="25.08984375" bestFit="1" customWidth="1"/>
    <col min="14" max="14" width="13" bestFit="1" customWidth="1"/>
  </cols>
  <sheetData>
    <row r="1" spans="1:17" x14ac:dyDescent="0.35">
      <c r="A1" t="s">
        <v>171</v>
      </c>
      <c r="B1" t="s">
        <v>97</v>
      </c>
      <c r="C1" t="s">
        <v>238</v>
      </c>
      <c r="I1" s="30" t="s">
        <v>256</v>
      </c>
      <c r="J1" s="31"/>
      <c r="K1" s="31"/>
    </row>
    <row r="2" spans="1:17" x14ac:dyDescent="0.35">
      <c r="A2">
        <v>100000036</v>
      </c>
      <c r="B2" t="s">
        <v>3</v>
      </c>
      <c r="C2">
        <v>2023</v>
      </c>
      <c r="F2" s="3" t="s">
        <v>217</v>
      </c>
      <c r="G2" t="s">
        <v>239</v>
      </c>
      <c r="I2" s="11" t="s">
        <v>253</v>
      </c>
      <c r="J2" s="6" t="s">
        <v>254</v>
      </c>
      <c r="K2" s="6" t="s">
        <v>255</v>
      </c>
      <c r="L2" t="s">
        <v>252</v>
      </c>
      <c r="N2" t="s">
        <v>300</v>
      </c>
      <c r="Q2" s="9"/>
    </row>
    <row r="3" spans="1:17" x14ac:dyDescent="0.35">
      <c r="A3">
        <v>100000172</v>
      </c>
      <c r="B3" t="s">
        <v>104</v>
      </c>
      <c r="C3">
        <v>2023</v>
      </c>
      <c r="F3" s="4" t="s">
        <v>151</v>
      </c>
      <c r="G3">
        <v>10</v>
      </c>
      <c r="I3" s="12">
        <v>2023</v>
      </c>
      <c r="J3" s="12">
        <v>145</v>
      </c>
      <c r="K3" s="13">
        <f>J3/L3</f>
        <v>12.083333333333334</v>
      </c>
      <c r="L3">
        <v>12</v>
      </c>
    </row>
    <row r="4" spans="1:17" x14ac:dyDescent="0.35">
      <c r="A4">
        <v>100002092</v>
      </c>
      <c r="B4" t="s">
        <v>12</v>
      </c>
      <c r="C4">
        <v>2023</v>
      </c>
      <c r="F4" s="4" t="s">
        <v>170</v>
      </c>
      <c r="G4">
        <v>8</v>
      </c>
      <c r="I4" s="12">
        <v>2024</v>
      </c>
      <c r="J4" s="12">
        <v>142</v>
      </c>
      <c r="K4" s="13">
        <f t="shared" ref="K4:K5" si="0">J4/L4</f>
        <v>11.833333333333334</v>
      </c>
      <c r="L4">
        <v>12</v>
      </c>
    </row>
    <row r="5" spans="1:17" x14ac:dyDescent="0.35">
      <c r="A5">
        <v>100000241</v>
      </c>
      <c r="B5" t="s">
        <v>107</v>
      </c>
      <c r="C5">
        <v>2023</v>
      </c>
      <c r="F5" s="4" t="s">
        <v>76</v>
      </c>
      <c r="G5">
        <v>7</v>
      </c>
      <c r="I5" s="12">
        <v>2025</v>
      </c>
      <c r="J5" s="12">
        <v>100</v>
      </c>
      <c r="K5" s="13">
        <f t="shared" si="0"/>
        <v>20</v>
      </c>
      <c r="L5">
        <v>5</v>
      </c>
    </row>
    <row r="6" spans="1:17" x14ac:dyDescent="0.35">
      <c r="A6">
        <v>100000379</v>
      </c>
      <c r="B6" t="s">
        <v>20</v>
      </c>
      <c r="C6">
        <v>2023</v>
      </c>
      <c r="F6" s="4" t="s">
        <v>75</v>
      </c>
      <c r="G6">
        <v>6</v>
      </c>
    </row>
    <row r="7" spans="1:17" x14ac:dyDescent="0.35">
      <c r="A7">
        <v>100003905</v>
      </c>
      <c r="B7" t="s">
        <v>191</v>
      </c>
      <c r="C7">
        <v>2023</v>
      </c>
      <c r="F7" s="4" t="s">
        <v>46</v>
      </c>
      <c r="G7">
        <v>6</v>
      </c>
      <c r="I7" s="7" t="s">
        <v>243</v>
      </c>
      <c r="J7" s="7" t="s">
        <v>244</v>
      </c>
    </row>
    <row r="8" spans="1:17" x14ac:dyDescent="0.35">
      <c r="A8">
        <v>100000777</v>
      </c>
      <c r="B8" t="s">
        <v>37</v>
      </c>
      <c r="C8">
        <v>2023</v>
      </c>
      <c r="F8" s="4" t="s">
        <v>84</v>
      </c>
      <c r="G8">
        <v>6</v>
      </c>
      <c r="I8" s="8" t="s">
        <v>151</v>
      </c>
      <c r="J8">
        <v>10</v>
      </c>
    </row>
    <row r="9" spans="1:17" x14ac:dyDescent="0.35">
      <c r="A9">
        <v>100002047</v>
      </c>
      <c r="B9" t="s">
        <v>38</v>
      </c>
      <c r="C9">
        <v>2023</v>
      </c>
      <c r="F9" s="4" t="s">
        <v>60</v>
      </c>
      <c r="G9">
        <v>5</v>
      </c>
      <c r="I9" s="8" t="s">
        <v>247</v>
      </c>
      <c r="J9">
        <v>8</v>
      </c>
    </row>
    <row r="10" spans="1:17" x14ac:dyDescent="0.35">
      <c r="A10">
        <v>100000810</v>
      </c>
      <c r="B10" t="s">
        <v>160</v>
      </c>
      <c r="C10">
        <v>2023</v>
      </c>
      <c r="F10" s="4" t="s">
        <v>110</v>
      </c>
      <c r="G10">
        <v>5</v>
      </c>
      <c r="I10" s="8" t="s">
        <v>246</v>
      </c>
      <c r="J10">
        <v>7</v>
      </c>
    </row>
    <row r="11" spans="1:17" x14ac:dyDescent="0.35">
      <c r="A11">
        <v>100000921</v>
      </c>
      <c r="B11" t="s">
        <v>127</v>
      </c>
      <c r="C11">
        <v>2023</v>
      </c>
      <c r="F11" s="4" t="s">
        <v>191</v>
      </c>
      <c r="G11">
        <v>5</v>
      </c>
      <c r="I11" s="8" t="s">
        <v>245</v>
      </c>
      <c r="J11">
        <v>6</v>
      </c>
    </row>
    <row r="12" spans="1:17" x14ac:dyDescent="0.35">
      <c r="A12">
        <v>100001012</v>
      </c>
      <c r="B12" t="s">
        <v>220</v>
      </c>
      <c r="C12">
        <v>2023</v>
      </c>
      <c r="F12" s="4" t="s">
        <v>210</v>
      </c>
      <c r="G12">
        <v>5</v>
      </c>
      <c r="I12" s="8" t="s">
        <v>248</v>
      </c>
      <c r="J12">
        <v>6</v>
      </c>
    </row>
    <row r="13" spans="1:17" x14ac:dyDescent="0.35">
      <c r="A13">
        <v>100001306</v>
      </c>
      <c r="B13" t="s">
        <v>141</v>
      </c>
      <c r="C13">
        <v>2023</v>
      </c>
      <c r="F13" s="4" t="s">
        <v>90</v>
      </c>
      <c r="G13">
        <v>5</v>
      </c>
      <c r="I13" s="8" t="s">
        <v>249</v>
      </c>
      <c r="J13">
        <v>6</v>
      </c>
    </row>
    <row r="14" spans="1:17" x14ac:dyDescent="0.35">
      <c r="A14">
        <v>100000044</v>
      </c>
      <c r="B14" t="s">
        <v>5</v>
      </c>
      <c r="C14">
        <v>2023</v>
      </c>
      <c r="F14" s="4" t="s">
        <v>21</v>
      </c>
      <c r="G14">
        <v>5</v>
      </c>
      <c r="I14" s="8" t="s">
        <v>60</v>
      </c>
      <c r="J14">
        <v>5</v>
      </c>
    </row>
    <row r="15" spans="1:17" x14ac:dyDescent="0.35">
      <c r="A15">
        <v>100005282</v>
      </c>
      <c r="B15" t="s">
        <v>178</v>
      </c>
      <c r="C15">
        <v>2023</v>
      </c>
      <c r="F15" s="4" t="s">
        <v>87</v>
      </c>
      <c r="G15">
        <v>5</v>
      </c>
      <c r="I15" s="8" t="s">
        <v>250</v>
      </c>
      <c r="J15">
        <v>5</v>
      </c>
    </row>
    <row r="16" spans="1:17" x14ac:dyDescent="0.35">
      <c r="A16">
        <v>100003905</v>
      </c>
      <c r="B16" t="s">
        <v>191</v>
      </c>
      <c r="C16">
        <v>2023</v>
      </c>
      <c r="F16" s="4" t="s">
        <v>192</v>
      </c>
      <c r="G16">
        <v>5</v>
      </c>
      <c r="I16" s="8" t="s">
        <v>191</v>
      </c>
      <c r="J16">
        <v>5</v>
      </c>
    </row>
    <row r="17" spans="1:10" x14ac:dyDescent="0.35">
      <c r="A17">
        <v>100002903</v>
      </c>
      <c r="B17" t="s">
        <v>221</v>
      </c>
      <c r="C17">
        <v>2023</v>
      </c>
      <c r="F17" s="4" t="s">
        <v>89</v>
      </c>
      <c r="G17">
        <v>5</v>
      </c>
      <c r="I17" s="8" t="s">
        <v>251</v>
      </c>
      <c r="J17">
        <v>5</v>
      </c>
    </row>
    <row r="18" spans="1:10" x14ac:dyDescent="0.35">
      <c r="A18">
        <v>100004642</v>
      </c>
      <c r="B18" t="s">
        <v>88</v>
      </c>
      <c r="C18">
        <v>2023</v>
      </c>
      <c r="F18" s="4" t="s">
        <v>196</v>
      </c>
      <c r="G18">
        <v>4</v>
      </c>
      <c r="I18" s="8" t="s">
        <v>90</v>
      </c>
      <c r="J18">
        <v>5</v>
      </c>
    </row>
    <row r="19" spans="1:10" x14ac:dyDescent="0.35">
      <c r="A19">
        <v>100000729</v>
      </c>
      <c r="B19" t="s">
        <v>123</v>
      </c>
      <c r="C19">
        <v>2023</v>
      </c>
      <c r="F19" s="4" t="s">
        <v>74</v>
      </c>
      <c r="G19">
        <v>4</v>
      </c>
      <c r="I19" s="8" t="s">
        <v>21</v>
      </c>
      <c r="J19">
        <v>5</v>
      </c>
    </row>
    <row r="20" spans="1:10" x14ac:dyDescent="0.35">
      <c r="A20">
        <v>100002361</v>
      </c>
      <c r="B20" t="s">
        <v>158</v>
      </c>
      <c r="C20">
        <v>2023</v>
      </c>
      <c r="F20" s="4" t="s">
        <v>138</v>
      </c>
      <c r="G20">
        <v>4</v>
      </c>
      <c r="I20" s="8" t="s">
        <v>87</v>
      </c>
      <c r="J20">
        <v>5</v>
      </c>
    </row>
    <row r="21" spans="1:10" x14ac:dyDescent="0.35">
      <c r="A21">
        <v>100000735</v>
      </c>
      <c r="B21" t="s">
        <v>222</v>
      </c>
      <c r="C21">
        <v>2023</v>
      </c>
      <c r="F21" s="4" t="s">
        <v>5</v>
      </c>
      <c r="G21">
        <v>4</v>
      </c>
      <c r="I21" s="8" t="s">
        <v>192</v>
      </c>
      <c r="J21">
        <v>5</v>
      </c>
    </row>
    <row r="22" spans="1:10" x14ac:dyDescent="0.35">
      <c r="A22">
        <v>100000735</v>
      </c>
      <c r="B22" t="s">
        <v>222</v>
      </c>
      <c r="C22">
        <v>2023</v>
      </c>
      <c r="F22" s="4" t="s">
        <v>179</v>
      </c>
      <c r="G22">
        <v>4</v>
      </c>
      <c r="I22" s="8" t="s">
        <v>89</v>
      </c>
      <c r="J22">
        <v>5</v>
      </c>
    </row>
    <row r="23" spans="1:10" x14ac:dyDescent="0.35">
      <c r="A23">
        <v>100000733</v>
      </c>
      <c r="B23" t="s">
        <v>152</v>
      </c>
      <c r="C23">
        <v>2023</v>
      </c>
      <c r="F23" s="4" t="s">
        <v>182</v>
      </c>
      <c r="G23">
        <v>4</v>
      </c>
    </row>
    <row r="24" spans="1:10" x14ac:dyDescent="0.35">
      <c r="A24">
        <v>100003979</v>
      </c>
      <c r="B24" t="s">
        <v>146</v>
      </c>
      <c r="C24">
        <v>2023</v>
      </c>
      <c r="F24" s="4" t="s">
        <v>136</v>
      </c>
      <c r="G24">
        <v>4</v>
      </c>
    </row>
    <row r="25" spans="1:10" x14ac:dyDescent="0.35">
      <c r="A25">
        <v>100004982</v>
      </c>
      <c r="B25" t="s">
        <v>4</v>
      </c>
      <c r="C25">
        <v>2023</v>
      </c>
      <c r="F25" s="4" t="s">
        <v>43</v>
      </c>
      <c r="G25">
        <v>4</v>
      </c>
    </row>
    <row r="26" spans="1:10" x14ac:dyDescent="0.35">
      <c r="A26">
        <v>100000128</v>
      </c>
      <c r="B26" t="s">
        <v>223</v>
      </c>
      <c r="C26">
        <v>2023</v>
      </c>
      <c r="F26" s="4" t="s">
        <v>164</v>
      </c>
      <c r="G26">
        <v>4</v>
      </c>
    </row>
    <row r="27" spans="1:10" x14ac:dyDescent="0.35">
      <c r="A27">
        <v>100000582</v>
      </c>
      <c r="B27" t="s">
        <v>117</v>
      </c>
      <c r="C27">
        <v>2023</v>
      </c>
      <c r="F27" s="4" t="s">
        <v>88</v>
      </c>
      <c r="G27">
        <v>4</v>
      </c>
    </row>
    <row r="28" spans="1:10" x14ac:dyDescent="0.35">
      <c r="A28">
        <v>100000629</v>
      </c>
      <c r="B28" t="s">
        <v>157</v>
      </c>
      <c r="C28">
        <v>2023</v>
      </c>
      <c r="F28" s="4" t="s">
        <v>6</v>
      </c>
      <c r="G28">
        <v>4</v>
      </c>
    </row>
    <row r="29" spans="1:10" x14ac:dyDescent="0.35">
      <c r="A29">
        <v>100000730</v>
      </c>
      <c r="B29" t="s">
        <v>196</v>
      </c>
      <c r="C29">
        <v>2023</v>
      </c>
      <c r="F29" s="4" t="s">
        <v>158</v>
      </c>
      <c r="G29">
        <v>4</v>
      </c>
    </row>
    <row r="30" spans="1:10" x14ac:dyDescent="0.35">
      <c r="A30">
        <v>100000733</v>
      </c>
      <c r="B30" t="s">
        <v>152</v>
      </c>
      <c r="C30">
        <v>2023</v>
      </c>
      <c r="F30" s="4" t="s">
        <v>57</v>
      </c>
      <c r="G30">
        <v>4</v>
      </c>
    </row>
    <row r="31" spans="1:10" x14ac:dyDescent="0.35">
      <c r="A31">
        <v>100000824</v>
      </c>
      <c r="B31" t="s">
        <v>162</v>
      </c>
      <c r="C31">
        <v>2023</v>
      </c>
      <c r="F31" s="4" t="s">
        <v>150</v>
      </c>
      <c r="G31">
        <v>4</v>
      </c>
    </row>
    <row r="32" spans="1:10" x14ac:dyDescent="0.35">
      <c r="A32">
        <v>100000983</v>
      </c>
      <c r="B32" t="s">
        <v>166</v>
      </c>
      <c r="C32">
        <v>2023</v>
      </c>
      <c r="F32" s="4" t="s">
        <v>222</v>
      </c>
      <c r="G32">
        <v>4</v>
      </c>
    </row>
    <row r="33" spans="1:7" x14ac:dyDescent="0.35">
      <c r="A33">
        <v>100001012</v>
      </c>
      <c r="B33" t="s">
        <v>220</v>
      </c>
      <c r="C33">
        <v>2023</v>
      </c>
      <c r="F33" s="4" t="s">
        <v>36</v>
      </c>
      <c r="G33">
        <v>4</v>
      </c>
    </row>
    <row r="34" spans="1:7" x14ac:dyDescent="0.35">
      <c r="A34">
        <v>100001021</v>
      </c>
      <c r="B34" t="s">
        <v>224</v>
      </c>
      <c r="C34">
        <v>2023</v>
      </c>
      <c r="F34" s="4" t="s">
        <v>41</v>
      </c>
      <c r="G34">
        <v>3</v>
      </c>
    </row>
    <row r="35" spans="1:7" x14ac:dyDescent="0.35">
      <c r="A35">
        <v>100003231</v>
      </c>
      <c r="B35" t="s">
        <v>54</v>
      </c>
      <c r="C35">
        <v>2023</v>
      </c>
      <c r="F35" s="4" t="s">
        <v>213</v>
      </c>
      <c r="G35">
        <v>3</v>
      </c>
    </row>
    <row r="36" spans="1:7" x14ac:dyDescent="0.35">
      <c r="A36">
        <v>100001243</v>
      </c>
      <c r="B36" t="s">
        <v>69</v>
      </c>
      <c r="C36">
        <v>2023</v>
      </c>
      <c r="F36" s="4" t="s">
        <v>9</v>
      </c>
      <c r="G36">
        <v>3</v>
      </c>
    </row>
    <row r="37" spans="1:7" x14ac:dyDescent="0.35">
      <c r="A37">
        <v>100001309</v>
      </c>
      <c r="B37" t="s">
        <v>225</v>
      </c>
      <c r="C37">
        <v>2023</v>
      </c>
      <c r="F37" s="4" t="s">
        <v>12</v>
      </c>
      <c r="G37">
        <v>3</v>
      </c>
    </row>
    <row r="38" spans="1:7" x14ac:dyDescent="0.35">
      <c r="A38">
        <v>100005314</v>
      </c>
      <c r="B38" t="s">
        <v>145</v>
      </c>
      <c r="C38">
        <v>2023</v>
      </c>
      <c r="F38" s="4" t="s">
        <v>116</v>
      </c>
      <c r="G38">
        <v>3</v>
      </c>
    </row>
    <row r="39" spans="1:7" x14ac:dyDescent="0.35">
      <c r="A39">
        <v>100000388</v>
      </c>
      <c r="B39" t="s">
        <v>151</v>
      </c>
      <c r="C39">
        <v>2023</v>
      </c>
      <c r="F39" s="4" t="s">
        <v>166</v>
      </c>
      <c r="G39">
        <v>3</v>
      </c>
    </row>
    <row r="40" spans="1:7" x14ac:dyDescent="0.35">
      <c r="A40">
        <v>100003905</v>
      </c>
      <c r="B40" t="s">
        <v>191</v>
      </c>
      <c r="C40">
        <v>2023</v>
      </c>
      <c r="F40" s="4" t="s">
        <v>185</v>
      </c>
      <c r="G40">
        <v>3</v>
      </c>
    </row>
    <row r="41" spans="1:7" x14ac:dyDescent="0.35">
      <c r="A41">
        <v>100000585</v>
      </c>
      <c r="B41" t="s">
        <v>118</v>
      </c>
      <c r="C41">
        <v>2023</v>
      </c>
      <c r="F41" s="4" t="s">
        <v>129</v>
      </c>
      <c r="G41">
        <v>3</v>
      </c>
    </row>
    <row r="42" spans="1:7" x14ac:dyDescent="0.35">
      <c r="A42">
        <v>100000766</v>
      </c>
      <c r="B42" t="s">
        <v>35</v>
      </c>
      <c r="C42">
        <v>2023</v>
      </c>
      <c r="F42" s="4" t="s">
        <v>108</v>
      </c>
      <c r="G42">
        <v>3</v>
      </c>
    </row>
    <row r="43" spans="1:7" x14ac:dyDescent="0.35">
      <c r="A43">
        <v>100004906</v>
      </c>
      <c r="B43" t="s">
        <v>63</v>
      </c>
      <c r="C43">
        <v>2023</v>
      </c>
      <c r="F43" s="4" t="s">
        <v>55</v>
      </c>
      <c r="G43">
        <v>3</v>
      </c>
    </row>
    <row r="44" spans="1:7" x14ac:dyDescent="0.35">
      <c r="A44">
        <v>100003903</v>
      </c>
      <c r="B44" t="s">
        <v>64</v>
      </c>
      <c r="C44">
        <v>2023</v>
      </c>
      <c r="F44" s="4" t="s">
        <v>208</v>
      </c>
      <c r="G44">
        <v>3</v>
      </c>
    </row>
    <row r="45" spans="1:7" x14ac:dyDescent="0.35">
      <c r="A45">
        <v>100001295</v>
      </c>
      <c r="B45" t="s">
        <v>140</v>
      </c>
      <c r="C45">
        <v>2023</v>
      </c>
      <c r="F45" s="4" t="s">
        <v>113</v>
      </c>
      <c r="G45">
        <v>3</v>
      </c>
    </row>
    <row r="46" spans="1:7" x14ac:dyDescent="0.35">
      <c r="A46">
        <v>100001470</v>
      </c>
      <c r="B46" t="s">
        <v>226</v>
      </c>
      <c r="C46">
        <v>2023</v>
      </c>
      <c r="F46" s="4" t="s">
        <v>141</v>
      </c>
      <c r="G46">
        <v>3</v>
      </c>
    </row>
    <row r="47" spans="1:7" x14ac:dyDescent="0.35">
      <c r="A47">
        <v>100000194</v>
      </c>
      <c r="B47" t="s">
        <v>105</v>
      </c>
      <c r="C47">
        <v>2023</v>
      </c>
      <c r="F47" s="4" t="s">
        <v>178</v>
      </c>
      <c r="G47">
        <v>3</v>
      </c>
    </row>
    <row r="48" spans="1:7" x14ac:dyDescent="0.35">
      <c r="A48">
        <v>100000353</v>
      </c>
      <c r="B48" t="s">
        <v>19</v>
      </c>
      <c r="C48">
        <v>2023</v>
      </c>
      <c r="F48" s="4" t="s">
        <v>42</v>
      </c>
      <c r="G48">
        <v>3</v>
      </c>
    </row>
    <row r="49" spans="1:7" x14ac:dyDescent="0.35">
      <c r="A49">
        <v>100000388</v>
      </c>
      <c r="B49" t="s">
        <v>151</v>
      </c>
      <c r="C49">
        <v>2023</v>
      </c>
      <c r="F49" s="4" t="s">
        <v>135</v>
      </c>
      <c r="G49">
        <v>3</v>
      </c>
    </row>
    <row r="50" spans="1:7" x14ac:dyDescent="0.35">
      <c r="A50">
        <v>100003905</v>
      </c>
      <c r="B50" t="s">
        <v>191</v>
      </c>
      <c r="C50">
        <v>2023</v>
      </c>
      <c r="F50" s="4" t="s">
        <v>80</v>
      </c>
      <c r="G50">
        <v>3</v>
      </c>
    </row>
    <row r="51" spans="1:7" x14ac:dyDescent="0.35">
      <c r="A51">
        <v>100000498</v>
      </c>
      <c r="B51" t="s">
        <v>114</v>
      </c>
      <c r="C51">
        <v>2023</v>
      </c>
      <c r="F51" s="4" t="s">
        <v>212</v>
      </c>
      <c r="G51">
        <v>3</v>
      </c>
    </row>
    <row r="52" spans="1:7" x14ac:dyDescent="0.35">
      <c r="A52">
        <v>100000582</v>
      </c>
      <c r="B52" t="s">
        <v>117</v>
      </c>
      <c r="C52">
        <v>2023</v>
      </c>
      <c r="F52" s="4" t="s">
        <v>105</v>
      </c>
      <c r="G52">
        <v>3</v>
      </c>
    </row>
    <row r="53" spans="1:7" x14ac:dyDescent="0.35">
      <c r="A53">
        <v>100000730</v>
      </c>
      <c r="B53" t="s">
        <v>196</v>
      </c>
      <c r="C53">
        <v>2023</v>
      </c>
      <c r="F53" s="4" t="s">
        <v>152</v>
      </c>
      <c r="G53">
        <v>3</v>
      </c>
    </row>
    <row r="54" spans="1:7" x14ac:dyDescent="0.35">
      <c r="A54">
        <v>100000867</v>
      </c>
      <c r="B54" t="s">
        <v>40</v>
      </c>
      <c r="C54">
        <v>2023</v>
      </c>
      <c r="F54" s="4" t="s">
        <v>186</v>
      </c>
      <c r="G54">
        <v>3</v>
      </c>
    </row>
    <row r="55" spans="1:7" x14ac:dyDescent="0.35">
      <c r="A55">
        <v>100000918</v>
      </c>
      <c r="B55" t="s">
        <v>46</v>
      </c>
      <c r="C55">
        <v>2023</v>
      </c>
      <c r="F55" s="4" t="s">
        <v>39</v>
      </c>
      <c r="G55">
        <v>2</v>
      </c>
    </row>
    <row r="56" spans="1:7" x14ac:dyDescent="0.35">
      <c r="A56">
        <v>100002244</v>
      </c>
      <c r="B56" t="s">
        <v>47</v>
      </c>
      <c r="C56">
        <v>2023</v>
      </c>
      <c r="F56" s="4" t="s">
        <v>68</v>
      </c>
      <c r="G56">
        <v>2</v>
      </c>
    </row>
    <row r="57" spans="1:7" x14ac:dyDescent="0.35">
      <c r="A57">
        <v>100000983</v>
      </c>
      <c r="B57" t="s">
        <v>166</v>
      </c>
      <c r="C57">
        <v>2023</v>
      </c>
      <c r="F57" s="4" t="s">
        <v>118</v>
      </c>
      <c r="G57">
        <v>2</v>
      </c>
    </row>
    <row r="58" spans="1:7" x14ac:dyDescent="0.35">
      <c r="A58">
        <v>100001020</v>
      </c>
      <c r="B58" t="s">
        <v>52</v>
      </c>
      <c r="C58">
        <v>2023</v>
      </c>
      <c r="F58" s="4" t="s">
        <v>103</v>
      </c>
      <c r="G58">
        <v>2</v>
      </c>
    </row>
    <row r="59" spans="1:7" x14ac:dyDescent="0.35">
      <c r="A59">
        <v>100005482</v>
      </c>
      <c r="B59" t="s">
        <v>135</v>
      </c>
      <c r="C59">
        <v>2023</v>
      </c>
      <c r="F59" s="4" t="s">
        <v>10</v>
      </c>
      <c r="G59">
        <v>2</v>
      </c>
    </row>
    <row r="60" spans="1:7" x14ac:dyDescent="0.35">
      <c r="A60">
        <v>100003413</v>
      </c>
      <c r="B60" t="s">
        <v>138</v>
      </c>
      <c r="C60">
        <v>2023</v>
      </c>
      <c r="F60" s="4" t="s">
        <v>128</v>
      </c>
      <c r="G60">
        <v>2</v>
      </c>
    </row>
    <row r="61" spans="1:7" x14ac:dyDescent="0.35">
      <c r="A61">
        <v>100001306</v>
      </c>
      <c r="B61" t="s">
        <v>141</v>
      </c>
      <c r="C61">
        <v>2023</v>
      </c>
      <c r="F61" s="4" t="s">
        <v>117</v>
      </c>
      <c r="G61">
        <v>2</v>
      </c>
    </row>
    <row r="62" spans="1:7" x14ac:dyDescent="0.35">
      <c r="A62">
        <v>100001306</v>
      </c>
      <c r="B62" t="s">
        <v>141</v>
      </c>
      <c r="C62">
        <v>2023</v>
      </c>
      <c r="F62" s="4" t="s">
        <v>31</v>
      </c>
      <c r="G62">
        <v>2</v>
      </c>
    </row>
    <row r="63" spans="1:7" x14ac:dyDescent="0.35">
      <c r="A63">
        <v>100000044</v>
      </c>
      <c r="B63" t="s">
        <v>5</v>
      </c>
      <c r="C63">
        <v>2023</v>
      </c>
      <c r="F63" s="4" t="s">
        <v>22</v>
      </c>
      <c r="G63">
        <v>2</v>
      </c>
    </row>
    <row r="64" spans="1:7" x14ac:dyDescent="0.35">
      <c r="A64">
        <v>100000046</v>
      </c>
      <c r="B64" t="s">
        <v>6</v>
      </c>
      <c r="C64">
        <v>2023</v>
      </c>
      <c r="F64" s="4" t="s">
        <v>49</v>
      </c>
      <c r="G64">
        <v>2</v>
      </c>
    </row>
    <row r="65" spans="1:7" x14ac:dyDescent="0.35">
      <c r="A65">
        <v>100000388</v>
      </c>
      <c r="B65" t="s">
        <v>151</v>
      </c>
      <c r="C65">
        <v>2023</v>
      </c>
      <c r="F65" s="4" t="s">
        <v>73</v>
      </c>
      <c r="G65">
        <v>2</v>
      </c>
    </row>
    <row r="66" spans="1:7" x14ac:dyDescent="0.35">
      <c r="A66">
        <v>100000649</v>
      </c>
      <c r="B66" t="s">
        <v>31</v>
      </c>
      <c r="C66">
        <v>2023</v>
      </c>
      <c r="F66" s="4" t="s">
        <v>220</v>
      </c>
      <c r="G66">
        <v>2</v>
      </c>
    </row>
    <row r="67" spans="1:7" x14ac:dyDescent="0.35">
      <c r="A67">
        <v>100002361</v>
      </c>
      <c r="B67" t="s">
        <v>158</v>
      </c>
      <c r="C67">
        <v>2023</v>
      </c>
      <c r="F67" s="4" t="s">
        <v>142</v>
      </c>
      <c r="G67">
        <v>2</v>
      </c>
    </row>
    <row r="68" spans="1:7" x14ac:dyDescent="0.35">
      <c r="A68">
        <v>100000730</v>
      </c>
      <c r="B68" t="s">
        <v>196</v>
      </c>
      <c r="C68">
        <v>2023</v>
      </c>
      <c r="F68" s="4" t="s">
        <v>50</v>
      </c>
      <c r="G68">
        <v>2</v>
      </c>
    </row>
    <row r="69" spans="1:7" x14ac:dyDescent="0.35">
      <c r="A69">
        <v>100000735</v>
      </c>
      <c r="B69" t="s">
        <v>222</v>
      </c>
      <c r="C69">
        <v>2023</v>
      </c>
      <c r="F69" s="4" t="s">
        <v>77</v>
      </c>
      <c r="G69">
        <v>2</v>
      </c>
    </row>
    <row r="70" spans="1:7" x14ac:dyDescent="0.35">
      <c r="A70">
        <v>100000735</v>
      </c>
      <c r="B70" t="s">
        <v>222</v>
      </c>
      <c r="C70">
        <v>2023</v>
      </c>
      <c r="F70" s="4" t="s">
        <v>229</v>
      </c>
      <c r="G70">
        <v>2</v>
      </c>
    </row>
    <row r="71" spans="1:7" x14ac:dyDescent="0.35">
      <c r="A71">
        <v>100000894</v>
      </c>
      <c r="B71" t="s">
        <v>41</v>
      </c>
      <c r="C71">
        <v>2023</v>
      </c>
      <c r="F71" s="4" t="s">
        <v>82</v>
      </c>
      <c r="G71">
        <v>2</v>
      </c>
    </row>
    <row r="72" spans="1:7" x14ac:dyDescent="0.35">
      <c r="A72">
        <v>100003431</v>
      </c>
      <c r="B72" t="s">
        <v>42</v>
      </c>
      <c r="C72">
        <v>2023</v>
      </c>
      <c r="F72" s="4" t="s">
        <v>53</v>
      </c>
      <c r="G72">
        <v>2</v>
      </c>
    </row>
    <row r="73" spans="1:7" x14ac:dyDescent="0.35">
      <c r="A73">
        <v>100000918</v>
      </c>
      <c r="B73" t="s">
        <v>46</v>
      </c>
      <c r="C73">
        <v>2023</v>
      </c>
      <c r="F73" s="4" t="s">
        <v>47</v>
      </c>
      <c r="G73">
        <v>2</v>
      </c>
    </row>
    <row r="74" spans="1:7" x14ac:dyDescent="0.35">
      <c r="A74">
        <v>100001010</v>
      </c>
      <c r="B74" t="s">
        <v>163</v>
      </c>
      <c r="C74">
        <v>2023</v>
      </c>
      <c r="F74" s="4" t="s">
        <v>233</v>
      </c>
      <c r="G74">
        <v>2</v>
      </c>
    </row>
    <row r="75" spans="1:7" x14ac:dyDescent="0.35">
      <c r="A75">
        <v>100002581</v>
      </c>
      <c r="B75" t="s">
        <v>229</v>
      </c>
      <c r="C75">
        <v>2023</v>
      </c>
      <c r="F75" s="4" t="s">
        <v>125</v>
      </c>
      <c r="G75">
        <v>2</v>
      </c>
    </row>
    <row r="76" spans="1:7" x14ac:dyDescent="0.35">
      <c r="A76">
        <v>100001063</v>
      </c>
      <c r="B76" t="s">
        <v>131</v>
      </c>
      <c r="C76">
        <v>2023</v>
      </c>
      <c r="F76" s="4" t="s">
        <v>155</v>
      </c>
      <c r="G76">
        <v>2</v>
      </c>
    </row>
    <row r="77" spans="1:7" x14ac:dyDescent="0.35">
      <c r="A77">
        <v>100001243</v>
      </c>
      <c r="B77" t="s">
        <v>69</v>
      </c>
      <c r="C77">
        <v>2023</v>
      </c>
      <c r="F77" s="4" t="s">
        <v>69</v>
      </c>
      <c r="G77">
        <v>2</v>
      </c>
    </row>
    <row r="78" spans="1:7" x14ac:dyDescent="0.35">
      <c r="A78">
        <v>100001308</v>
      </c>
      <c r="B78" t="s">
        <v>142</v>
      </c>
      <c r="C78">
        <v>2023</v>
      </c>
      <c r="F78" s="4" t="s">
        <v>56</v>
      </c>
      <c r="G78">
        <v>2</v>
      </c>
    </row>
    <row r="79" spans="1:7" x14ac:dyDescent="0.35">
      <c r="A79">
        <v>100001308</v>
      </c>
      <c r="B79" t="s">
        <v>142</v>
      </c>
      <c r="C79">
        <v>2023</v>
      </c>
      <c r="F79" s="4" t="s">
        <v>25</v>
      </c>
      <c r="G79">
        <v>2</v>
      </c>
    </row>
    <row r="80" spans="1:7" x14ac:dyDescent="0.35">
      <c r="A80">
        <v>100001310</v>
      </c>
      <c r="B80" t="s">
        <v>76</v>
      </c>
      <c r="C80">
        <v>2023</v>
      </c>
      <c r="F80" s="4" t="s">
        <v>131</v>
      </c>
      <c r="G80">
        <v>2</v>
      </c>
    </row>
    <row r="81" spans="1:7" x14ac:dyDescent="0.35">
      <c r="A81">
        <v>100002561</v>
      </c>
      <c r="B81" t="s">
        <v>170</v>
      </c>
      <c r="C81">
        <v>2023</v>
      </c>
      <c r="F81" s="4" t="s">
        <v>38</v>
      </c>
      <c r="G81">
        <v>2</v>
      </c>
    </row>
    <row r="82" spans="1:7" x14ac:dyDescent="0.35">
      <c r="A82">
        <v>100002131</v>
      </c>
      <c r="B82" t="s">
        <v>230</v>
      </c>
      <c r="C82">
        <v>2023</v>
      </c>
      <c r="F82" s="4" t="s">
        <v>133</v>
      </c>
      <c r="G82">
        <v>2</v>
      </c>
    </row>
    <row r="83" spans="1:7" x14ac:dyDescent="0.35">
      <c r="A83">
        <v>100001466</v>
      </c>
      <c r="B83" t="s">
        <v>84</v>
      </c>
      <c r="C83">
        <v>2023</v>
      </c>
      <c r="F83" s="4" t="s">
        <v>11</v>
      </c>
      <c r="G83">
        <v>2</v>
      </c>
    </row>
    <row r="84" spans="1:7" x14ac:dyDescent="0.35">
      <c r="A84">
        <v>100000044</v>
      </c>
      <c r="B84" t="s">
        <v>5</v>
      </c>
      <c r="C84">
        <v>2023</v>
      </c>
      <c r="F84" s="4" t="s">
        <v>211</v>
      </c>
      <c r="G84">
        <v>2</v>
      </c>
    </row>
    <row r="85" spans="1:7" x14ac:dyDescent="0.35">
      <c r="A85">
        <v>100003907</v>
      </c>
      <c r="B85" t="s">
        <v>232</v>
      </c>
      <c r="C85">
        <v>2023</v>
      </c>
      <c r="F85" s="4" t="s">
        <v>27</v>
      </c>
      <c r="G85">
        <v>2</v>
      </c>
    </row>
    <row r="86" spans="1:7" x14ac:dyDescent="0.35">
      <c r="A86">
        <v>100000388</v>
      </c>
      <c r="B86" t="s">
        <v>151</v>
      </c>
      <c r="C86">
        <v>2023</v>
      </c>
      <c r="F86" s="4" t="s">
        <v>58</v>
      </c>
      <c r="G86">
        <v>2</v>
      </c>
    </row>
    <row r="87" spans="1:7" x14ac:dyDescent="0.35">
      <c r="A87">
        <v>100000698</v>
      </c>
      <c r="B87" t="s">
        <v>233</v>
      </c>
      <c r="C87">
        <v>2023</v>
      </c>
      <c r="F87" s="4" t="s">
        <v>144</v>
      </c>
      <c r="G87">
        <v>2</v>
      </c>
    </row>
    <row r="88" spans="1:7" x14ac:dyDescent="0.35">
      <c r="A88">
        <v>100001047</v>
      </c>
      <c r="B88" t="s">
        <v>129</v>
      </c>
      <c r="C88">
        <v>2023</v>
      </c>
      <c r="F88" s="4" t="s">
        <v>3</v>
      </c>
      <c r="G88">
        <v>2</v>
      </c>
    </row>
    <row r="89" spans="1:7" x14ac:dyDescent="0.35">
      <c r="A89">
        <v>100001199</v>
      </c>
      <c r="B89" t="s">
        <v>164</v>
      </c>
      <c r="C89">
        <v>2023</v>
      </c>
      <c r="F89" s="4" t="s">
        <v>145</v>
      </c>
      <c r="G89">
        <v>2</v>
      </c>
    </row>
    <row r="90" spans="1:7" x14ac:dyDescent="0.35">
      <c r="A90">
        <v>100001367</v>
      </c>
      <c r="B90" t="s">
        <v>185</v>
      </c>
      <c r="C90">
        <v>2023</v>
      </c>
      <c r="F90" s="4" t="s">
        <v>107</v>
      </c>
      <c r="G90">
        <v>2</v>
      </c>
    </row>
    <row r="91" spans="1:7" x14ac:dyDescent="0.35">
      <c r="A91">
        <v>100001466</v>
      </c>
      <c r="B91" t="s">
        <v>84</v>
      </c>
      <c r="C91">
        <v>2023</v>
      </c>
      <c r="F91" s="4" t="s">
        <v>83</v>
      </c>
      <c r="G91">
        <v>2</v>
      </c>
    </row>
    <row r="92" spans="1:7" x14ac:dyDescent="0.35">
      <c r="A92">
        <v>100000044</v>
      </c>
      <c r="B92" t="s">
        <v>5</v>
      </c>
      <c r="C92">
        <v>2023</v>
      </c>
      <c r="F92" s="4" t="s">
        <v>8</v>
      </c>
      <c r="G92">
        <v>2</v>
      </c>
    </row>
    <row r="93" spans="1:7" x14ac:dyDescent="0.35">
      <c r="A93">
        <v>100002190</v>
      </c>
      <c r="B93" t="s">
        <v>234</v>
      </c>
      <c r="C93">
        <v>2023</v>
      </c>
      <c r="F93" s="4" t="s">
        <v>30</v>
      </c>
      <c r="G93">
        <v>2</v>
      </c>
    </row>
    <row r="94" spans="1:7" x14ac:dyDescent="0.35">
      <c r="A94">
        <v>100002347</v>
      </c>
      <c r="B94" t="s">
        <v>17</v>
      </c>
      <c r="C94">
        <v>2023</v>
      </c>
      <c r="F94" s="4" t="s">
        <v>7</v>
      </c>
      <c r="G94">
        <v>2</v>
      </c>
    </row>
    <row r="95" spans="1:7" x14ac:dyDescent="0.35">
      <c r="A95">
        <v>100000388</v>
      </c>
      <c r="B95" t="s">
        <v>151</v>
      </c>
      <c r="C95">
        <v>2023</v>
      </c>
      <c r="F95" s="4" t="s">
        <v>64</v>
      </c>
      <c r="G95">
        <v>2</v>
      </c>
    </row>
    <row r="96" spans="1:7" x14ac:dyDescent="0.35">
      <c r="A96">
        <v>100000585</v>
      </c>
      <c r="B96" t="s">
        <v>118</v>
      </c>
      <c r="C96">
        <v>2023</v>
      </c>
      <c r="F96" s="4" t="s">
        <v>180</v>
      </c>
      <c r="G96">
        <v>2</v>
      </c>
    </row>
    <row r="97" spans="1:7" x14ac:dyDescent="0.35">
      <c r="A97">
        <v>100000698</v>
      </c>
      <c r="B97" t="s">
        <v>233</v>
      </c>
      <c r="C97">
        <v>2023</v>
      </c>
      <c r="F97" s="4" t="s">
        <v>159</v>
      </c>
      <c r="G97">
        <v>1</v>
      </c>
    </row>
    <row r="98" spans="1:7" x14ac:dyDescent="0.35">
      <c r="A98">
        <v>100001116</v>
      </c>
      <c r="B98" t="s">
        <v>194</v>
      </c>
      <c r="C98">
        <v>2023</v>
      </c>
      <c r="F98" s="4" t="s">
        <v>4</v>
      </c>
      <c r="G98">
        <v>1</v>
      </c>
    </row>
    <row r="99" spans="1:7" x14ac:dyDescent="0.35">
      <c r="A99">
        <v>100002314</v>
      </c>
      <c r="B99" t="s">
        <v>74</v>
      </c>
      <c r="C99">
        <v>2023</v>
      </c>
      <c r="F99" s="4" t="s">
        <v>40</v>
      </c>
      <c r="G99">
        <v>1</v>
      </c>
    </row>
    <row r="100" spans="1:7" x14ac:dyDescent="0.35">
      <c r="A100">
        <v>100002561</v>
      </c>
      <c r="B100" t="s">
        <v>170</v>
      </c>
      <c r="C100">
        <v>2023</v>
      </c>
      <c r="F100" s="4" t="s">
        <v>24</v>
      </c>
      <c r="G100">
        <v>1</v>
      </c>
    </row>
    <row r="101" spans="1:7" x14ac:dyDescent="0.35">
      <c r="A101">
        <v>100005325</v>
      </c>
      <c r="B101" t="s">
        <v>103</v>
      </c>
      <c r="C101">
        <v>2023</v>
      </c>
      <c r="F101" s="4" t="s">
        <v>232</v>
      </c>
      <c r="G101">
        <v>1</v>
      </c>
    </row>
    <row r="102" spans="1:7" x14ac:dyDescent="0.35">
      <c r="A102">
        <v>100000388</v>
      </c>
      <c r="B102" t="s">
        <v>151</v>
      </c>
      <c r="C102">
        <v>2023</v>
      </c>
      <c r="F102" s="4" t="s">
        <v>153</v>
      </c>
      <c r="G102">
        <v>1</v>
      </c>
    </row>
    <row r="103" spans="1:7" x14ac:dyDescent="0.35">
      <c r="A103">
        <v>100002164</v>
      </c>
      <c r="B103" t="s">
        <v>30</v>
      </c>
      <c r="C103">
        <v>2023</v>
      </c>
      <c r="F103" s="4" t="s">
        <v>161</v>
      </c>
      <c r="G103">
        <v>1</v>
      </c>
    </row>
    <row r="104" spans="1:7" x14ac:dyDescent="0.35">
      <c r="A104">
        <v>100004642</v>
      </c>
      <c r="B104" t="s">
        <v>88</v>
      </c>
      <c r="C104">
        <v>2023</v>
      </c>
      <c r="F104" s="4" t="s">
        <v>44</v>
      </c>
      <c r="G104">
        <v>1</v>
      </c>
    </row>
    <row r="105" spans="1:7" x14ac:dyDescent="0.35">
      <c r="A105">
        <v>100000983</v>
      </c>
      <c r="B105" t="s">
        <v>166</v>
      </c>
      <c r="C105">
        <v>2023</v>
      </c>
      <c r="F105" s="4" t="s">
        <v>114</v>
      </c>
      <c r="G105">
        <v>1</v>
      </c>
    </row>
    <row r="106" spans="1:7" x14ac:dyDescent="0.35">
      <c r="A106">
        <v>100002581</v>
      </c>
      <c r="B106" t="s">
        <v>229</v>
      </c>
      <c r="C106">
        <v>2023</v>
      </c>
      <c r="F106" s="4" t="s">
        <v>45</v>
      </c>
      <c r="G106">
        <v>1</v>
      </c>
    </row>
    <row r="107" spans="1:7" x14ac:dyDescent="0.35">
      <c r="A107">
        <v>100001047</v>
      </c>
      <c r="B107" t="s">
        <v>129</v>
      </c>
      <c r="C107">
        <v>2023</v>
      </c>
      <c r="F107" s="4" t="s">
        <v>139</v>
      </c>
      <c r="G107">
        <v>1</v>
      </c>
    </row>
    <row r="108" spans="1:7" x14ac:dyDescent="0.35">
      <c r="A108">
        <v>100005299</v>
      </c>
      <c r="B108" t="s">
        <v>55</v>
      </c>
      <c r="C108">
        <v>2023</v>
      </c>
      <c r="F108" s="4" t="s">
        <v>127</v>
      </c>
      <c r="G108">
        <v>1</v>
      </c>
    </row>
    <row r="109" spans="1:7" x14ac:dyDescent="0.35">
      <c r="A109">
        <v>100001063</v>
      </c>
      <c r="B109" t="s">
        <v>131</v>
      </c>
      <c r="C109">
        <v>2023</v>
      </c>
      <c r="F109" s="4" t="s">
        <v>35</v>
      </c>
      <c r="G109">
        <v>1</v>
      </c>
    </row>
    <row r="110" spans="1:7" x14ac:dyDescent="0.35">
      <c r="A110">
        <v>100001358</v>
      </c>
      <c r="B110" t="s">
        <v>144</v>
      </c>
      <c r="C110">
        <v>2023</v>
      </c>
      <c r="F110" s="4" t="s">
        <v>223</v>
      </c>
      <c r="G110">
        <v>1</v>
      </c>
    </row>
    <row r="111" spans="1:7" x14ac:dyDescent="0.35">
      <c r="A111">
        <v>100000388</v>
      </c>
      <c r="B111" t="s">
        <v>151</v>
      </c>
      <c r="C111">
        <v>2023</v>
      </c>
      <c r="F111" s="4" t="s">
        <v>15</v>
      </c>
      <c r="G111">
        <v>1</v>
      </c>
    </row>
    <row r="112" spans="1:7" x14ac:dyDescent="0.35">
      <c r="A112">
        <v>100002164</v>
      </c>
      <c r="B112" t="s">
        <v>30</v>
      </c>
      <c r="C112">
        <v>2023</v>
      </c>
      <c r="F112" s="4" t="s">
        <v>115</v>
      </c>
      <c r="G112">
        <v>1</v>
      </c>
    </row>
    <row r="113" spans="1:7" x14ac:dyDescent="0.35">
      <c r="A113">
        <v>100002361</v>
      </c>
      <c r="B113" t="s">
        <v>158</v>
      </c>
      <c r="C113">
        <v>2023</v>
      </c>
      <c r="F113" s="4" t="s">
        <v>172</v>
      </c>
      <c r="G113">
        <v>1</v>
      </c>
    </row>
    <row r="114" spans="1:7" x14ac:dyDescent="0.35">
      <c r="A114">
        <v>100002337</v>
      </c>
      <c r="B114" t="s">
        <v>34</v>
      </c>
      <c r="C114">
        <v>2023</v>
      </c>
      <c r="F114" s="4" t="s">
        <v>188</v>
      </c>
      <c r="G114">
        <v>1</v>
      </c>
    </row>
    <row r="115" spans="1:7" x14ac:dyDescent="0.35">
      <c r="A115">
        <v>100000776</v>
      </c>
      <c r="B115" t="s">
        <v>159</v>
      </c>
      <c r="C115">
        <v>2023</v>
      </c>
      <c r="F115" s="4" t="s">
        <v>86</v>
      </c>
      <c r="G115">
        <v>1</v>
      </c>
    </row>
    <row r="116" spans="1:7" x14ac:dyDescent="0.35">
      <c r="A116">
        <v>100002047</v>
      </c>
      <c r="B116" t="s">
        <v>38</v>
      </c>
      <c r="C116">
        <v>2023</v>
      </c>
      <c r="F116" s="4" t="s">
        <v>26</v>
      </c>
      <c r="G116">
        <v>1</v>
      </c>
    </row>
    <row r="117" spans="1:7" x14ac:dyDescent="0.35">
      <c r="A117">
        <v>100000829</v>
      </c>
      <c r="B117" t="s">
        <v>180</v>
      </c>
      <c r="C117">
        <v>2023</v>
      </c>
      <c r="F117" s="4" t="s">
        <v>123</v>
      </c>
      <c r="G117">
        <v>1</v>
      </c>
    </row>
    <row r="118" spans="1:7" x14ac:dyDescent="0.35">
      <c r="A118">
        <v>100000894</v>
      </c>
      <c r="B118" t="s">
        <v>41</v>
      </c>
      <c r="C118">
        <v>2023</v>
      </c>
      <c r="F118" s="4" t="s">
        <v>48</v>
      </c>
      <c r="G118">
        <v>1</v>
      </c>
    </row>
    <row r="119" spans="1:7" x14ac:dyDescent="0.35">
      <c r="A119">
        <v>100001826</v>
      </c>
      <c r="B119" t="s">
        <v>45</v>
      </c>
      <c r="C119">
        <v>2023</v>
      </c>
      <c r="F119" s="4" t="s">
        <v>67</v>
      </c>
      <c r="G119">
        <v>1</v>
      </c>
    </row>
    <row r="120" spans="1:7" x14ac:dyDescent="0.35">
      <c r="A120">
        <v>100001047</v>
      </c>
      <c r="B120" t="s">
        <v>129</v>
      </c>
      <c r="C120">
        <v>2023</v>
      </c>
      <c r="F120" s="4" t="s">
        <v>174</v>
      </c>
      <c r="G120">
        <v>1</v>
      </c>
    </row>
    <row r="121" spans="1:7" x14ac:dyDescent="0.35">
      <c r="A121">
        <v>100005302</v>
      </c>
      <c r="B121" t="s">
        <v>58</v>
      </c>
      <c r="C121">
        <v>2023</v>
      </c>
      <c r="F121" s="4" t="s">
        <v>104</v>
      </c>
      <c r="G121">
        <v>1</v>
      </c>
    </row>
    <row r="122" spans="1:7" x14ac:dyDescent="0.35">
      <c r="A122">
        <v>100004670</v>
      </c>
      <c r="B122" t="s">
        <v>65</v>
      </c>
      <c r="C122">
        <v>2023</v>
      </c>
      <c r="F122" s="4" t="s">
        <v>17</v>
      </c>
      <c r="G122">
        <v>1</v>
      </c>
    </row>
    <row r="123" spans="1:7" x14ac:dyDescent="0.35">
      <c r="A123">
        <v>100002919</v>
      </c>
      <c r="B123" t="s">
        <v>75</v>
      </c>
      <c r="C123">
        <v>2023</v>
      </c>
      <c r="F123" s="4" t="s">
        <v>140</v>
      </c>
      <c r="G123">
        <v>1</v>
      </c>
    </row>
    <row r="124" spans="1:7" x14ac:dyDescent="0.35">
      <c r="A124">
        <v>100002919</v>
      </c>
      <c r="B124" t="s">
        <v>75</v>
      </c>
      <c r="C124">
        <v>2023</v>
      </c>
      <c r="F124" s="4" t="s">
        <v>163</v>
      </c>
      <c r="G124">
        <v>1</v>
      </c>
    </row>
    <row r="125" spans="1:7" x14ac:dyDescent="0.35">
      <c r="A125">
        <v>100002561</v>
      </c>
      <c r="B125" t="s">
        <v>170</v>
      </c>
      <c r="C125">
        <v>2023</v>
      </c>
      <c r="F125" s="4" t="s">
        <v>225</v>
      </c>
      <c r="G125">
        <v>1</v>
      </c>
    </row>
    <row r="126" spans="1:7" x14ac:dyDescent="0.35">
      <c r="A126">
        <v>100000170</v>
      </c>
      <c r="B126" t="s">
        <v>10</v>
      </c>
      <c r="C126">
        <v>2023</v>
      </c>
      <c r="F126" s="4" t="s">
        <v>18</v>
      </c>
      <c r="G126">
        <v>1</v>
      </c>
    </row>
    <row r="127" spans="1:7" x14ac:dyDescent="0.35">
      <c r="A127">
        <v>100000388</v>
      </c>
      <c r="B127" t="s">
        <v>151</v>
      </c>
      <c r="C127">
        <v>2023</v>
      </c>
      <c r="F127" s="4" t="s">
        <v>37</v>
      </c>
      <c r="G127">
        <v>1</v>
      </c>
    </row>
    <row r="128" spans="1:7" x14ac:dyDescent="0.35">
      <c r="A128">
        <v>100000529</v>
      </c>
      <c r="B128" t="s">
        <v>25</v>
      </c>
      <c r="C128">
        <v>2023</v>
      </c>
      <c r="F128" s="4" t="s">
        <v>19</v>
      </c>
      <c r="G128">
        <v>1</v>
      </c>
    </row>
    <row r="129" spans="1:7" x14ac:dyDescent="0.35">
      <c r="A129">
        <v>100000894</v>
      </c>
      <c r="B129" t="s">
        <v>41</v>
      </c>
      <c r="C129">
        <v>2023</v>
      </c>
      <c r="F129" s="4" t="s">
        <v>79</v>
      </c>
      <c r="G129">
        <v>1</v>
      </c>
    </row>
    <row r="130" spans="1:7" x14ac:dyDescent="0.35">
      <c r="A130">
        <v>100000938</v>
      </c>
      <c r="B130" t="s">
        <v>128</v>
      </c>
      <c r="C130">
        <v>2023</v>
      </c>
      <c r="F130" s="4" t="s">
        <v>119</v>
      </c>
      <c r="G130">
        <v>1</v>
      </c>
    </row>
    <row r="131" spans="1:7" x14ac:dyDescent="0.35">
      <c r="A131">
        <v>100001052</v>
      </c>
      <c r="B131" t="s">
        <v>56</v>
      </c>
      <c r="C131">
        <v>2023</v>
      </c>
      <c r="F131" s="4" t="s">
        <v>81</v>
      </c>
      <c r="G131">
        <v>1</v>
      </c>
    </row>
    <row r="132" spans="1:7" x14ac:dyDescent="0.35">
      <c r="A132">
        <v>100002921</v>
      </c>
      <c r="B132" t="s">
        <v>136</v>
      </c>
      <c r="C132">
        <v>2023</v>
      </c>
      <c r="F132" s="4" t="s">
        <v>51</v>
      </c>
      <c r="G132">
        <v>1</v>
      </c>
    </row>
    <row r="133" spans="1:7" x14ac:dyDescent="0.35">
      <c r="A133">
        <v>100002919</v>
      </c>
      <c r="B133" t="s">
        <v>75</v>
      </c>
      <c r="C133">
        <v>2023</v>
      </c>
      <c r="F133" s="4" t="s">
        <v>183</v>
      </c>
      <c r="G133">
        <v>1</v>
      </c>
    </row>
    <row r="134" spans="1:7" x14ac:dyDescent="0.35">
      <c r="A134">
        <v>100002919</v>
      </c>
      <c r="B134" t="s">
        <v>75</v>
      </c>
      <c r="C134">
        <v>2023</v>
      </c>
      <c r="F134" s="4" t="s">
        <v>52</v>
      </c>
      <c r="G134">
        <v>1</v>
      </c>
    </row>
    <row r="135" spans="1:7" x14ac:dyDescent="0.35">
      <c r="A135">
        <v>100001310</v>
      </c>
      <c r="B135" t="s">
        <v>76</v>
      </c>
      <c r="C135">
        <v>2023</v>
      </c>
      <c r="F135" s="4" t="s">
        <v>85</v>
      </c>
      <c r="G135">
        <v>1</v>
      </c>
    </row>
    <row r="136" spans="1:7" x14ac:dyDescent="0.35">
      <c r="A136">
        <v>100002561</v>
      </c>
      <c r="B136" t="s">
        <v>170</v>
      </c>
      <c r="C136">
        <v>2023</v>
      </c>
      <c r="F136" s="4" t="s">
        <v>224</v>
      </c>
      <c r="G136">
        <v>1</v>
      </c>
    </row>
    <row r="137" spans="1:7" x14ac:dyDescent="0.35">
      <c r="A137">
        <v>100002567</v>
      </c>
      <c r="B137" t="s">
        <v>149</v>
      </c>
      <c r="C137">
        <v>2023</v>
      </c>
      <c r="F137" s="4" t="s">
        <v>149</v>
      </c>
      <c r="G137">
        <v>1</v>
      </c>
    </row>
    <row r="138" spans="1:7" x14ac:dyDescent="0.35">
      <c r="A138">
        <v>100000036</v>
      </c>
      <c r="B138" t="s">
        <v>3</v>
      </c>
      <c r="C138">
        <v>2023</v>
      </c>
      <c r="F138" s="4" t="s">
        <v>216</v>
      </c>
      <c r="G138">
        <v>1</v>
      </c>
    </row>
    <row r="139" spans="1:7" x14ac:dyDescent="0.35">
      <c r="A139">
        <v>100000194</v>
      </c>
      <c r="B139" t="s">
        <v>105</v>
      </c>
      <c r="C139">
        <v>2023</v>
      </c>
      <c r="F139" s="4" t="s">
        <v>63</v>
      </c>
      <c r="G139">
        <v>1</v>
      </c>
    </row>
    <row r="140" spans="1:7" x14ac:dyDescent="0.35">
      <c r="A140">
        <v>100000388</v>
      </c>
      <c r="B140" t="s">
        <v>151</v>
      </c>
      <c r="C140">
        <v>2023</v>
      </c>
      <c r="F140" s="4" t="s">
        <v>157</v>
      </c>
      <c r="G140">
        <v>1</v>
      </c>
    </row>
    <row r="141" spans="1:7" x14ac:dyDescent="0.35">
      <c r="A141">
        <v>100000621</v>
      </c>
      <c r="B141" t="s">
        <v>119</v>
      </c>
      <c r="C141">
        <v>2023</v>
      </c>
      <c r="F141" s="4" t="s">
        <v>65</v>
      </c>
      <c r="G141">
        <v>1</v>
      </c>
    </row>
    <row r="142" spans="1:7" x14ac:dyDescent="0.35">
      <c r="A142">
        <v>100000771</v>
      </c>
      <c r="B142" t="s">
        <v>125</v>
      </c>
      <c r="C142">
        <v>2023</v>
      </c>
      <c r="F142" s="4" t="s">
        <v>154</v>
      </c>
      <c r="G142">
        <v>1</v>
      </c>
    </row>
    <row r="143" spans="1:7" x14ac:dyDescent="0.35">
      <c r="A143">
        <v>100002244</v>
      </c>
      <c r="B143" t="s">
        <v>47</v>
      </c>
      <c r="C143">
        <v>2023</v>
      </c>
      <c r="F143" s="4" t="s">
        <v>168</v>
      </c>
      <c r="G143">
        <v>1</v>
      </c>
    </row>
    <row r="144" spans="1:7" x14ac:dyDescent="0.35">
      <c r="A144">
        <v>100000938</v>
      </c>
      <c r="B144" t="s">
        <v>128</v>
      </c>
      <c r="C144">
        <v>2023</v>
      </c>
      <c r="F144" s="4" t="s">
        <v>165</v>
      </c>
      <c r="G144">
        <v>1</v>
      </c>
    </row>
    <row r="145" spans="1:7" x14ac:dyDescent="0.35">
      <c r="A145">
        <v>100002921</v>
      </c>
      <c r="B145" t="s">
        <v>136</v>
      </c>
      <c r="C145">
        <v>2023</v>
      </c>
      <c r="F145" s="4" t="s">
        <v>112</v>
      </c>
      <c r="G145">
        <v>1</v>
      </c>
    </row>
    <row r="146" spans="1:7" x14ac:dyDescent="0.35">
      <c r="A146">
        <v>100005313</v>
      </c>
      <c r="B146" t="s">
        <v>80</v>
      </c>
      <c r="C146">
        <v>2023</v>
      </c>
      <c r="F146" s="4" t="s">
        <v>54</v>
      </c>
      <c r="G146">
        <v>1</v>
      </c>
    </row>
    <row r="147" spans="1:7" x14ac:dyDescent="0.35">
      <c r="A147">
        <v>100000046</v>
      </c>
      <c r="B147" t="s">
        <v>6</v>
      </c>
      <c r="C147">
        <v>2024</v>
      </c>
      <c r="F147" s="4" t="s">
        <v>124</v>
      </c>
      <c r="G147">
        <v>1</v>
      </c>
    </row>
    <row r="148" spans="1:7" x14ac:dyDescent="0.35">
      <c r="A148">
        <v>100002074</v>
      </c>
      <c r="B148" t="s">
        <v>9</v>
      </c>
      <c r="C148">
        <v>2024</v>
      </c>
      <c r="F148" s="4" t="s">
        <v>221</v>
      </c>
      <c r="G148">
        <v>1</v>
      </c>
    </row>
    <row r="149" spans="1:7" x14ac:dyDescent="0.35">
      <c r="A149">
        <v>100004356</v>
      </c>
      <c r="B149" t="s">
        <v>156</v>
      </c>
      <c r="C149">
        <v>2024</v>
      </c>
      <c r="F149" s="4" t="s">
        <v>72</v>
      </c>
      <c r="G149">
        <v>1</v>
      </c>
    </row>
    <row r="150" spans="1:7" x14ac:dyDescent="0.35">
      <c r="A150">
        <v>100004355</v>
      </c>
      <c r="B150" t="s">
        <v>23</v>
      </c>
      <c r="C150">
        <v>2024</v>
      </c>
      <c r="F150" s="4" t="s">
        <v>109</v>
      </c>
      <c r="G150">
        <v>1</v>
      </c>
    </row>
    <row r="151" spans="1:7" x14ac:dyDescent="0.35">
      <c r="A151">
        <v>100000535</v>
      </c>
      <c r="B151" t="s">
        <v>182</v>
      </c>
      <c r="C151">
        <v>2024</v>
      </c>
      <c r="F151" s="4" t="s">
        <v>34</v>
      </c>
      <c r="G151">
        <v>1</v>
      </c>
    </row>
    <row r="152" spans="1:7" x14ac:dyDescent="0.35">
      <c r="A152">
        <v>100000730</v>
      </c>
      <c r="B152" t="s">
        <v>196</v>
      </c>
      <c r="C152">
        <v>2024</v>
      </c>
      <c r="F152" s="4" t="s">
        <v>130</v>
      </c>
      <c r="G152">
        <v>1</v>
      </c>
    </row>
    <row r="153" spans="1:7" x14ac:dyDescent="0.35">
      <c r="A153">
        <v>100000771</v>
      </c>
      <c r="B153" t="s">
        <v>125</v>
      </c>
      <c r="C153">
        <v>2024</v>
      </c>
      <c r="F153" s="4" t="s">
        <v>156</v>
      </c>
      <c r="G153">
        <v>1</v>
      </c>
    </row>
    <row r="154" spans="1:7" x14ac:dyDescent="0.35">
      <c r="A154">
        <v>100003431</v>
      </c>
      <c r="B154" t="s">
        <v>42</v>
      </c>
      <c r="C154">
        <v>2024</v>
      </c>
      <c r="F154" s="4" t="s">
        <v>2</v>
      </c>
      <c r="G154">
        <v>1</v>
      </c>
    </row>
    <row r="155" spans="1:7" x14ac:dyDescent="0.35">
      <c r="A155">
        <v>100000918</v>
      </c>
      <c r="B155" t="s">
        <v>46</v>
      </c>
      <c r="C155">
        <v>2024</v>
      </c>
      <c r="F155" s="4" t="s">
        <v>13</v>
      </c>
      <c r="G155">
        <v>1</v>
      </c>
    </row>
    <row r="156" spans="1:7" x14ac:dyDescent="0.35">
      <c r="A156">
        <v>100001105</v>
      </c>
      <c r="B156" t="s">
        <v>167</v>
      </c>
      <c r="C156">
        <v>2024</v>
      </c>
      <c r="F156" s="4" t="s">
        <v>206</v>
      </c>
      <c r="G156">
        <v>1</v>
      </c>
    </row>
    <row r="157" spans="1:7" x14ac:dyDescent="0.35">
      <c r="A157">
        <v>100005482</v>
      </c>
      <c r="B157" t="s">
        <v>135</v>
      </c>
      <c r="C157">
        <v>2024</v>
      </c>
      <c r="F157" s="4" t="s">
        <v>205</v>
      </c>
      <c r="G157">
        <v>1</v>
      </c>
    </row>
    <row r="158" spans="1:7" x14ac:dyDescent="0.35">
      <c r="A158">
        <v>100001310</v>
      </c>
      <c r="B158" t="s">
        <v>76</v>
      </c>
      <c r="C158">
        <v>2024</v>
      </c>
      <c r="F158" s="4" t="s">
        <v>132</v>
      </c>
      <c r="G158">
        <v>1</v>
      </c>
    </row>
    <row r="159" spans="1:7" x14ac:dyDescent="0.35">
      <c r="A159">
        <v>100002561</v>
      </c>
      <c r="B159" t="s">
        <v>170</v>
      </c>
      <c r="C159">
        <v>2024</v>
      </c>
      <c r="F159" s="4" t="s">
        <v>143</v>
      </c>
      <c r="G159">
        <v>1</v>
      </c>
    </row>
    <row r="160" spans="1:7" x14ac:dyDescent="0.35">
      <c r="A160">
        <v>100001367</v>
      </c>
      <c r="B160" t="s">
        <v>185</v>
      </c>
      <c r="C160">
        <v>2024</v>
      </c>
      <c r="F160" s="4" t="s">
        <v>32</v>
      </c>
      <c r="G160">
        <v>1</v>
      </c>
    </row>
    <row r="161" spans="1:7" x14ac:dyDescent="0.35">
      <c r="A161">
        <v>100006806</v>
      </c>
      <c r="B161" t="s">
        <v>112</v>
      </c>
      <c r="C161">
        <v>2024</v>
      </c>
      <c r="F161" s="4" t="s">
        <v>14</v>
      </c>
      <c r="G161">
        <v>1</v>
      </c>
    </row>
    <row r="162" spans="1:7" x14ac:dyDescent="0.35">
      <c r="A162">
        <v>100002903</v>
      </c>
      <c r="B162" t="s">
        <v>192</v>
      </c>
      <c r="C162">
        <v>2024</v>
      </c>
      <c r="F162" s="4" t="s">
        <v>120</v>
      </c>
      <c r="G162">
        <v>1</v>
      </c>
    </row>
    <row r="163" spans="1:7" x14ac:dyDescent="0.35">
      <c r="A163">
        <v>100000772</v>
      </c>
      <c r="B163" t="s">
        <v>36</v>
      </c>
      <c r="C163">
        <v>2024</v>
      </c>
      <c r="F163" s="4" t="s">
        <v>78</v>
      </c>
      <c r="G163">
        <v>1</v>
      </c>
    </row>
    <row r="164" spans="1:7" x14ac:dyDescent="0.35">
      <c r="A164">
        <v>100000918</v>
      </c>
      <c r="B164" t="s">
        <v>46</v>
      </c>
      <c r="C164">
        <v>2024</v>
      </c>
      <c r="F164" s="4" t="s">
        <v>121</v>
      </c>
      <c r="G164">
        <v>1</v>
      </c>
    </row>
    <row r="165" spans="1:7" x14ac:dyDescent="0.35">
      <c r="A165">
        <v>100001018</v>
      </c>
      <c r="B165" t="s">
        <v>51</v>
      </c>
      <c r="C165">
        <v>2024</v>
      </c>
      <c r="F165" s="4" t="s">
        <v>160</v>
      </c>
      <c r="G165">
        <v>1</v>
      </c>
    </row>
    <row r="166" spans="1:7" x14ac:dyDescent="0.35">
      <c r="A166">
        <v>100001143</v>
      </c>
      <c r="B166" t="s">
        <v>137</v>
      </c>
      <c r="C166">
        <v>2024</v>
      </c>
      <c r="F166" s="4" t="s">
        <v>59</v>
      </c>
      <c r="G166">
        <v>1</v>
      </c>
    </row>
    <row r="167" spans="1:7" x14ac:dyDescent="0.35">
      <c r="A167">
        <v>100001199</v>
      </c>
      <c r="B167" t="s">
        <v>164</v>
      </c>
      <c r="C167">
        <v>2024</v>
      </c>
      <c r="F167" s="4" t="s">
        <v>230</v>
      </c>
      <c r="G167">
        <v>1</v>
      </c>
    </row>
    <row r="168" spans="1:7" x14ac:dyDescent="0.35">
      <c r="A168">
        <v>100001310</v>
      </c>
      <c r="B168" t="s">
        <v>76</v>
      </c>
      <c r="C168">
        <v>2024</v>
      </c>
      <c r="F168" s="4" t="s">
        <v>122</v>
      </c>
      <c r="G168">
        <v>1</v>
      </c>
    </row>
    <row r="169" spans="1:7" x14ac:dyDescent="0.35">
      <c r="A169">
        <v>100002561</v>
      </c>
      <c r="B169" t="s">
        <v>170</v>
      </c>
      <c r="C169">
        <v>2024</v>
      </c>
      <c r="F169" s="4" t="s">
        <v>162</v>
      </c>
      <c r="G169">
        <v>1</v>
      </c>
    </row>
    <row r="170" spans="1:7" x14ac:dyDescent="0.35">
      <c r="A170">
        <v>100004702</v>
      </c>
      <c r="B170" t="s">
        <v>78</v>
      </c>
      <c r="C170">
        <v>2024</v>
      </c>
      <c r="F170" s="4" t="s">
        <v>61</v>
      </c>
      <c r="G170">
        <v>1</v>
      </c>
    </row>
    <row r="171" spans="1:7" x14ac:dyDescent="0.35">
      <c r="A171">
        <v>100005313</v>
      </c>
      <c r="B171" t="s">
        <v>80</v>
      </c>
      <c r="C171">
        <v>2024</v>
      </c>
      <c r="F171" s="4" t="s">
        <v>234</v>
      </c>
      <c r="G171">
        <v>1</v>
      </c>
    </row>
    <row r="172" spans="1:7" x14ac:dyDescent="0.35">
      <c r="A172">
        <v>100002000</v>
      </c>
      <c r="B172" t="s">
        <v>2</v>
      </c>
      <c r="C172">
        <v>2024</v>
      </c>
      <c r="F172" s="4" t="s">
        <v>167</v>
      </c>
      <c r="G172">
        <v>1</v>
      </c>
    </row>
    <row r="173" spans="1:7" x14ac:dyDescent="0.35">
      <c r="A173">
        <v>100002074</v>
      </c>
      <c r="B173" t="s">
        <v>9</v>
      </c>
      <c r="C173">
        <v>2024</v>
      </c>
      <c r="F173" s="4" t="s">
        <v>146</v>
      </c>
      <c r="G173">
        <v>1</v>
      </c>
    </row>
    <row r="174" spans="1:7" x14ac:dyDescent="0.35">
      <c r="A174">
        <v>100002004</v>
      </c>
      <c r="B174" t="s">
        <v>18</v>
      </c>
      <c r="C174">
        <v>2024</v>
      </c>
      <c r="F174" s="4" t="s">
        <v>20</v>
      </c>
      <c r="G174">
        <v>1</v>
      </c>
    </row>
    <row r="175" spans="1:7" x14ac:dyDescent="0.35">
      <c r="A175">
        <v>100000551</v>
      </c>
      <c r="B175" t="s">
        <v>26</v>
      </c>
      <c r="C175">
        <v>2024</v>
      </c>
      <c r="F175" s="4" t="s">
        <v>226</v>
      </c>
      <c r="G175">
        <v>1</v>
      </c>
    </row>
    <row r="176" spans="1:7" x14ac:dyDescent="0.35">
      <c r="A176">
        <v>100001916</v>
      </c>
      <c r="B176" t="s">
        <v>27</v>
      </c>
      <c r="C176">
        <v>2024</v>
      </c>
      <c r="F176" s="4" t="s">
        <v>194</v>
      </c>
      <c r="G176">
        <v>1</v>
      </c>
    </row>
    <row r="177" spans="1:7" x14ac:dyDescent="0.35">
      <c r="A177">
        <v>100000688</v>
      </c>
      <c r="B177" t="s">
        <v>120</v>
      </c>
      <c r="C177">
        <v>2024</v>
      </c>
      <c r="F177" s="4" t="s">
        <v>147</v>
      </c>
      <c r="G177">
        <v>1</v>
      </c>
    </row>
    <row r="178" spans="1:7" x14ac:dyDescent="0.35">
      <c r="A178">
        <v>100000697</v>
      </c>
      <c r="B178" t="s">
        <v>122</v>
      </c>
      <c r="C178">
        <v>2024</v>
      </c>
      <c r="F178" s="4" t="s">
        <v>209</v>
      </c>
      <c r="G178">
        <v>1</v>
      </c>
    </row>
    <row r="179" spans="1:7" x14ac:dyDescent="0.35">
      <c r="A179">
        <v>100000772</v>
      </c>
      <c r="B179" t="s">
        <v>36</v>
      </c>
      <c r="C179">
        <v>2024</v>
      </c>
      <c r="F179" s="4" t="s">
        <v>148</v>
      </c>
      <c r="G179">
        <v>1</v>
      </c>
    </row>
    <row r="180" spans="1:7" x14ac:dyDescent="0.35">
      <c r="A180">
        <v>100002241</v>
      </c>
      <c r="B180" t="s">
        <v>39</v>
      </c>
      <c r="C180">
        <v>2024</v>
      </c>
      <c r="F180" s="4" t="s">
        <v>189</v>
      </c>
      <c r="G180">
        <v>1</v>
      </c>
    </row>
    <row r="181" spans="1:7" x14ac:dyDescent="0.35">
      <c r="A181">
        <v>100000918</v>
      </c>
      <c r="B181" t="s">
        <v>46</v>
      </c>
      <c r="C181">
        <v>2024</v>
      </c>
      <c r="F181" s="4" t="s">
        <v>181</v>
      </c>
      <c r="G181">
        <v>1</v>
      </c>
    </row>
    <row r="182" spans="1:7" x14ac:dyDescent="0.35">
      <c r="A182">
        <v>100001016</v>
      </c>
      <c r="B182" t="s">
        <v>50</v>
      </c>
      <c r="C182">
        <v>2024</v>
      </c>
      <c r="F182" s="4" t="s">
        <v>137</v>
      </c>
      <c r="G182">
        <v>1</v>
      </c>
    </row>
    <row r="183" spans="1:7" x14ac:dyDescent="0.35">
      <c r="A183">
        <v>100001310</v>
      </c>
      <c r="B183" t="s">
        <v>76</v>
      </c>
      <c r="C183">
        <v>2024</v>
      </c>
      <c r="F183" s="4" t="s">
        <v>23</v>
      </c>
      <c r="G183">
        <v>1</v>
      </c>
    </row>
    <row r="184" spans="1:7" x14ac:dyDescent="0.35">
      <c r="A184">
        <v>100002561</v>
      </c>
      <c r="B184" t="s">
        <v>170</v>
      </c>
      <c r="C184">
        <v>2024</v>
      </c>
      <c r="F184" s="4" t="s">
        <v>169</v>
      </c>
      <c r="G184">
        <v>1</v>
      </c>
    </row>
    <row r="185" spans="1:7" x14ac:dyDescent="0.35">
      <c r="A185">
        <v>100001367</v>
      </c>
      <c r="B185" t="s">
        <v>185</v>
      </c>
      <c r="C185">
        <v>2024</v>
      </c>
      <c r="F185" s="4" t="s">
        <v>218</v>
      </c>
      <c r="G185">
        <v>387</v>
      </c>
    </row>
    <row r="186" spans="1:7" x14ac:dyDescent="0.35">
      <c r="A186">
        <v>100005313</v>
      </c>
      <c r="B186" t="s">
        <v>80</v>
      </c>
      <c r="C186">
        <v>2024</v>
      </c>
    </row>
    <row r="187" spans="1:7" x14ac:dyDescent="0.35">
      <c r="A187">
        <v>100005314</v>
      </c>
      <c r="B187" t="s">
        <v>145</v>
      </c>
      <c r="C187">
        <v>2024</v>
      </c>
    </row>
    <row r="188" spans="1:7" x14ac:dyDescent="0.35">
      <c r="A188">
        <v>100004677</v>
      </c>
      <c r="B188" t="s">
        <v>148</v>
      </c>
      <c r="C188">
        <v>2024</v>
      </c>
    </row>
    <row r="189" spans="1:7" x14ac:dyDescent="0.35">
      <c r="A189">
        <v>100002074</v>
      </c>
      <c r="B189" t="s">
        <v>9</v>
      </c>
      <c r="C189">
        <v>2024</v>
      </c>
    </row>
    <row r="190" spans="1:7" x14ac:dyDescent="0.35">
      <c r="A190">
        <v>100000388</v>
      </c>
      <c r="B190" t="s">
        <v>151</v>
      </c>
      <c r="C190">
        <v>2024</v>
      </c>
    </row>
    <row r="191" spans="1:7" x14ac:dyDescent="0.35">
      <c r="A191">
        <v>100001916</v>
      </c>
      <c r="B191" t="s">
        <v>27</v>
      </c>
      <c r="C191">
        <v>2024</v>
      </c>
    </row>
    <row r="192" spans="1:7" x14ac:dyDescent="0.35">
      <c r="A192">
        <v>100000733</v>
      </c>
      <c r="B192" t="s">
        <v>152</v>
      </c>
      <c r="C192">
        <v>2024</v>
      </c>
    </row>
    <row r="193" spans="1:3" x14ac:dyDescent="0.35">
      <c r="A193">
        <v>100003221</v>
      </c>
      <c r="B193" t="s">
        <v>153</v>
      </c>
      <c r="C193">
        <v>2024</v>
      </c>
    </row>
    <row r="194" spans="1:3" x14ac:dyDescent="0.35">
      <c r="A194">
        <v>100001041</v>
      </c>
      <c r="B194" t="s">
        <v>53</v>
      </c>
      <c r="C194">
        <v>2024</v>
      </c>
    </row>
    <row r="195" spans="1:3" x14ac:dyDescent="0.35">
      <c r="A195">
        <v>100001042</v>
      </c>
      <c r="B195" t="s">
        <v>154</v>
      </c>
      <c r="C195">
        <v>2024</v>
      </c>
    </row>
    <row r="196" spans="1:3" x14ac:dyDescent="0.35">
      <c r="A196">
        <v>100003840</v>
      </c>
      <c r="B196" t="s">
        <v>61</v>
      </c>
      <c r="C196">
        <v>2024</v>
      </c>
    </row>
    <row r="197" spans="1:3" x14ac:dyDescent="0.35">
      <c r="A197">
        <v>100002906</v>
      </c>
      <c r="B197" t="s">
        <v>67</v>
      </c>
      <c r="C197">
        <v>2024</v>
      </c>
    </row>
    <row r="198" spans="1:3" x14ac:dyDescent="0.35">
      <c r="A198">
        <v>100001310</v>
      </c>
      <c r="B198" t="s">
        <v>76</v>
      </c>
      <c r="C198">
        <v>2024</v>
      </c>
    </row>
    <row r="199" spans="1:3" x14ac:dyDescent="0.35">
      <c r="A199">
        <v>100004645</v>
      </c>
      <c r="B199" t="s">
        <v>79</v>
      </c>
      <c r="C199">
        <v>2024</v>
      </c>
    </row>
    <row r="200" spans="1:3" x14ac:dyDescent="0.35">
      <c r="A200">
        <v>100000046</v>
      </c>
      <c r="B200" t="s">
        <v>6</v>
      </c>
      <c r="C200">
        <v>2024</v>
      </c>
    </row>
    <row r="201" spans="1:3" x14ac:dyDescent="0.35">
      <c r="A201">
        <v>100002092</v>
      </c>
      <c r="B201" t="s">
        <v>12</v>
      </c>
      <c r="C201">
        <v>2024</v>
      </c>
    </row>
    <row r="202" spans="1:3" x14ac:dyDescent="0.35">
      <c r="A202">
        <v>100000244</v>
      </c>
      <c r="B202" t="s">
        <v>13</v>
      </c>
      <c r="C202">
        <v>2024</v>
      </c>
    </row>
    <row r="203" spans="1:3" x14ac:dyDescent="0.35">
      <c r="A203">
        <v>100004000</v>
      </c>
      <c r="B203" t="s">
        <v>172</v>
      </c>
      <c r="C203">
        <v>2024</v>
      </c>
    </row>
    <row r="204" spans="1:3" x14ac:dyDescent="0.35">
      <c r="A204">
        <v>100004001</v>
      </c>
      <c r="B204" t="s">
        <v>22</v>
      </c>
      <c r="C204">
        <v>2024</v>
      </c>
    </row>
    <row r="205" spans="1:3" x14ac:dyDescent="0.35">
      <c r="A205">
        <v>100000529</v>
      </c>
      <c r="B205" t="s">
        <v>25</v>
      </c>
      <c r="C205">
        <v>2024</v>
      </c>
    </row>
    <row r="206" spans="1:3" x14ac:dyDescent="0.35">
      <c r="A206">
        <v>100003448</v>
      </c>
      <c r="B206" t="s">
        <v>32</v>
      </c>
      <c r="C206">
        <v>2024</v>
      </c>
    </row>
    <row r="207" spans="1:3" x14ac:dyDescent="0.35">
      <c r="A207">
        <v>100000721</v>
      </c>
      <c r="B207" t="s">
        <v>124</v>
      </c>
      <c r="C207">
        <v>2024</v>
      </c>
    </row>
    <row r="208" spans="1:3" x14ac:dyDescent="0.35">
      <c r="A208">
        <v>100000918</v>
      </c>
      <c r="B208" t="s">
        <v>46</v>
      </c>
      <c r="C208">
        <v>2024</v>
      </c>
    </row>
    <row r="209" spans="1:3" x14ac:dyDescent="0.35">
      <c r="A209">
        <v>100001016</v>
      </c>
      <c r="B209" t="s">
        <v>50</v>
      </c>
      <c r="C209">
        <v>2024</v>
      </c>
    </row>
    <row r="210" spans="1:3" x14ac:dyDescent="0.35">
      <c r="A210">
        <v>100001041</v>
      </c>
      <c r="B210" t="s">
        <v>53</v>
      </c>
      <c r="C210">
        <v>2024</v>
      </c>
    </row>
    <row r="211" spans="1:3" x14ac:dyDescent="0.35">
      <c r="A211">
        <v>100001052</v>
      </c>
      <c r="B211" t="s">
        <v>56</v>
      </c>
      <c r="C211">
        <v>2024</v>
      </c>
    </row>
    <row r="212" spans="1:3" x14ac:dyDescent="0.35">
      <c r="A212">
        <v>100002254</v>
      </c>
      <c r="B212" t="s">
        <v>60</v>
      </c>
      <c r="C212">
        <v>2024</v>
      </c>
    </row>
    <row r="213" spans="1:3" x14ac:dyDescent="0.35">
      <c r="A213">
        <v>100005482</v>
      </c>
      <c r="B213" t="s">
        <v>135</v>
      </c>
      <c r="C213">
        <v>2024</v>
      </c>
    </row>
    <row r="214" spans="1:3" x14ac:dyDescent="0.35">
      <c r="A214">
        <v>100001199</v>
      </c>
      <c r="B214" t="s">
        <v>164</v>
      </c>
      <c r="C214">
        <v>2024</v>
      </c>
    </row>
    <row r="215" spans="1:3" x14ac:dyDescent="0.35">
      <c r="A215">
        <v>100002261</v>
      </c>
      <c r="B215" t="s">
        <v>139</v>
      </c>
      <c r="C215">
        <v>2024</v>
      </c>
    </row>
    <row r="216" spans="1:3" x14ac:dyDescent="0.35">
      <c r="A216">
        <v>100001260</v>
      </c>
      <c r="B216" t="s">
        <v>73</v>
      </c>
      <c r="C216">
        <v>2024</v>
      </c>
    </row>
    <row r="217" spans="1:3" x14ac:dyDescent="0.35">
      <c r="A217">
        <v>100001310</v>
      </c>
      <c r="B217" t="s">
        <v>76</v>
      </c>
      <c r="C217">
        <v>2024</v>
      </c>
    </row>
    <row r="218" spans="1:3" x14ac:dyDescent="0.35">
      <c r="A218">
        <v>100001551</v>
      </c>
      <c r="B218" t="s">
        <v>86</v>
      </c>
      <c r="C218">
        <v>2024</v>
      </c>
    </row>
    <row r="219" spans="1:3" x14ac:dyDescent="0.35">
      <c r="A219">
        <v>100005268</v>
      </c>
      <c r="B219" t="s">
        <v>11</v>
      </c>
      <c r="C219">
        <v>2024</v>
      </c>
    </row>
    <row r="220" spans="1:3" x14ac:dyDescent="0.35">
      <c r="A220">
        <v>100000241</v>
      </c>
      <c r="B220" t="s">
        <v>107</v>
      </c>
      <c r="C220">
        <v>2024</v>
      </c>
    </row>
    <row r="221" spans="1:3" x14ac:dyDescent="0.35">
      <c r="A221">
        <v>100000772</v>
      </c>
      <c r="B221" t="s">
        <v>36</v>
      </c>
      <c r="C221">
        <v>2024</v>
      </c>
    </row>
    <row r="222" spans="1:3" x14ac:dyDescent="0.35">
      <c r="A222">
        <v>100000809</v>
      </c>
      <c r="B222" t="s">
        <v>89</v>
      </c>
      <c r="C222">
        <v>2024</v>
      </c>
    </row>
    <row r="223" spans="1:3" x14ac:dyDescent="0.35">
      <c r="A223">
        <v>100004066</v>
      </c>
      <c r="B223" t="s">
        <v>49</v>
      </c>
      <c r="C223">
        <v>2024</v>
      </c>
    </row>
    <row r="224" spans="1:3" x14ac:dyDescent="0.35">
      <c r="A224">
        <v>100001222</v>
      </c>
      <c r="B224" t="s">
        <v>169</v>
      </c>
      <c r="C224">
        <v>2024</v>
      </c>
    </row>
    <row r="225" spans="1:3" x14ac:dyDescent="0.35">
      <c r="A225">
        <v>100002561</v>
      </c>
      <c r="B225" t="s">
        <v>170</v>
      </c>
      <c r="C225">
        <v>2024</v>
      </c>
    </row>
    <row r="226" spans="1:3" x14ac:dyDescent="0.35">
      <c r="A226">
        <v>100004116</v>
      </c>
      <c r="B226" t="s">
        <v>81</v>
      </c>
      <c r="C226">
        <v>2024</v>
      </c>
    </row>
    <row r="227" spans="1:3" x14ac:dyDescent="0.35">
      <c r="A227">
        <v>100000308</v>
      </c>
      <c r="B227" t="s">
        <v>174</v>
      </c>
      <c r="C227">
        <v>2024</v>
      </c>
    </row>
    <row r="228" spans="1:3" x14ac:dyDescent="0.35">
      <c r="A228">
        <v>100000381</v>
      </c>
      <c r="B228" t="s">
        <v>87</v>
      </c>
      <c r="C228">
        <v>2024</v>
      </c>
    </row>
    <row r="229" spans="1:3" x14ac:dyDescent="0.35">
      <c r="A229">
        <v>100004001</v>
      </c>
      <c r="B229" t="s">
        <v>22</v>
      </c>
      <c r="C229">
        <v>2024</v>
      </c>
    </row>
    <row r="230" spans="1:3" x14ac:dyDescent="0.35">
      <c r="A230">
        <v>100000649</v>
      </c>
      <c r="B230" t="s">
        <v>31</v>
      </c>
      <c r="C230">
        <v>2024</v>
      </c>
    </row>
    <row r="231" spans="1:3" x14ac:dyDescent="0.35">
      <c r="A231">
        <v>100000809</v>
      </c>
      <c r="B231" t="s">
        <v>89</v>
      </c>
      <c r="C231">
        <v>2024</v>
      </c>
    </row>
    <row r="232" spans="1:3" x14ac:dyDescent="0.35">
      <c r="A232">
        <v>100002921</v>
      </c>
      <c r="B232" t="s">
        <v>136</v>
      </c>
      <c r="C232">
        <v>2024</v>
      </c>
    </row>
    <row r="233" spans="1:3" x14ac:dyDescent="0.35">
      <c r="A233">
        <v>100003413</v>
      </c>
      <c r="B233" t="s">
        <v>138</v>
      </c>
      <c r="C233">
        <v>2024</v>
      </c>
    </row>
    <row r="234" spans="1:3" x14ac:dyDescent="0.35">
      <c r="A234">
        <v>100001232</v>
      </c>
      <c r="B234" t="s">
        <v>68</v>
      </c>
      <c r="C234">
        <v>2024</v>
      </c>
    </row>
    <row r="235" spans="1:3" x14ac:dyDescent="0.35">
      <c r="A235">
        <v>100002269</v>
      </c>
      <c r="B235" t="s">
        <v>82</v>
      </c>
      <c r="C235">
        <v>2024</v>
      </c>
    </row>
    <row r="236" spans="1:3" x14ac:dyDescent="0.35">
      <c r="A236">
        <v>100004675</v>
      </c>
      <c r="B236" t="s">
        <v>83</v>
      </c>
      <c r="C236">
        <v>2024</v>
      </c>
    </row>
    <row r="237" spans="1:3" x14ac:dyDescent="0.35">
      <c r="A237">
        <v>100000381</v>
      </c>
      <c r="B237" t="s">
        <v>87</v>
      </c>
      <c r="C237">
        <v>2024</v>
      </c>
    </row>
    <row r="238" spans="1:3" x14ac:dyDescent="0.35">
      <c r="A238">
        <v>100004642</v>
      </c>
      <c r="B238" t="s">
        <v>88</v>
      </c>
      <c r="C238">
        <v>2024</v>
      </c>
    </row>
    <row r="239" spans="1:3" x14ac:dyDescent="0.35">
      <c r="A239">
        <v>100000809</v>
      </c>
      <c r="B239" t="s">
        <v>89</v>
      </c>
      <c r="C239">
        <v>2024</v>
      </c>
    </row>
    <row r="240" spans="1:3" x14ac:dyDescent="0.35">
      <c r="A240">
        <v>100005505</v>
      </c>
      <c r="B240" t="s">
        <v>90</v>
      </c>
      <c r="C240">
        <v>2024</v>
      </c>
    </row>
    <row r="241" spans="1:3" x14ac:dyDescent="0.35">
      <c r="A241">
        <v>100005302</v>
      </c>
      <c r="B241" t="s">
        <v>58</v>
      </c>
      <c r="C241">
        <v>2024</v>
      </c>
    </row>
    <row r="242" spans="1:3" x14ac:dyDescent="0.35">
      <c r="A242">
        <v>100004632</v>
      </c>
      <c r="B242" t="s">
        <v>59</v>
      </c>
      <c r="C242">
        <v>2024</v>
      </c>
    </row>
    <row r="243" spans="1:3" x14ac:dyDescent="0.35">
      <c r="A243">
        <v>100001902</v>
      </c>
      <c r="B243" t="s">
        <v>15</v>
      </c>
      <c r="C243">
        <v>2024</v>
      </c>
    </row>
    <row r="244" spans="1:3" x14ac:dyDescent="0.35">
      <c r="A244">
        <v>100003422</v>
      </c>
      <c r="B244" t="s">
        <v>108</v>
      </c>
      <c r="C244">
        <v>2024</v>
      </c>
    </row>
    <row r="245" spans="1:3" x14ac:dyDescent="0.35">
      <c r="A245">
        <v>100000381</v>
      </c>
      <c r="B245" t="s">
        <v>87</v>
      </c>
      <c r="C245">
        <v>2024</v>
      </c>
    </row>
    <row r="246" spans="1:3" x14ac:dyDescent="0.35">
      <c r="A246">
        <v>100001903</v>
      </c>
      <c r="B246" t="s">
        <v>155</v>
      </c>
      <c r="C246">
        <v>2024</v>
      </c>
    </row>
    <row r="247" spans="1:3" x14ac:dyDescent="0.35">
      <c r="A247">
        <v>100000535</v>
      </c>
      <c r="B247" t="s">
        <v>182</v>
      </c>
      <c r="C247">
        <v>2024</v>
      </c>
    </row>
    <row r="248" spans="1:3" x14ac:dyDescent="0.35">
      <c r="A248">
        <v>100000908</v>
      </c>
      <c r="B248" t="s">
        <v>43</v>
      </c>
      <c r="C248">
        <v>2024</v>
      </c>
    </row>
    <row r="249" spans="1:3" x14ac:dyDescent="0.35">
      <c r="A249">
        <v>100005505</v>
      </c>
      <c r="B249" t="s">
        <v>90</v>
      </c>
      <c r="C249">
        <v>2024</v>
      </c>
    </row>
    <row r="250" spans="1:3" x14ac:dyDescent="0.35">
      <c r="A250">
        <v>100004066</v>
      </c>
      <c r="B250" t="s">
        <v>49</v>
      </c>
      <c r="C250">
        <v>2024</v>
      </c>
    </row>
    <row r="251" spans="1:3" x14ac:dyDescent="0.35">
      <c r="A251">
        <v>100002921</v>
      </c>
      <c r="B251" t="s">
        <v>136</v>
      </c>
      <c r="C251">
        <v>2024</v>
      </c>
    </row>
    <row r="252" spans="1:3" x14ac:dyDescent="0.35">
      <c r="A252">
        <v>100001260</v>
      </c>
      <c r="B252" t="s">
        <v>73</v>
      </c>
      <c r="C252">
        <v>2024</v>
      </c>
    </row>
    <row r="253" spans="1:3" x14ac:dyDescent="0.35">
      <c r="A253">
        <v>100002314</v>
      </c>
      <c r="B253" t="s">
        <v>74</v>
      </c>
      <c r="C253">
        <v>2024</v>
      </c>
    </row>
    <row r="254" spans="1:3" x14ac:dyDescent="0.35">
      <c r="A254">
        <v>100001463</v>
      </c>
      <c r="B254" t="s">
        <v>183</v>
      </c>
      <c r="C254">
        <v>2024</v>
      </c>
    </row>
    <row r="255" spans="1:3" x14ac:dyDescent="0.35">
      <c r="A255">
        <v>100000368</v>
      </c>
      <c r="B255" t="s">
        <v>110</v>
      </c>
      <c r="C255">
        <v>2024</v>
      </c>
    </row>
    <row r="256" spans="1:3" x14ac:dyDescent="0.35">
      <c r="A256">
        <v>100000486</v>
      </c>
      <c r="B256" t="s">
        <v>205</v>
      </c>
      <c r="C256">
        <v>2024</v>
      </c>
    </row>
    <row r="257" spans="1:3" x14ac:dyDescent="0.35">
      <c r="A257">
        <v>100000763</v>
      </c>
      <c r="B257" t="s">
        <v>179</v>
      </c>
      <c r="C257">
        <v>2024</v>
      </c>
    </row>
    <row r="258" spans="1:3" x14ac:dyDescent="0.35">
      <c r="A258">
        <v>100000772</v>
      </c>
      <c r="B258" t="s">
        <v>36</v>
      </c>
      <c r="C258">
        <v>2024</v>
      </c>
    </row>
    <row r="259" spans="1:3" x14ac:dyDescent="0.35">
      <c r="A259">
        <v>100001068</v>
      </c>
      <c r="B259" t="s">
        <v>206</v>
      </c>
      <c r="C259">
        <v>2024</v>
      </c>
    </row>
    <row r="260" spans="1:3" x14ac:dyDescent="0.35">
      <c r="A260">
        <v>100005268</v>
      </c>
      <c r="B260" t="s">
        <v>11</v>
      </c>
      <c r="C260">
        <v>2024</v>
      </c>
    </row>
    <row r="261" spans="1:3" x14ac:dyDescent="0.35">
      <c r="A261">
        <v>100004006</v>
      </c>
      <c r="B261" t="s">
        <v>115</v>
      </c>
      <c r="C261">
        <v>2024</v>
      </c>
    </row>
    <row r="262" spans="1:3" x14ac:dyDescent="0.35">
      <c r="A262">
        <v>100000535</v>
      </c>
      <c r="B262" t="s">
        <v>182</v>
      </c>
      <c r="C262">
        <v>2024</v>
      </c>
    </row>
    <row r="263" spans="1:3" x14ac:dyDescent="0.35">
      <c r="A263">
        <v>100000809</v>
      </c>
      <c r="B263" t="s">
        <v>89</v>
      </c>
      <c r="C263">
        <v>2024</v>
      </c>
    </row>
    <row r="264" spans="1:3" x14ac:dyDescent="0.35">
      <c r="A264">
        <v>100004354</v>
      </c>
      <c r="B264" t="s">
        <v>72</v>
      </c>
      <c r="C264">
        <v>2024</v>
      </c>
    </row>
    <row r="265" spans="1:3" x14ac:dyDescent="0.35">
      <c r="A265">
        <v>100002314</v>
      </c>
      <c r="B265" t="s">
        <v>74</v>
      </c>
      <c r="C265">
        <v>2024</v>
      </c>
    </row>
    <row r="266" spans="1:3" x14ac:dyDescent="0.35">
      <c r="A266">
        <v>100002919</v>
      </c>
      <c r="B266" t="s">
        <v>75</v>
      </c>
      <c r="C266">
        <v>2024</v>
      </c>
    </row>
    <row r="267" spans="1:3" x14ac:dyDescent="0.35">
      <c r="A267">
        <v>100002919</v>
      </c>
      <c r="B267" t="s">
        <v>75</v>
      </c>
      <c r="C267">
        <v>2024</v>
      </c>
    </row>
    <row r="268" spans="1:3" x14ac:dyDescent="0.35">
      <c r="A268">
        <v>100004675</v>
      </c>
      <c r="B268" t="s">
        <v>83</v>
      </c>
      <c r="C268">
        <v>2024</v>
      </c>
    </row>
    <row r="269" spans="1:3" x14ac:dyDescent="0.35">
      <c r="A269">
        <v>100003423</v>
      </c>
      <c r="B269" t="s">
        <v>186</v>
      </c>
      <c r="C269">
        <v>2024</v>
      </c>
    </row>
    <row r="270" spans="1:3" x14ac:dyDescent="0.35">
      <c r="A270">
        <v>100000046</v>
      </c>
      <c r="B270" t="s">
        <v>6</v>
      </c>
      <c r="C270">
        <v>2024</v>
      </c>
    </row>
    <row r="271" spans="1:3" x14ac:dyDescent="0.35">
      <c r="A271">
        <v>100003422</v>
      </c>
      <c r="B271" t="s">
        <v>108</v>
      </c>
      <c r="C271">
        <v>2024</v>
      </c>
    </row>
    <row r="272" spans="1:3" x14ac:dyDescent="0.35">
      <c r="A272">
        <v>100001903</v>
      </c>
      <c r="B272" t="s">
        <v>155</v>
      </c>
      <c r="C272">
        <v>2024</v>
      </c>
    </row>
    <row r="273" spans="1:3" x14ac:dyDescent="0.35">
      <c r="A273">
        <v>100002040</v>
      </c>
      <c r="B273" t="s">
        <v>24</v>
      </c>
      <c r="C273">
        <v>2024</v>
      </c>
    </row>
    <row r="274" spans="1:3" x14ac:dyDescent="0.35">
      <c r="A274">
        <v>100000908</v>
      </c>
      <c r="B274" t="s">
        <v>43</v>
      </c>
      <c r="C274">
        <v>2024</v>
      </c>
    </row>
    <row r="275" spans="1:3" x14ac:dyDescent="0.35">
      <c r="A275">
        <v>100005505</v>
      </c>
      <c r="B275" t="s">
        <v>90</v>
      </c>
      <c r="C275">
        <v>2024</v>
      </c>
    </row>
    <row r="276" spans="1:3" x14ac:dyDescent="0.35">
      <c r="A276">
        <v>100000944</v>
      </c>
      <c r="B276" t="s">
        <v>48</v>
      </c>
      <c r="C276">
        <v>2024</v>
      </c>
    </row>
    <row r="277" spans="1:3" x14ac:dyDescent="0.35">
      <c r="A277">
        <v>100003413</v>
      </c>
      <c r="B277" t="s">
        <v>138</v>
      </c>
      <c r="C277">
        <v>2024</v>
      </c>
    </row>
    <row r="278" spans="1:3" x14ac:dyDescent="0.35">
      <c r="A278">
        <v>100002314</v>
      </c>
      <c r="B278" t="s">
        <v>74</v>
      </c>
      <c r="C278">
        <v>2024</v>
      </c>
    </row>
    <row r="279" spans="1:3" x14ac:dyDescent="0.35">
      <c r="A279">
        <v>100004493</v>
      </c>
      <c r="B279" t="s">
        <v>77</v>
      </c>
      <c r="C279">
        <v>2024</v>
      </c>
    </row>
    <row r="280" spans="1:3" x14ac:dyDescent="0.35">
      <c r="A280">
        <v>100001466</v>
      </c>
      <c r="B280" t="s">
        <v>84</v>
      </c>
      <c r="C280">
        <v>2024</v>
      </c>
    </row>
    <row r="281" spans="1:3" x14ac:dyDescent="0.35">
      <c r="A281">
        <v>100002092</v>
      </c>
      <c r="B281" t="s">
        <v>12</v>
      </c>
      <c r="C281">
        <v>2024</v>
      </c>
    </row>
    <row r="282" spans="1:3" x14ac:dyDescent="0.35">
      <c r="A282">
        <v>100003422</v>
      </c>
      <c r="B282" t="s">
        <v>108</v>
      </c>
      <c r="C282">
        <v>2024</v>
      </c>
    </row>
    <row r="283" spans="1:3" x14ac:dyDescent="0.35">
      <c r="A283">
        <v>100002037</v>
      </c>
      <c r="B283" t="s">
        <v>21</v>
      </c>
      <c r="C283">
        <v>2024</v>
      </c>
    </row>
    <row r="284" spans="1:3" x14ac:dyDescent="0.35">
      <c r="A284">
        <v>100000535</v>
      </c>
      <c r="B284" t="s">
        <v>182</v>
      </c>
      <c r="C284">
        <v>2024</v>
      </c>
    </row>
    <row r="285" spans="1:3" x14ac:dyDescent="0.35">
      <c r="A285">
        <v>100002361</v>
      </c>
      <c r="B285" t="s">
        <v>158</v>
      </c>
      <c r="C285">
        <v>2024</v>
      </c>
    </row>
    <row r="286" spans="1:3" x14ac:dyDescent="0.35">
      <c r="A286">
        <v>100003431</v>
      </c>
      <c r="B286" t="s">
        <v>42</v>
      </c>
      <c r="C286">
        <v>2024</v>
      </c>
    </row>
    <row r="287" spans="1:3" x14ac:dyDescent="0.35">
      <c r="A287">
        <v>100004493</v>
      </c>
      <c r="B287" t="s">
        <v>77</v>
      </c>
      <c r="C287">
        <v>2024</v>
      </c>
    </row>
    <row r="288" spans="1:3" x14ac:dyDescent="0.35">
      <c r="A288">
        <v>100001466</v>
      </c>
      <c r="B288" t="s">
        <v>84</v>
      </c>
      <c r="C288">
        <v>2024</v>
      </c>
    </row>
    <row r="289" spans="1:3" x14ac:dyDescent="0.35">
      <c r="A289">
        <v>100000115</v>
      </c>
      <c r="B289" t="s">
        <v>208</v>
      </c>
      <c r="C289">
        <v>2025</v>
      </c>
    </row>
    <row r="290" spans="1:3" x14ac:dyDescent="0.35">
      <c r="A290">
        <v>100000170</v>
      </c>
      <c r="B290" t="s">
        <v>10</v>
      </c>
      <c r="C290">
        <v>2025</v>
      </c>
    </row>
    <row r="291" spans="1:3" x14ac:dyDescent="0.35">
      <c r="A291">
        <v>100000309</v>
      </c>
      <c r="B291" t="s">
        <v>188</v>
      </c>
      <c r="C291">
        <v>2025</v>
      </c>
    </row>
    <row r="292" spans="1:3" x14ac:dyDescent="0.35">
      <c r="A292">
        <v>100000368</v>
      </c>
      <c r="B292" t="s">
        <v>110</v>
      </c>
      <c r="C292">
        <v>2025</v>
      </c>
    </row>
    <row r="293" spans="1:3" x14ac:dyDescent="0.35">
      <c r="A293">
        <v>100000389</v>
      </c>
      <c r="B293" t="s">
        <v>189</v>
      </c>
      <c r="C293">
        <v>2025</v>
      </c>
    </row>
    <row r="294" spans="1:3" x14ac:dyDescent="0.35">
      <c r="A294">
        <v>100002208</v>
      </c>
      <c r="B294" t="s">
        <v>113</v>
      </c>
      <c r="C294">
        <v>2025</v>
      </c>
    </row>
    <row r="295" spans="1:3" x14ac:dyDescent="0.35">
      <c r="A295">
        <v>100002308</v>
      </c>
      <c r="B295" t="s">
        <v>210</v>
      </c>
      <c r="C295">
        <v>2025</v>
      </c>
    </row>
    <row r="296" spans="1:3" x14ac:dyDescent="0.35">
      <c r="A296">
        <v>100002037</v>
      </c>
      <c r="B296" t="s">
        <v>21</v>
      </c>
      <c r="C296">
        <v>2025</v>
      </c>
    </row>
    <row r="297" spans="1:3" x14ac:dyDescent="0.35">
      <c r="A297">
        <v>100002903</v>
      </c>
      <c r="B297" t="s">
        <v>192</v>
      </c>
      <c r="C297">
        <v>2025</v>
      </c>
    </row>
    <row r="298" spans="1:3" x14ac:dyDescent="0.35">
      <c r="A298">
        <v>100000693</v>
      </c>
      <c r="B298" t="s">
        <v>121</v>
      </c>
      <c r="C298">
        <v>2025</v>
      </c>
    </row>
    <row r="299" spans="1:3" x14ac:dyDescent="0.35">
      <c r="A299">
        <v>100000763</v>
      </c>
      <c r="B299" t="s">
        <v>179</v>
      </c>
      <c r="C299">
        <v>2025</v>
      </c>
    </row>
    <row r="300" spans="1:3" x14ac:dyDescent="0.35">
      <c r="A300">
        <v>100006440</v>
      </c>
      <c r="B300" t="s">
        <v>161</v>
      </c>
      <c r="C300">
        <v>2025</v>
      </c>
    </row>
    <row r="301" spans="1:3" x14ac:dyDescent="0.35">
      <c r="A301">
        <v>100000908</v>
      </c>
      <c r="B301" t="s">
        <v>43</v>
      </c>
      <c r="C301">
        <v>2025</v>
      </c>
    </row>
    <row r="302" spans="1:3" x14ac:dyDescent="0.35">
      <c r="A302">
        <v>100000964</v>
      </c>
      <c r="B302" t="s">
        <v>44</v>
      </c>
      <c r="C302">
        <v>2025</v>
      </c>
    </row>
    <row r="303" spans="1:3" x14ac:dyDescent="0.35">
      <c r="A303">
        <v>100001084</v>
      </c>
      <c r="B303" t="s">
        <v>57</v>
      </c>
      <c r="C303">
        <v>2025</v>
      </c>
    </row>
    <row r="304" spans="1:3" x14ac:dyDescent="0.35">
      <c r="A304">
        <v>100003413</v>
      </c>
      <c r="B304" t="s">
        <v>138</v>
      </c>
      <c r="C304">
        <v>2025</v>
      </c>
    </row>
    <row r="305" spans="1:3" x14ac:dyDescent="0.35">
      <c r="A305">
        <v>100001199</v>
      </c>
      <c r="B305" t="s">
        <v>164</v>
      </c>
      <c r="C305">
        <v>2025</v>
      </c>
    </row>
    <row r="306" spans="1:3" x14ac:dyDescent="0.35">
      <c r="A306">
        <v>100001358</v>
      </c>
      <c r="B306" t="s">
        <v>144</v>
      </c>
      <c r="C306">
        <v>2025</v>
      </c>
    </row>
    <row r="307" spans="1:3" x14ac:dyDescent="0.35">
      <c r="A307">
        <v>100001466</v>
      </c>
      <c r="B307" t="s">
        <v>84</v>
      </c>
      <c r="C307">
        <v>2025</v>
      </c>
    </row>
    <row r="308" spans="1:3" x14ac:dyDescent="0.35">
      <c r="A308">
        <v>100002295</v>
      </c>
      <c r="B308" t="s">
        <v>213</v>
      </c>
      <c r="C308">
        <v>2025</v>
      </c>
    </row>
    <row r="309" spans="1:3" x14ac:dyDescent="0.35">
      <c r="A309">
        <v>100000809</v>
      </c>
      <c r="B309" t="s">
        <v>89</v>
      </c>
      <c r="C309">
        <v>2025</v>
      </c>
    </row>
    <row r="310" spans="1:3" x14ac:dyDescent="0.35">
      <c r="A310">
        <v>100000908</v>
      </c>
      <c r="B310" t="s">
        <v>43</v>
      </c>
      <c r="C310">
        <v>2025</v>
      </c>
    </row>
    <row r="311" spans="1:3" x14ac:dyDescent="0.35">
      <c r="A311">
        <v>100003439</v>
      </c>
      <c r="B311" t="s">
        <v>133</v>
      </c>
      <c r="C311">
        <v>2025</v>
      </c>
    </row>
    <row r="312" spans="1:3" x14ac:dyDescent="0.35">
      <c r="A312">
        <v>100001084</v>
      </c>
      <c r="B312" t="s">
        <v>57</v>
      </c>
      <c r="C312">
        <v>2025</v>
      </c>
    </row>
    <row r="313" spans="1:3" x14ac:dyDescent="0.35">
      <c r="A313">
        <v>100002254</v>
      </c>
      <c r="B313" t="s">
        <v>60</v>
      </c>
      <c r="C313">
        <v>2025</v>
      </c>
    </row>
    <row r="314" spans="1:3" x14ac:dyDescent="0.35">
      <c r="A314">
        <v>100003904</v>
      </c>
      <c r="B314" t="s">
        <v>143</v>
      </c>
      <c r="C314">
        <v>2025</v>
      </c>
    </row>
    <row r="315" spans="1:3" x14ac:dyDescent="0.35">
      <c r="A315">
        <v>100002269</v>
      </c>
      <c r="B315" t="s">
        <v>82</v>
      </c>
      <c r="C315">
        <v>2025</v>
      </c>
    </row>
    <row r="316" spans="1:3" x14ac:dyDescent="0.35">
      <c r="A316">
        <v>100001547</v>
      </c>
      <c r="B316" t="s">
        <v>147</v>
      </c>
      <c r="C316">
        <v>2025</v>
      </c>
    </row>
    <row r="317" spans="1:3" x14ac:dyDescent="0.35">
      <c r="A317">
        <v>100000194</v>
      </c>
      <c r="B317" t="s">
        <v>105</v>
      </c>
      <c r="C317">
        <v>2025</v>
      </c>
    </row>
    <row r="318" spans="1:3" x14ac:dyDescent="0.35">
      <c r="A318">
        <v>100000358</v>
      </c>
      <c r="B318" t="s">
        <v>109</v>
      </c>
      <c r="C318">
        <v>2025</v>
      </c>
    </row>
    <row r="319" spans="1:3" x14ac:dyDescent="0.35">
      <c r="A319">
        <v>100003905</v>
      </c>
      <c r="B319" t="s">
        <v>191</v>
      </c>
      <c r="C319">
        <v>2025</v>
      </c>
    </row>
    <row r="320" spans="1:3" x14ac:dyDescent="0.35">
      <c r="A320">
        <v>100002037</v>
      </c>
      <c r="B320" t="s">
        <v>21</v>
      </c>
      <c r="C320">
        <v>2025</v>
      </c>
    </row>
    <row r="321" spans="1:3" x14ac:dyDescent="0.35">
      <c r="A321">
        <v>100005505</v>
      </c>
      <c r="B321" t="s">
        <v>90</v>
      </c>
      <c r="C321">
        <v>2025</v>
      </c>
    </row>
    <row r="322" spans="1:3" x14ac:dyDescent="0.35">
      <c r="A322">
        <v>100005299</v>
      </c>
      <c r="B322" t="s">
        <v>55</v>
      </c>
      <c r="C322">
        <v>2025</v>
      </c>
    </row>
    <row r="323" spans="1:3" x14ac:dyDescent="0.35">
      <c r="A323">
        <v>100001084</v>
      </c>
      <c r="B323" t="s">
        <v>57</v>
      </c>
      <c r="C323">
        <v>2025</v>
      </c>
    </row>
    <row r="324" spans="1:3" x14ac:dyDescent="0.35">
      <c r="A324">
        <v>100002254</v>
      </c>
      <c r="B324" t="s">
        <v>60</v>
      </c>
      <c r="C324">
        <v>2025</v>
      </c>
    </row>
    <row r="325" spans="1:3" x14ac:dyDescent="0.35">
      <c r="A325">
        <v>100001124</v>
      </c>
      <c r="B325" t="s">
        <v>212</v>
      </c>
      <c r="C325">
        <v>2025</v>
      </c>
    </row>
    <row r="326" spans="1:3" x14ac:dyDescent="0.35">
      <c r="A326">
        <v>100001466</v>
      </c>
      <c r="B326" t="s">
        <v>84</v>
      </c>
      <c r="C326">
        <v>2025</v>
      </c>
    </row>
    <row r="327" spans="1:3" x14ac:dyDescent="0.35">
      <c r="A327">
        <v>100001603</v>
      </c>
      <c r="B327" t="s">
        <v>181</v>
      </c>
      <c r="C327">
        <v>2025</v>
      </c>
    </row>
    <row r="328" spans="1:3" x14ac:dyDescent="0.35">
      <c r="A328">
        <v>100003423</v>
      </c>
      <c r="B328" t="s">
        <v>186</v>
      </c>
      <c r="C328">
        <v>2025</v>
      </c>
    </row>
    <row r="329" spans="1:3" x14ac:dyDescent="0.35">
      <c r="A329">
        <v>100000368</v>
      </c>
      <c r="B329" t="s">
        <v>110</v>
      </c>
      <c r="C329">
        <v>2025</v>
      </c>
    </row>
    <row r="330" spans="1:3" x14ac:dyDescent="0.35">
      <c r="A330">
        <v>100002208</v>
      </c>
      <c r="B330" t="s">
        <v>113</v>
      </c>
      <c r="C330">
        <v>2025</v>
      </c>
    </row>
    <row r="331" spans="1:3" x14ac:dyDescent="0.35">
      <c r="A331">
        <v>100000553</v>
      </c>
      <c r="B331" t="s">
        <v>116</v>
      </c>
      <c r="C331">
        <v>2025</v>
      </c>
    </row>
    <row r="332" spans="1:3" x14ac:dyDescent="0.35">
      <c r="A332">
        <v>100002903</v>
      </c>
      <c r="B332" t="s">
        <v>192</v>
      </c>
      <c r="C332">
        <v>2025</v>
      </c>
    </row>
    <row r="333" spans="1:3" x14ac:dyDescent="0.35">
      <c r="A333">
        <v>100001184</v>
      </c>
      <c r="B333" t="s">
        <v>168</v>
      </c>
      <c r="C333">
        <v>2025</v>
      </c>
    </row>
    <row r="334" spans="1:3" x14ac:dyDescent="0.35">
      <c r="A334">
        <v>100002295</v>
      </c>
      <c r="B334" t="s">
        <v>213</v>
      </c>
      <c r="C334">
        <v>2025</v>
      </c>
    </row>
    <row r="335" spans="1:3" x14ac:dyDescent="0.35">
      <c r="A335">
        <v>100001568</v>
      </c>
      <c r="B335" t="s">
        <v>150</v>
      </c>
      <c r="C335">
        <v>2025</v>
      </c>
    </row>
    <row r="336" spans="1:3" x14ac:dyDescent="0.35">
      <c r="A336">
        <v>100003423</v>
      </c>
      <c r="B336" t="s">
        <v>186</v>
      </c>
      <c r="C336">
        <v>2025</v>
      </c>
    </row>
    <row r="337" spans="1:3" x14ac:dyDescent="0.35">
      <c r="A337">
        <v>100000085</v>
      </c>
      <c r="B337" t="s">
        <v>7</v>
      </c>
      <c r="C337">
        <v>2025</v>
      </c>
    </row>
    <row r="338" spans="1:3" x14ac:dyDescent="0.35">
      <c r="A338">
        <v>100005325</v>
      </c>
      <c r="B338" t="s">
        <v>103</v>
      </c>
      <c r="C338">
        <v>2025</v>
      </c>
    </row>
    <row r="339" spans="1:3" x14ac:dyDescent="0.35">
      <c r="A339">
        <v>100000115</v>
      </c>
      <c r="B339" t="s">
        <v>208</v>
      </c>
      <c r="C339">
        <v>2025</v>
      </c>
    </row>
    <row r="340" spans="1:3" x14ac:dyDescent="0.35">
      <c r="A340">
        <v>100000126</v>
      </c>
      <c r="B340" t="s">
        <v>8</v>
      </c>
      <c r="C340">
        <v>2025</v>
      </c>
    </row>
    <row r="341" spans="1:3" x14ac:dyDescent="0.35">
      <c r="A341">
        <v>100003406</v>
      </c>
      <c r="B341" t="s">
        <v>209</v>
      </c>
      <c r="C341">
        <v>2025</v>
      </c>
    </row>
    <row r="342" spans="1:3" x14ac:dyDescent="0.35">
      <c r="A342">
        <v>100005282</v>
      </c>
      <c r="B342" t="s">
        <v>178</v>
      </c>
      <c r="C342">
        <v>2025</v>
      </c>
    </row>
    <row r="343" spans="1:3" x14ac:dyDescent="0.35">
      <c r="A343">
        <v>100005535</v>
      </c>
      <c r="B343" t="s">
        <v>165</v>
      </c>
      <c r="C343">
        <v>2025</v>
      </c>
    </row>
    <row r="344" spans="1:3" x14ac:dyDescent="0.35">
      <c r="A344">
        <v>100000368</v>
      </c>
      <c r="B344" t="s">
        <v>110</v>
      </c>
      <c r="C344">
        <v>2025</v>
      </c>
    </row>
    <row r="345" spans="1:3" x14ac:dyDescent="0.35">
      <c r="A345">
        <v>100000381</v>
      </c>
      <c r="B345" t="s">
        <v>87</v>
      </c>
      <c r="C345">
        <v>2025</v>
      </c>
    </row>
    <row r="346" spans="1:3" x14ac:dyDescent="0.35">
      <c r="A346">
        <v>100000381</v>
      </c>
      <c r="B346" t="s">
        <v>87</v>
      </c>
      <c r="C346">
        <v>2025</v>
      </c>
    </row>
    <row r="347" spans="1:3" x14ac:dyDescent="0.35">
      <c r="A347">
        <v>100002208</v>
      </c>
      <c r="B347" t="s">
        <v>113</v>
      </c>
      <c r="C347">
        <v>2025</v>
      </c>
    </row>
    <row r="348" spans="1:3" x14ac:dyDescent="0.35">
      <c r="A348">
        <v>100002308</v>
      </c>
      <c r="B348" t="s">
        <v>210</v>
      </c>
      <c r="C348">
        <v>2025</v>
      </c>
    </row>
    <row r="349" spans="1:3" x14ac:dyDescent="0.35">
      <c r="A349">
        <v>100002308</v>
      </c>
      <c r="B349" t="s">
        <v>210</v>
      </c>
      <c r="C349">
        <v>2025</v>
      </c>
    </row>
    <row r="350" spans="1:3" x14ac:dyDescent="0.35">
      <c r="A350">
        <v>100002037</v>
      </c>
      <c r="B350" t="s">
        <v>21</v>
      </c>
      <c r="C350">
        <v>2025</v>
      </c>
    </row>
    <row r="351" spans="1:3" x14ac:dyDescent="0.35">
      <c r="A351">
        <v>100000553</v>
      </c>
      <c r="B351" t="s">
        <v>116</v>
      </c>
      <c r="C351">
        <v>2025</v>
      </c>
    </row>
    <row r="352" spans="1:3" x14ac:dyDescent="0.35">
      <c r="A352">
        <v>100002903</v>
      </c>
      <c r="B352" t="s">
        <v>192</v>
      </c>
      <c r="C352">
        <v>2025</v>
      </c>
    </row>
    <row r="353" spans="1:3" x14ac:dyDescent="0.35">
      <c r="A353">
        <v>100000715</v>
      </c>
      <c r="B353" t="s">
        <v>211</v>
      </c>
      <c r="C353">
        <v>2025</v>
      </c>
    </row>
    <row r="354" spans="1:3" x14ac:dyDescent="0.35">
      <c r="A354">
        <v>100000763</v>
      </c>
      <c r="B354" t="s">
        <v>179</v>
      </c>
      <c r="C354">
        <v>2025</v>
      </c>
    </row>
    <row r="355" spans="1:3" x14ac:dyDescent="0.35">
      <c r="A355">
        <v>100000829</v>
      </c>
      <c r="B355" t="s">
        <v>180</v>
      </c>
      <c r="C355">
        <v>2025</v>
      </c>
    </row>
    <row r="356" spans="1:3" x14ac:dyDescent="0.35">
      <c r="A356">
        <v>100002241</v>
      </c>
      <c r="B356" t="s">
        <v>39</v>
      </c>
      <c r="C356">
        <v>2025</v>
      </c>
    </row>
    <row r="357" spans="1:3" x14ac:dyDescent="0.35">
      <c r="A357">
        <v>100005505</v>
      </c>
      <c r="B357" t="s">
        <v>90</v>
      </c>
      <c r="C357">
        <v>2025</v>
      </c>
    </row>
    <row r="358" spans="1:3" x14ac:dyDescent="0.35">
      <c r="A358">
        <v>100005299</v>
      </c>
      <c r="B358" t="s">
        <v>55</v>
      </c>
      <c r="C358">
        <v>2025</v>
      </c>
    </row>
    <row r="359" spans="1:3" x14ac:dyDescent="0.35">
      <c r="A359">
        <v>100006171</v>
      </c>
      <c r="B359" t="s">
        <v>132</v>
      </c>
      <c r="C359">
        <v>2025</v>
      </c>
    </row>
    <row r="360" spans="1:3" x14ac:dyDescent="0.35">
      <c r="A360">
        <v>100002254</v>
      </c>
      <c r="B360" t="s">
        <v>60</v>
      </c>
      <c r="C360">
        <v>2025</v>
      </c>
    </row>
    <row r="361" spans="1:3" x14ac:dyDescent="0.35">
      <c r="A361">
        <v>100001124</v>
      </c>
      <c r="B361" t="s">
        <v>212</v>
      </c>
      <c r="C361">
        <v>2025</v>
      </c>
    </row>
    <row r="362" spans="1:3" x14ac:dyDescent="0.35">
      <c r="A362">
        <v>100003903</v>
      </c>
      <c r="B362" t="s">
        <v>64</v>
      </c>
      <c r="C362">
        <v>2025</v>
      </c>
    </row>
    <row r="363" spans="1:3" x14ac:dyDescent="0.35">
      <c r="A363">
        <v>100001232</v>
      </c>
      <c r="B363" t="s">
        <v>68</v>
      </c>
      <c r="C363">
        <v>2025</v>
      </c>
    </row>
    <row r="364" spans="1:3" x14ac:dyDescent="0.35">
      <c r="A364">
        <v>100002295</v>
      </c>
      <c r="B364" t="s">
        <v>213</v>
      </c>
      <c r="C364">
        <v>2025</v>
      </c>
    </row>
    <row r="365" spans="1:3" x14ac:dyDescent="0.35">
      <c r="A365">
        <v>100001568</v>
      </c>
      <c r="B365" t="s">
        <v>150</v>
      </c>
      <c r="C365">
        <v>2025</v>
      </c>
    </row>
    <row r="366" spans="1:3" x14ac:dyDescent="0.35">
      <c r="A366">
        <v>100000085</v>
      </c>
      <c r="B366" t="s">
        <v>7</v>
      </c>
      <c r="C366">
        <v>2025</v>
      </c>
    </row>
    <row r="367" spans="1:3" x14ac:dyDescent="0.35">
      <c r="A367">
        <v>100000115</v>
      </c>
      <c r="B367" t="s">
        <v>208</v>
      </c>
      <c r="C367">
        <v>2025</v>
      </c>
    </row>
    <row r="368" spans="1:3" x14ac:dyDescent="0.35">
      <c r="A368">
        <v>100000126</v>
      </c>
      <c r="B368" t="s">
        <v>8</v>
      </c>
      <c r="C368">
        <v>2025</v>
      </c>
    </row>
    <row r="369" spans="1:3" x14ac:dyDescent="0.35">
      <c r="A369">
        <v>100005282</v>
      </c>
      <c r="B369" t="s">
        <v>178</v>
      </c>
      <c r="C369">
        <v>2025</v>
      </c>
    </row>
    <row r="370" spans="1:3" x14ac:dyDescent="0.35">
      <c r="A370">
        <v>100003423</v>
      </c>
      <c r="B370" t="s">
        <v>14</v>
      </c>
      <c r="C370">
        <v>2025</v>
      </c>
    </row>
    <row r="371" spans="1:3" x14ac:dyDescent="0.35">
      <c r="A371">
        <v>100000368</v>
      </c>
      <c r="B371" t="s">
        <v>110</v>
      </c>
      <c r="C371">
        <v>2025</v>
      </c>
    </row>
    <row r="372" spans="1:3" x14ac:dyDescent="0.35">
      <c r="A372">
        <v>100002308</v>
      </c>
      <c r="B372" t="s">
        <v>210</v>
      </c>
      <c r="C372">
        <v>2025</v>
      </c>
    </row>
    <row r="373" spans="1:3" x14ac:dyDescent="0.35">
      <c r="A373">
        <v>100002308</v>
      </c>
      <c r="B373" t="s">
        <v>210</v>
      </c>
      <c r="C373">
        <v>2025</v>
      </c>
    </row>
    <row r="374" spans="1:3" x14ac:dyDescent="0.35">
      <c r="A374">
        <v>100002037</v>
      </c>
      <c r="B374" t="s">
        <v>21</v>
      </c>
      <c r="C374">
        <v>2025</v>
      </c>
    </row>
    <row r="375" spans="1:3" x14ac:dyDescent="0.35">
      <c r="A375">
        <v>100000553</v>
      </c>
      <c r="B375" t="s">
        <v>116</v>
      </c>
      <c r="C375">
        <v>2025</v>
      </c>
    </row>
    <row r="376" spans="1:3" x14ac:dyDescent="0.35">
      <c r="A376">
        <v>100002903</v>
      </c>
      <c r="B376" t="s">
        <v>192</v>
      </c>
      <c r="C376">
        <v>2025</v>
      </c>
    </row>
    <row r="377" spans="1:3" x14ac:dyDescent="0.35">
      <c r="A377">
        <v>100004642</v>
      </c>
      <c r="B377" t="s">
        <v>88</v>
      </c>
      <c r="C377">
        <v>2025</v>
      </c>
    </row>
    <row r="378" spans="1:3" x14ac:dyDescent="0.35">
      <c r="A378">
        <v>100000715</v>
      </c>
      <c r="B378" t="s">
        <v>211</v>
      </c>
      <c r="C378">
        <v>2025</v>
      </c>
    </row>
    <row r="379" spans="1:3" x14ac:dyDescent="0.35">
      <c r="A379">
        <v>100000763</v>
      </c>
      <c r="B379" t="s">
        <v>179</v>
      </c>
      <c r="C379">
        <v>2025</v>
      </c>
    </row>
    <row r="380" spans="1:3" x14ac:dyDescent="0.35">
      <c r="A380">
        <v>100001037</v>
      </c>
      <c r="B380" t="s">
        <v>216</v>
      </c>
      <c r="C380">
        <v>2025</v>
      </c>
    </row>
    <row r="381" spans="1:3" x14ac:dyDescent="0.35">
      <c r="A381">
        <v>100001053</v>
      </c>
      <c r="B381" t="s">
        <v>130</v>
      </c>
      <c r="C381">
        <v>2025</v>
      </c>
    </row>
    <row r="382" spans="1:3" x14ac:dyDescent="0.35">
      <c r="A382">
        <v>100003439</v>
      </c>
      <c r="B382" t="s">
        <v>133</v>
      </c>
      <c r="C382">
        <v>2025</v>
      </c>
    </row>
    <row r="383" spans="1:3" x14ac:dyDescent="0.35">
      <c r="A383">
        <v>100001084</v>
      </c>
      <c r="B383" t="s">
        <v>57</v>
      </c>
      <c r="C383">
        <v>2025</v>
      </c>
    </row>
    <row r="384" spans="1:3" x14ac:dyDescent="0.35">
      <c r="A384">
        <v>100002254</v>
      </c>
      <c r="B384" t="s">
        <v>60</v>
      </c>
      <c r="C384">
        <v>2025</v>
      </c>
    </row>
    <row r="385" spans="1:3" x14ac:dyDescent="0.35">
      <c r="A385">
        <v>100001124</v>
      </c>
      <c r="B385" t="s">
        <v>212</v>
      </c>
      <c r="C385">
        <v>2025</v>
      </c>
    </row>
    <row r="386" spans="1:3" x14ac:dyDescent="0.35">
      <c r="A386">
        <v>100001470</v>
      </c>
      <c r="B386" t="s">
        <v>85</v>
      </c>
      <c r="C386">
        <v>2025</v>
      </c>
    </row>
    <row r="387" spans="1:3" x14ac:dyDescent="0.35">
      <c r="A387">
        <v>100001568</v>
      </c>
      <c r="B387" t="s">
        <v>150</v>
      </c>
      <c r="C387">
        <v>2025</v>
      </c>
    </row>
    <row r="388" spans="1:3" x14ac:dyDescent="0.35">
      <c r="A388">
        <v>100001568</v>
      </c>
      <c r="B388" t="s">
        <v>150</v>
      </c>
      <c r="C388">
        <v>2025</v>
      </c>
    </row>
  </sheetData>
  <mergeCells count="1">
    <mergeCell ref="I1:K1"/>
  </mergeCells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16CC18-08C7-4BF1-B28A-74486A273655}">
  <dimension ref="A1:B94"/>
  <sheetViews>
    <sheetView workbookViewId="0">
      <selection activeCell="I14" sqref="I14"/>
    </sheetView>
  </sheetViews>
  <sheetFormatPr baseColWidth="10" defaultRowHeight="14.5" x14ac:dyDescent="0.35"/>
  <cols>
    <col min="1" max="1" width="46.453125" bestFit="1" customWidth="1"/>
    <col min="2" max="2" width="28.453125" bestFit="1" customWidth="1"/>
  </cols>
  <sheetData>
    <row r="1" spans="1:2" x14ac:dyDescent="0.35">
      <c r="A1" t="s">
        <v>240</v>
      </c>
    </row>
    <row r="3" spans="1:2" x14ac:dyDescent="0.35">
      <c r="A3" s="3" t="s">
        <v>217</v>
      </c>
      <c r="B3" t="s">
        <v>239</v>
      </c>
    </row>
    <row r="4" spans="1:2" x14ac:dyDescent="0.35">
      <c r="A4" s="4" t="s">
        <v>151</v>
      </c>
      <c r="B4">
        <v>9</v>
      </c>
    </row>
    <row r="5" spans="1:2" x14ac:dyDescent="0.35">
      <c r="A5" s="4" t="s">
        <v>170</v>
      </c>
      <c r="B5">
        <v>4</v>
      </c>
    </row>
    <row r="6" spans="1:2" x14ac:dyDescent="0.35">
      <c r="A6" s="4" t="s">
        <v>75</v>
      </c>
      <c r="B6">
        <v>4</v>
      </c>
    </row>
    <row r="7" spans="1:2" x14ac:dyDescent="0.35">
      <c r="A7" s="4" t="s">
        <v>5</v>
      </c>
      <c r="B7">
        <v>4</v>
      </c>
    </row>
    <row r="8" spans="1:2" x14ac:dyDescent="0.35">
      <c r="A8" s="4" t="s">
        <v>222</v>
      </c>
      <c r="B8">
        <v>4</v>
      </c>
    </row>
    <row r="9" spans="1:2" x14ac:dyDescent="0.35">
      <c r="A9" s="4" t="s">
        <v>191</v>
      </c>
      <c r="B9">
        <v>4</v>
      </c>
    </row>
    <row r="10" spans="1:2" x14ac:dyDescent="0.35">
      <c r="A10" s="4" t="s">
        <v>166</v>
      </c>
      <c r="B10">
        <v>3</v>
      </c>
    </row>
    <row r="11" spans="1:2" x14ac:dyDescent="0.35">
      <c r="A11" s="4" t="s">
        <v>129</v>
      </c>
      <c r="B11">
        <v>3</v>
      </c>
    </row>
    <row r="12" spans="1:2" x14ac:dyDescent="0.35">
      <c r="A12" s="4" t="s">
        <v>141</v>
      </c>
      <c r="B12">
        <v>3</v>
      </c>
    </row>
    <row r="13" spans="1:2" x14ac:dyDescent="0.35">
      <c r="A13" s="4" t="s">
        <v>158</v>
      </c>
      <c r="B13">
        <v>3</v>
      </c>
    </row>
    <row r="14" spans="1:2" x14ac:dyDescent="0.35">
      <c r="A14" s="4" t="s">
        <v>196</v>
      </c>
      <c r="B14">
        <v>3</v>
      </c>
    </row>
    <row r="15" spans="1:2" x14ac:dyDescent="0.35">
      <c r="A15" s="4" t="s">
        <v>41</v>
      </c>
      <c r="B15">
        <v>3</v>
      </c>
    </row>
    <row r="16" spans="1:2" x14ac:dyDescent="0.35">
      <c r="A16" s="4" t="s">
        <v>105</v>
      </c>
      <c r="B16">
        <v>2</v>
      </c>
    </row>
    <row r="17" spans="1:2" x14ac:dyDescent="0.35">
      <c r="A17" s="4" t="s">
        <v>131</v>
      </c>
      <c r="B17">
        <v>2</v>
      </c>
    </row>
    <row r="18" spans="1:2" x14ac:dyDescent="0.35">
      <c r="A18" s="4" t="s">
        <v>118</v>
      </c>
      <c r="B18">
        <v>2</v>
      </c>
    </row>
    <row r="19" spans="1:2" x14ac:dyDescent="0.35">
      <c r="A19" s="4" t="s">
        <v>152</v>
      </c>
      <c r="B19">
        <v>2</v>
      </c>
    </row>
    <row r="20" spans="1:2" x14ac:dyDescent="0.35">
      <c r="A20" s="4" t="s">
        <v>69</v>
      </c>
      <c r="B20">
        <v>2</v>
      </c>
    </row>
    <row r="21" spans="1:2" x14ac:dyDescent="0.35">
      <c r="A21" s="4" t="s">
        <v>38</v>
      </c>
      <c r="B21">
        <v>2</v>
      </c>
    </row>
    <row r="22" spans="1:2" x14ac:dyDescent="0.35">
      <c r="A22" s="4" t="s">
        <v>76</v>
      </c>
      <c r="B22">
        <v>2</v>
      </c>
    </row>
    <row r="23" spans="1:2" x14ac:dyDescent="0.35">
      <c r="A23" s="4" t="s">
        <v>84</v>
      </c>
      <c r="B23">
        <v>2</v>
      </c>
    </row>
    <row r="24" spans="1:2" x14ac:dyDescent="0.35">
      <c r="A24" s="4" t="s">
        <v>233</v>
      </c>
      <c r="B24">
        <v>2</v>
      </c>
    </row>
    <row r="25" spans="1:2" x14ac:dyDescent="0.35">
      <c r="A25" s="4" t="s">
        <v>46</v>
      </c>
      <c r="B25">
        <v>2</v>
      </c>
    </row>
    <row r="26" spans="1:2" x14ac:dyDescent="0.35">
      <c r="A26" s="4" t="s">
        <v>136</v>
      </c>
      <c r="B26">
        <v>2</v>
      </c>
    </row>
    <row r="27" spans="1:2" x14ac:dyDescent="0.35">
      <c r="A27" s="4" t="s">
        <v>47</v>
      </c>
      <c r="B27">
        <v>2</v>
      </c>
    </row>
    <row r="28" spans="1:2" x14ac:dyDescent="0.35">
      <c r="A28" s="4" t="s">
        <v>88</v>
      </c>
      <c r="B28">
        <v>2</v>
      </c>
    </row>
    <row r="29" spans="1:2" x14ac:dyDescent="0.35">
      <c r="A29" s="4" t="s">
        <v>128</v>
      </c>
      <c r="B29">
        <v>2</v>
      </c>
    </row>
    <row r="30" spans="1:2" x14ac:dyDescent="0.35">
      <c r="A30" s="4" t="s">
        <v>142</v>
      </c>
      <c r="B30">
        <v>2</v>
      </c>
    </row>
    <row r="31" spans="1:2" x14ac:dyDescent="0.35">
      <c r="A31" s="4" t="s">
        <v>30</v>
      </c>
      <c r="B31">
        <v>2</v>
      </c>
    </row>
    <row r="32" spans="1:2" x14ac:dyDescent="0.35">
      <c r="A32" s="4" t="s">
        <v>117</v>
      </c>
      <c r="B32">
        <v>2</v>
      </c>
    </row>
    <row r="33" spans="1:2" x14ac:dyDescent="0.35">
      <c r="A33" s="4" t="s">
        <v>220</v>
      </c>
      <c r="B33">
        <v>2</v>
      </c>
    </row>
    <row r="34" spans="1:2" x14ac:dyDescent="0.35">
      <c r="A34" s="4" t="s">
        <v>229</v>
      </c>
      <c r="B34">
        <v>2</v>
      </c>
    </row>
    <row r="35" spans="1:2" x14ac:dyDescent="0.35">
      <c r="A35" s="4" t="s">
        <v>3</v>
      </c>
      <c r="B35">
        <v>2</v>
      </c>
    </row>
    <row r="36" spans="1:2" x14ac:dyDescent="0.35">
      <c r="A36" s="4" t="s">
        <v>58</v>
      </c>
      <c r="B36">
        <v>1</v>
      </c>
    </row>
    <row r="37" spans="1:2" x14ac:dyDescent="0.35">
      <c r="A37" s="4" t="s">
        <v>4</v>
      </c>
      <c r="B37">
        <v>1</v>
      </c>
    </row>
    <row r="38" spans="1:2" x14ac:dyDescent="0.35">
      <c r="A38" s="4" t="s">
        <v>164</v>
      </c>
      <c r="B38">
        <v>1</v>
      </c>
    </row>
    <row r="39" spans="1:2" x14ac:dyDescent="0.35">
      <c r="A39" s="4" t="s">
        <v>178</v>
      </c>
      <c r="B39">
        <v>1</v>
      </c>
    </row>
    <row r="40" spans="1:2" x14ac:dyDescent="0.35">
      <c r="A40" s="4" t="s">
        <v>146</v>
      </c>
      <c r="B40">
        <v>1</v>
      </c>
    </row>
    <row r="41" spans="1:2" x14ac:dyDescent="0.35">
      <c r="A41" s="4" t="s">
        <v>234</v>
      </c>
      <c r="B41">
        <v>1</v>
      </c>
    </row>
    <row r="42" spans="1:2" x14ac:dyDescent="0.35">
      <c r="A42" s="4" t="s">
        <v>63</v>
      </c>
      <c r="B42">
        <v>1</v>
      </c>
    </row>
    <row r="43" spans="1:2" x14ac:dyDescent="0.35">
      <c r="A43" s="4" t="s">
        <v>34</v>
      </c>
      <c r="B43">
        <v>1</v>
      </c>
    </row>
    <row r="44" spans="1:2" x14ac:dyDescent="0.35">
      <c r="A44" s="4" t="s">
        <v>221</v>
      </c>
      <c r="B44">
        <v>1</v>
      </c>
    </row>
    <row r="45" spans="1:2" x14ac:dyDescent="0.35">
      <c r="A45" s="4" t="s">
        <v>35</v>
      </c>
      <c r="B45">
        <v>1</v>
      </c>
    </row>
    <row r="46" spans="1:2" x14ac:dyDescent="0.35">
      <c r="A46" s="4" t="s">
        <v>80</v>
      </c>
      <c r="B46">
        <v>1</v>
      </c>
    </row>
    <row r="47" spans="1:2" x14ac:dyDescent="0.35">
      <c r="A47" s="4" t="s">
        <v>125</v>
      </c>
      <c r="B47">
        <v>1</v>
      </c>
    </row>
    <row r="48" spans="1:2" x14ac:dyDescent="0.35">
      <c r="A48" s="4" t="s">
        <v>56</v>
      </c>
      <c r="B48">
        <v>1</v>
      </c>
    </row>
    <row r="49" spans="1:2" x14ac:dyDescent="0.35">
      <c r="A49" s="4" t="s">
        <v>159</v>
      </c>
      <c r="B49">
        <v>1</v>
      </c>
    </row>
    <row r="50" spans="1:2" x14ac:dyDescent="0.35">
      <c r="A50" s="4" t="s">
        <v>194</v>
      </c>
      <c r="B50">
        <v>1</v>
      </c>
    </row>
    <row r="51" spans="1:2" x14ac:dyDescent="0.35">
      <c r="A51" s="4" t="s">
        <v>37</v>
      </c>
      <c r="B51">
        <v>1</v>
      </c>
    </row>
    <row r="52" spans="1:2" x14ac:dyDescent="0.35">
      <c r="A52" s="4" t="s">
        <v>65</v>
      </c>
      <c r="B52">
        <v>1</v>
      </c>
    </row>
    <row r="53" spans="1:2" x14ac:dyDescent="0.35">
      <c r="A53" s="4" t="s">
        <v>17</v>
      </c>
      <c r="B53">
        <v>1</v>
      </c>
    </row>
    <row r="54" spans="1:2" x14ac:dyDescent="0.35">
      <c r="A54" s="4" t="s">
        <v>74</v>
      </c>
      <c r="B54">
        <v>1</v>
      </c>
    </row>
    <row r="55" spans="1:2" x14ac:dyDescent="0.35">
      <c r="A55" s="4" t="s">
        <v>160</v>
      </c>
      <c r="B55">
        <v>1</v>
      </c>
    </row>
    <row r="56" spans="1:2" x14ac:dyDescent="0.35">
      <c r="A56" s="4" t="s">
        <v>232</v>
      </c>
      <c r="B56">
        <v>1</v>
      </c>
    </row>
    <row r="57" spans="1:2" x14ac:dyDescent="0.35">
      <c r="A57" s="4" t="s">
        <v>162</v>
      </c>
      <c r="B57">
        <v>1</v>
      </c>
    </row>
    <row r="58" spans="1:2" x14ac:dyDescent="0.35">
      <c r="A58" s="4" t="s">
        <v>185</v>
      </c>
      <c r="B58">
        <v>1</v>
      </c>
    </row>
    <row r="59" spans="1:2" x14ac:dyDescent="0.35">
      <c r="A59" s="4" t="s">
        <v>180</v>
      </c>
      <c r="B59">
        <v>1</v>
      </c>
    </row>
    <row r="60" spans="1:2" x14ac:dyDescent="0.35">
      <c r="A60" s="4" t="s">
        <v>230</v>
      </c>
      <c r="B60">
        <v>1</v>
      </c>
    </row>
    <row r="61" spans="1:2" x14ac:dyDescent="0.35">
      <c r="A61" s="4" t="s">
        <v>149</v>
      </c>
      <c r="B61">
        <v>1</v>
      </c>
    </row>
    <row r="62" spans="1:2" x14ac:dyDescent="0.35">
      <c r="A62" s="4" t="s">
        <v>107</v>
      </c>
      <c r="B62">
        <v>1</v>
      </c>
    </row>
    <row r="63" spans="1:2" x14ac:dyDescent="0.35">
      <c r="A63" s="4" t="s">
        <v>19</v>
      </c>
      <c r="B63">
        <v>1</v>
      </c>
    </row>
    <row r="64" spans="1:2" x14ac:dyDescent="0.35">
      <c r="A64" s="4" t="s">
        <v>119</v>
      </c>
      <c r="B64">
        <v>1</v>
      </c>
    </row>
    <row r="65" spans="1:2" x14ac:dyDescent="0.35">
      <c r="A65" s="4" t="s">
        <v>42</v>
      </c>
      <c r="B65">
        <v>1</v>
      </c>
    </row>
    <row r="66" spans="1:2" x14ac:dyDescent="0.35">
      <c r="A66" s="4" t="s">
        <v>135</v>
      </c>
      <c r="B66">
        <v>1</v>
      </c>
    </row>
    <row r="67" spans="1:2" x14ac:dyDescent="0.35">
      <c r="A67" s="4" t="s">
        <v>45</v>
      </c>
      <c r="B67">
        <v>1</v>
      </c>
    </row>
    <row r="68" spans="1:2" x14ac:dyDescent="0.35">
      <c r="A68" s="4" t="s">
        <v>157</v>
      </c>
      <c r="B68">
        <v>1</v>
      </c>
    </row>
    <row r="69" spans="1:2" x14ac:dyDescent="0.35">
      <c r="A69" s="4" t="s">
        <v>127</v>
      </c>
      <c r="B69">
        <v>1</v>
      </c>
    </row>
    <row r="70" spans="1:2" x14ac:dyDescent="0.35">
      <c r="A70" s="4" t="s">
        <v>64</v>
      </c>
      <c r="B70">
        <v>1</v>
      </c>
    </row>
    <row r="71" spans="1:2" x14ac:dyDescent="0.35">
      <c r="A71" s="4" t="s">
        <v>20</v>
      </c>
      <c r="B71">
        <v>1</v>
      </c>
    </row>
    <row r="72" spans="1:2" x14ac:dyDescent="0.35">
      <c r="A72" s="4" t="s">
        <v>138</v>
      </c>
      <c r="B72">
        <v>1</v>
      </c>
    </row>
    <row r="73" spans="1:2" x14ac:dyDescent="0.35">
      <c r="A73" s="4" t="s">
        <v>6</v>
      </c>
      <c r="B73">
        <v>1</v>
      </c>
    </row>
    <row r="74" spans="1:2" x14ac:dyDescent="0.35">
      <c r="A74" s="4" t="s">
        <v>104</v>
      </c>
      <c r="B74">
        <v>1</v>
      </c>
    </row>
    <row r="75" spans="1:2" x14ac:dyDescent="0.35">
      <c r="A75" s="4" t="s">
        <v>103</v>
      </c>
      <c r="B75">
        <v>1</v>
      </c>
    </row>
    <row r="76" spans="1:2" x14ac:dyDescent="0.35">
      <c r="A76" s="4" t="s">
        <v>140</v>
      </c>
      <c r="B76">
        <v>1</v>
      </c>
    </row>
    <row r="77" spans="1:2" x14ac:dyDescent="0.35">
      <c r="A77" s="4" t="s">
        <v>114</v>
      </c>
      <c r="B77">
        <v>1</v>
      </c>
    </row>
    <row r="78" spans="1:2" x14ac:dyDescent="0.35">
      <c r="A78" s="4" t="s">
        <v>31</v>
      </c>
      <c r="B78">
        <v>1</v>
      </c>
    </row>
    <row r="79" spans="1:2" x14ac:dyDescent="0.35">
      <c r="A79" s="4" t="s">
        <v>163</v>
      </c>
      <c r="B79">
        <v>1</v>
      </c>
    </row>
    <row r="80" spans="1:2" x14ac:dyDescent="0.35">
      <c r="A80" s="4" t="s">
        <v>225</v>
      </c>
      <c r="B80">
        <v>1</v>
      </c>
    </row>
    <row r="81" spans="1:2" x14ac:dyDescent="0.35">
      <c r="A81" s="4" t="s">
        <v>25</v>
      </c>
      <c r="B81">
        <v>1</v>
      </c>
    </row>
    <row r="82" spans="1:2" x14ac:dyDescent="0.35">
      <c r="A82" s="4" t="s">
        <v>123</v>
      </c>
      <c r="B82">
        <v>1</v>
      </c>
    </row>
    <row r="83" spans="1:2" x14ac:dyDescent="0.35">
      <c r="A83" s="4" t="s">
        <v>223</v>
      </c>
      <c r="B83">
        <v>1</v>
      </c>
    </row>
    <row r="84" spans="1:2" x14ac:dyDescent="0.35">
      <c r="A84" s="4" t="s">
        <v>144</v>
      </c>
      <c r="B84">
        <v>1</v>
      </c>
    </row>
    <row r="85" spans="1:2" x14ac:dyDescent="0.35">
      <c r="A85" s="4" t="s">
        <v>52</v>
      </c>
      <c r="B85">
        <v>1</v>
      </c>
    </row>
    <row r="86" spans="1:2" x14ac:dyDescent="0.35">
      <c r="A86" s="4" t="s">
        <v>145</v>
      </c>
      <c r="B86">
        <v>1</v>
      </c>
    </row>
    <row r="87" spans="1:2" x14ac:dyDescent="0.35">
      <c r="A87" s="4" t="s">
        <v>224</v>
      </c>
      <c r="B87">
        <v>1</v>
      </c>
    </row>
    <row r="88" spans="1:2" x14ac:dyDescent="0.35">
      <c r="A88" s="4" t="s">
        <v>12</v>
      </c>
      <c r="B88">
        <v>1</v>
      </c>
    </row>
    <row r="89" spans="1:2" x14ac:dyDescent="0.35">
      <c r="A89" s="4" t="s">
        <v>10</v>
      </c>
      <c r="B89">
        <v>1</v>
      </c>
    </row>
    <row r="90" spans="1:2" x14ac:dyDescent="0.35">
      <c r="A90" s="4" t="s">
        <v>226</v>
      </c>
      <c r="B90">
        <v>1</v>
      </c>
    </row>
    <row r="91" spans="1:2" x14ac:dyDescent="0.35">
      <c r="A91" s="4" t="s">
        <v>54</v>
      </c>
      <c r="B91">
        <v>1</v>
      </c>
    </row>
    <row r="92" spans="1:2" x14ac:dyDescent="0.35">
      <c r="A92" s="4" t="s">
        <v>55</v>
      </c>
      <c r="B92">
        <v>1</v>
      </c>
    </row>
    <row r="93" spans="1:2" x14ac:dyDescent="0.35">
      <c r="A93" s="4" t="s">
        <v>40</v>
      </c>
      <c r="B93">
        <v>1</v>
      </c>
    </row>
    <row r="94" spans="1:2" x14ac:dyDescent="0.35">
      <c r="A94" s="4" t="s">
        <v>218</v>
      </c>
      <c r="B94">
        <v>145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864CF5-39F4-49AA-8AFF-A15BF4B18B6F}">
  <dimension ref="A3:B94"/>
  <sheetViews>
    <sheetView workbookViewId="0">
      <selection activeCell="B19" sqref="B19"/>
    </sheetView>
  </sheetViews>
  <sheetFormatPr baseColWidth="10" defaultRowHeight="14.5" x14ac:dyDescent="0.35"/>
  <cols>
    <col min="1" max="1" width="47.1796875" bestFit="1" customWidth="1"/>
    <col min="2" max="2" width="35.81640625" bestFit="1" customWidth="1"/>
  </cols>
  <sheetData>
    <row r="3" spans="1:2" x14ac:dyDescent="0.35">
      <c r="A3" s="3" t="s">
        <v>217</v>
      </c>
      <c r="B3" t="s">
        <v>241</v>
      </c>
    </row>
    <row r="4" spans="1:2" x14ac:dyDescent="0.35">
      <c r="A4" s="4" t="s">
        <v>76</v>
      </c>
      <c r="B4">
        <v>5</v>
      </c>
    </row>
    <row r="5" spans="1:2" x14ac:dyDescent="0.35">
      <c r="A5" s="4" t="s">
        <v>89</v>
      </c>
      <c r="B5">
        <v>4</v>
      </c>
    </row>
    <row r="6" spans="1:2" x14ac:dyDescent="0.35">
      <c r="A6" s="4" t="s">
        <v>46</v>
      </c>
      <c r="B6">
        <v>4</v>
      </c>
    </row>
    <row r="7" spans="1:2" x14ac:dyDescent="0.35">
      <c r="A7" s="4" t="s">
        <v>170</v>
      </c>
      <c r="B7">
        <v>4</v>
      </c>
    </row>
    <row r="8" spans="1:2" x14ac:dyDescent="0.35">
      <c r="A8" s="4" t="s">
        <v>36</v>
      </c>
      <c r="B8">
        <v>4</v>
      </c>
    </row>
    <row r="9" spans="1:2" x14ac:dyDescent="0.35">
      <c r="A9" s="4" t="s">
        <v>182</v>
      </c>
      <c r="B9">
        <v>4</v>
      </c>
    </row>
    <row r="10" spans="1:2" x14ac:dyDescent="0.35">
      <c r="A10" s="4" t="s">
        <v>74</v>
      </c>
      <c r="B10">
        <v>3</v>
      </c>
    </row>
    <row r="11" spans="1:2" x14ac:dyDescent="0.35">
      <c r="A11" s="4" t="s">
        <v>9</v>
      </c>
      <c r="B11">
        <v>3</v>
      </c>
    </row>
    <row r="12" spans="1:2" x14ac:dyDescent="0.35">
      <c r="A12" s="4" t="s">
        <v>6</v>
      </c>
      <c r="B12">
        <v>3</v>
      </c>
    </row>
    <row r="13" spans="1:2" x14ac:dyDescent="0.35">
      <c r="A13" s="4" t="s">
        <v>108</v>
      </c>
      <c r="B13">
        <v>3</v>
      </c>
    </row>
    <row r="14" spans="1:2" x14ac:dyDescent="0.35">
      <c r="A14" s="4" t="s">
        <v>87</v>
      </c>
      <c r="B14">
        <v>3</v>
      </c>
    </row>
    <row r="15" spans="1:2" x14ac:dyDescent="0.35">
      <c r="A15" s="4" t="s">
        <v>90</v>
      </c>
      <c r="B15">
        <v>3</v>
      </c>
    </row>
    <row r="16" spans="1:2" x14ac:dyDescent="0.35">
      <c r="A16" s="4" t="s">
        <v>12</v>
      </c>
      <c r="B16">
        <v>2</v>
      </c>
    </row>
    <row r="17" spans="1:2" x14ac:dyDescent="0.35">
      <c r="A17" s="4" t="s">
        <v>73</v>
      </c>
      <c r="B17">
        <v>2</v>
      </c>
    </row>
    <row r="18" spans="1:2" x14ac:dyDescent="0.35">
      <c r="A18" s="4" t="s">
        <v>83</v>
      </c>
      <c r="B18">
        <v>2</v>
      </c>
    </row>
    <row r="19" spans="1:2" x14ac:dyDescent="0.35">
      <c r="A19" s="4" t="s">
        <v>43</v>
      </c>
      <c r="B19">
        <v>2</v>
      </c>
    </row>
    <row r="20" spans="1:2" x14ac:dyDescent="0.35">
      <c r="A20" s="4" t="s">
        <v>75</v>
      </c>
      <c r="B20">
        <v>2</v>
      </c>
    </row>
    <row r="21" spans="1:2" x14ac:dyDescent="0.35">
      <c r="A21" s="4" t="s">
        <v>22</v>
      </c>
      <c r="B21">
        <v>2</v>
      </c>
    </row>
    <row r="22" spans="1:2" x14ac:dyDescent="0.35">
      <c r="A22" s="4" t="s">
        <v>77</v>
      </c>
      <c r="B22">
        <v>2</v>
      </c>
    </row>
    <row r="23" spans="1:2" x14ac:dyDescent="0.35">
      <c r="A23" s="4" t="s">
        <v>84</v>
      </c>
      <c r="B23">
        <v>2</v>
      </c>
    </row>
    <row r="24" spans="1:2" x14ac:dyDescent="0.35">
      <c r="A24" s="4" t="s">
        <v>164</v>
      </c>
      <c r="B24">
        <v>2</v>
      </c>
    </row>
    <row r="25" spans="1:2" x14ac:dyDescent="0.35">
      <c r="A25" s="4" t="s">
        <v>49</v>
      </c>
      <c r="B25">
        <v>2</v>
      </c>
    </row>
    <row r="26" spans="1:2" x14ac:dyDescent="0.35">
      <c r="A26" s="4" t="s">
        <v>11</v>
      </c>
      <c r="B26">
        <v>2</v>
      </c>
    </row>
    <row r="27" spans="1:2" x14ac:dyDescent="0.35">
      <c r="A27" s="4" t="s">
        <v>50</v>
      </c>
      <c r="B27">
        <v>2</v>
      </c>
    </row>
    <row r="28" spans="1:2" x14ac:dyDescent="0.35">
      <c r="A28" s="4" t="s">
        <v>27</v>
      </c>
      <c r="B28">
        <v>2</v>
      </c>
    </row>
    <row r="29" spans="1:2" x14ac:dyDescent="0.35">
      <c r="A29" s="4" t="s">
        <v>53</v>
      </c>
      <c r="B29">
        <v>2</v>
      </c>
    </row>
    <row r="30" spans="1:2" x14ac:dyDescent="0.35">
      <c r="A30" s="4" t="s">
        <v>185</v>
      </c>
      <c r="B30">
        <v>2</v>
      </c>
    </row>
    <row r="31" spans="1:2" x14ac:dyDescent="0.35">
      <c r="A31" s="4" t="s">
        <v>135</v>
      </c>
      <c r="B31">
        <v>2</v>
      </c>
    </row>
    <row r="32" spans="1:2" x14ac:dyDescent="0.35">
      <c r="A32" s="4" t="s">
        <v>80</v>
      </c>
      <c r="B32">
        <v>2</v>
      </c>
    </row>
    <row r="33" spans="1:2" x14ac:dyDescent="0.35">
      <c r="A33" s="4" t="s">
        <v>136</v>
      </c>
      <c r="B33">
        <v>2</v>
      </c>
    </row>
    <row r="34" spans="1:2" x14ac:dyDescent="0.35">
      <c r="A34" s="4" t="s">
        <v>155</v>
      </c>
      <c r="B34">
        <v>2</v>
      </c>
    </row>
    <row r="35" spans="1:2" x14ac:dyDescent="0.35">
      <c r="A35" s="4" t="s">
        <v>138</v>
      </c>
      <c r="B35">
        <v>2</v>
      </c>
    </row>
    <row r="36" spans="1:2" x14ac:dyDescent="0.35">
      <c r="A36" s="4" t="s">
        <v>42</v>
      </c>
      <c r="B36">
        <v>2</v>
      </c>
    </row>
    <row r="37" spans="1:2" x14ac:dyDescent="0.35">
      <c r="A37" s="4" t="s">
        <v>137</v>
      </c>
      <c r="B37">
        <v>1</v>
      </c>
    </row>
    <row r="38" spans="1:2" x14ac:dyDescent="0.35">
      <c r="A38" s="4" t="s">
        <v>79</v>
      </c>
      <c r="B38">
        <v>1</v>
      </c>
    </row>
    <row r="39" spans="1:2" x14ac:dyDescent="0.35">
      <c r="A39" s="4" t="s">
        <v>24</v>
      </c>
      <c r="B39">
        <v>1</v>
      </c>
    </row>
    <row r="40" spans="1:2" x14ac:dyDescent="0.35">
      <c r="A40" s="4" t="s">
        <v>88</v>
      </c>
      <c r="B40">
        <v>1</v>
      </c>
    </row>
    <row r="41" spans="1:2" x14ac:dyDescent="0.35">
      <c r="A41" s="4" t="s">
        <v>86</v>
      </c>
      <c r="B41">
        <v>1</v>
      </c>
    </row>
    <row r="42" spans="1:2" x14ac:dyDescent="0.35">
      <c r="A42" s="4" t="s">
        <v>158</v>
      </c>
      <c r="B42">
        <v>1</v>
      </c>
    </row>
    <row r="43" spans="1:2" x14ac:dyDescent="0.35">
      <c r="A43" s="4" t="s">
        <v>23</v>
      </c>
      <c r="B43">
        <v>1</v>
      </c>
    </row>
    <row r="44" spans="1:2" x14ac:dyDescent="0.35">
      <c r="A44" s="4" t="s">
        <v>196</v>
      </c>
      <c r="B44">
        <v>1</v>
      </c>
    </row>
    <row r="45" spans="1:2" x14ac:dyDescent="0.35">
      <c r="A45" s="4" t="s">
        <v>26</v>
      </c>
      <c r="B45">
        <v>1</v>
      </c>
    </row>
    <row r="46" spans="1:2" x14ac:dyDescent="0.35">
      <c r="A46" s="4" t="s">
        <v>124</v>
      </c>
      <c r="B46">
        <v>1</v>
      </c>
    </row>
    <row r="47" spans="1:2" x14ac:dyDescent="0.35">
      <c r="A47" s="4" t="s">
        <v>82</v>
      </c>
      <c r="B47">
        <v>1</v>
      </c>
    </row>
    <row r="48" spans="1:2" x14ac:dyDescent="0.35">
      <c r="A48" s="4" t="s">
        <v>152</v>
      </c>
      <c r="B48">
        <v>1</v>
      </c>
    </row>
    <row r="49" spans="1:2" x14ac:dyDescent="0.35">
      <c r="A49" s="4" t="s">
        <v>21</v>
      </c>
      <c r="B49">
        <v>1</v>
      </c>
    </row>
    <row r="50" spans="1:2" x14ac:dyDescent="0.35">
      <c r="A50" s="4" t="s">
        <v>179</v>
      </c>
      <c r="B50">
        <v>1</v>
      </c>
    </row>
    <row r="51" spans="1:2" x14ac:dyDescent="0.35">
      <c r="A51" s="4" t="s">
        <v>15</v>
      </c>
      <c r="B51">
        <v>1</v>
      </c>
    </row>
    <row r="52" spans="1:2" x14ac:dyDescent="0.35">
      <c r="A52" s="4" t="s">
        <v>125</v>
      </c>
      <c r="B52">
        <v>1</v>
      </c>
    </row>
    <row r="53" spans="1:2" x14ac:dyDescent="0.35">
      <c r="A53" s="4" t="s">
        <v>68</v>
      </c>
      <c r="B53">
        <v>1</v>
      </c>
    </row>
    <row r="54" spans="1:2" x14ac:dyDescent="0.35">
      <c r="A54" s="4" t="s">
        <v>18</v>
      </c>
      <c r="B54">
        <v>1</v>
      </c>
    </row>
    <row r="55" spans="1:2" x14ac:dyDescent="0.35">
      <c r="A55" s="4" t="s">
        <v>115</v>
      </c>
      <c r="B55">
        <v>1</v>
      </c>
    </row>
    <row r="56" spans="1:2" x14ac:dyDescent="0.35">
      <c r="A56" s="4" t="s">
        <v>110</v>
      </c>
      <c r="B56">
        <v>1</v>
      </c>
    </row>
    <row r="57" spans="1:2" x14ac:dyDescent="0.35">
      <c r="A57" s="4" t="s">
        <v>192</v>
      </c>
      <c r="B57">
        <v>1</v>
      </c>
    </row>
    <row r="58" spans="1:2" x14ac:dyDescent="0.35">
      <c r="A58" s="4" t="s">
        <v>39</v>
      </c>
      <c r="B58">
        <v>1</v>
      </c>
    </row>
    <row r="59" spans="1:2" x14ac:dyDescent="0.35">
      <c r="A59" s="4" t="s">
        <v>145</v>
      </c>
      <c r="B59">
        <v>1</v>
      </c>
    </row>
    <row r="60" spans="1:2" x14ac:dyDescent="0.35">
      <c r="A60" s="4" t="s">
        <v>186</v>
      </c>
      <c r="B60">
        <v>1</v>
      </c>
    </row>
    <row r="61" spans="1:2" x14ac:dyDescent="0.35">
      <c r="A61" s="4" t="s">
        <v>120</v>
      </c>
      <c r="B61">
        <v>1</v>
      </c>
    </row>
    <row r="62" spans="1:2" x14ac:dyDescent="0.35">
      <c r="A62" s="4" t="s">
        <v>107</v>
      </c>
      <c r="B62">
        <v>1</v>
      </c>
    </row>
    <row r="63" spans="1:2" x14ac:dyDescent="0.35">
      <c r="A63" s="4" t="s">
        <v>122</v>
      </c>
      <c r="B63">
        <v>1</v>
      </c>
    </row>
    <row r="64" spans="1:2" x14ac:dyDescent="0.35">
      <c r="A64" s="4" t="s">
        <v>153</v>
      </c>
      <c r="B64">
        <v>1</v>
      </c>
    </row>
    <row r="65" spans="1:2" x14ac:dyDescent="0.35">
      <c r="A65" s="4" t="s">
        <v>172</v>
      </c>
      <c r="B65">
        <v>1</v>
      </c>
    </row>
    <row r="66" spans="1:2" x14ac:dyDescent="0.35">
      <c r="A66" s="4" t="s">
        <v>151</v>
      </c>
      <c r="B66">
        <v>1</v>
      </c>
    </row>
    <row r="67" spans="1:2" x14ac:dyDescent="0.35">
      <c r="A67" s="4" t="s">
        <v>169</v>
      </c>
      <c r="B67">
        <v>1</v>
      </c>
    </row>
    <row r="68" spans="1:2" x14ac:dyDescent="0.35">
      <c r="A68" s="4" t="s">
        <v>112</v>
      </c>
      <c r="B68">
        <v>1</v>
      </c>
    </row>
    <row r="69" spans="1:2" x14ac:dyDescent="0.35">
      <c r="A69" s="4" t="s">
        <v>67</v>
      </c>
      <c r="B69">
        <v>1</v>
      </c>
    </row>
    <row r="70" spans="1:2" x14ac:dyDescent="0.35">
      <c r="A70" s="4" t="s">
        <v>48</v>
      </c>
      <c r="B70">
        <v>1</v>
      </c>
    </row>
    <row r="71" spans="1:2" x14ac:dyDescent="0.35">
      <c r="A71" s="4" t="s">
        <v>139</v>
      </c>
      <c r="B71">
        <v>1</v>
      </c>
    </row>
    <row r="72" spans="1:2" x14ac:dyDescent="0.35">
      <c r="A72" s="4" t="s">
        <v>13</v>
      </c>
      <c r="B72">
        <v>1</v>
      </c>
    </row>
    <row r="73" spans="1:2" x14ac:dyDescent="0.35">
      <c r="A73" s="4" t="s">
        <v>72</v>
      </c>
      <c r="B73">
        <v>1</v>
      </c>
    </row>
    <row r="74" spans="1:2" x14ac:dyDescent="0.35">
      <c r="A74" s="4" t="s">
        <v>156</v>
      </c>
      <c r="B74">
        <v>1</v>
      </c>
    </row>
    <row r="75" spans="1:2" x14ac:dyDescent="0.35">
      <c r="A75" s="4" t="s">
        <v>25</v>
      </c>
      <c r="B75">
        <v>1</v>
      </c>
    </row>
    <row r="76" spans="1:2" x14ac:dyDescent="0.35">
      <c r="A76" s="4" t="s">
        <v>51</v>
      </c>
      <c r="B76">
        <v>1</v>
      </c>
    </row>
    <row r="77" spans="1:2" x14ac:dyDescent="0.35">
      <c r="A77" s="4" t="s">
        <v>2</v>
      </c>
      <c r="B77">
        <v>1</v>
      </c>
    </row>
    <row r="78" spans="1:2" x14ac:dyDescent="0.35">
      <c r="A78" s="4" t="s">
        <v>205</v>
      </c>
      <c r="B78">
        <v>1</v>
      </c>
    </row>
    <row r="79" spans="1:2" x14ac:dyDescent="0.35">
      <c r="A79" s="4" t="s">
        <v>174</v>
      </c>
      <c r="B79">
        <v>1</v>
      </c>
    </row>
    <row r="80" spans="1:2" x14ac:dyDescent="0.35">
      <c r="A80" s="4" t="s">
        <v>154</v>
      </c>
      <c r="B80">
        <v>1</v>
      </c>
    </row>
    <row r="81" spans="1:2" x14ac:dyDescent="0.35">
      <c r="A81" s="4" t="s">
        <v>78</v>
      </c>
      <c r="B81">
        <v>1</v>
      </c>
    </row>
    <row r="82" spans="1:2" x14ac:dyDescent="0.35">
      <c r="A82" s="4" t="s">
        <v>56</v>
      </c>
      <c r="B82">
        <v>1</v>
      </c>
    </row>
    <row r="83" spans="1:2" x14ac:dyDescent="0.35">
      <c r="A83" s="4" t="s">
        <v>31</v>
      </c>
      <c r="B83">
        <v>1</v>
      </c>
    </row>
    <row r="84" spans="1:2" x14ac:dyDescent="0.35">
      <c r="A84" s="4" t="s">
        <v>206</v>
      </c>
      <c r="B84">
        <v>1</v>
      </c>
    </row>
    <row r="85" spans="1:2" x14ac:dyDescent="0.35">
      <c r="A85" s="4" t="s">
        <v>81</v>
      </c>
      <c r="B85">
        <v>1</v>
      </c>
    </row>
    <row r="86" spans="1:2" x14ac:dyDescent="0.35">
      <c r="A86" s="4" t="s">
        <v>58</v>
      </c>
      <c r="B86">
        <v>1</v>
      </c>
    </row>
    <row r="87" spans="1:2" x14ac:dyDescent="0.35">
      <c r="A87" s="4" t="s">
        <v>32</v>
      </c>
      <c r="B87">
        <v>1</v>
      </c>
    </row>
    <row r="88" spans="1:2" x14ac:dyDescent="0.35">
      <c r="A88" s="4" t="s">
        <v>59</v>
      </c>
      <c r="B88">
        <v>1</v>
      </c>
    </row>
    <row r="89" spans="1:2" x14ac:dyDescent="0.35">
      <c r="A89" s="4" t="s">
        <v>183</v>
      </c>
      <c r="B89">
        <v>1</v>
      </c>
    </row>
    <row r="90" spans="1:2" x14ac:dyDescent="0.35">
      <c r="A90" s="4" t="s">
        <v>60</v>
      </c>
      <c r="B90">
        <v>1</v>
      </c>
    </row>
    <row r="91" spans="1:2" x14ac:dyDescent="0.35">
      <c r="A91" s="4" t="s">
        <v>148</v>
      </c>
      <c r="B91">
        <v>1</v>
      </c>
    </row>
    <row r="92" spans="1:2" x14ac:dyDescent="0.35">
      <c r="A92" s="4" t="s">
        <v>61</v>
      </c>
      <c r="B92">
        <v>1</v>
      </c>
    </row>
    <row r="93" spans="1:2" x14ac:dyDescent="0.35">
      <c r="A93" s="4" t="s">
        <v>167</v>
      </c>
      <c r="B93">
        <v>1</v>
      </c>
    </row>
    <row r="94" spans="1:2" x14ac:dyDescent="0.35">
      <c r="A94" s="4" t="s">
        <v>218</v>
      </c>
      <c r="B94">
        <v>142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11EED0-BAA2-4D10-84A9-95FBFB68478D}">
  <dimension ref="A3:B59"/>
  <sheetViews>
    <sheetView workbookViewId="0">
      <selection activeCell="E1" sqref="E1"/>
    </sheetView>
  </sheetViews>
  <sheetFormatPr baseColWidth="10" defaultRowHeight="14.5" x14ac:dyDescent="0.35"/>
  <cols>
    <col min="1" max="1" width="46" bestFit="1" customWidth="1"/>
    <col min="2" max="2" width="53.26953125" bestFit="1" customWidth="1"/>
  </cols>
  <sheetData>
    <row r="3" spans="1:2" x14ac:dyDescent="0.35">
      <c r="A3" s="3" t="s">
        <v>217</v>
      </c>
      <c r="B3" t="s">
        <v>242</v>
      </c>
    </row>
    <row r="4" spans="1:2" x14ac:dyDescent="0.35">
      <c r="A4" s="4" t="s">
        <v>210</v>
      </c>
      <c r="B4">
        <v>5</v>
      </c>
    </row>
    <row r="5" spans="1:2" x14ac:dyDescent="0.35">
      <c r="A5" s="4" t="s">
        <v>192</v>
      </c>
      <c r="B5">
        <v>4</v>
      </c>
    </row>
    <row r="6" spans="1:2" x14ac:dyDescent="0.35">
      <c r="A6" s="4" t="s">
        <v>110</v>
      </c>
      <c r="B6">
        <v>4</v>
      </c>
    </row>
    <row r="7" spans="1:2" x14ac:dyDescent="0.35">
      <c r="A7" s="4" t="s">
        <v>57</v>
      </c>
      <c r="B7">
        <v>4</v>
      </c>
    </row>
    <row r="8" spans="1:2" x14ac:dyDescent="0.35">
      <c r="A8" s="4" t="s">
        <v>60</v>
      </c>
      <c r="B8">
        <v>4</v>
      </c>
    </row>
    <row r="9" spans="1:2" x14ac:dyDescent="0.35">
      <c r="A9" s="4" t="s">
        <v>21</v>
      </c>
      <c r="B9">
        <v>4</v>
      </c>
    </row>
    <row r="10" spans="1:2" x14ac:dyDescent="0.35">
      <c r="A10" s="4" t="s">
        <v>150</v>
      </c>
      <c r="B10">
        <v>4</v>
      </c>
    </row>
    <row r="11" spans="1:2" x14ac:dyDescent="0.35">
      <c r="A11" s="4" t="s">
        <v>116</v>
      </c>
      <c r="B11">
        <v>3</v>
      </c>
    </row>
    <row r="12" spans="1:2" x14ac:dyDescent="0.35">
      <c r="A12" s="4" t="s">
        <v>213</v>
      </c>
      <c r="B12">
        <v>3</v>
      </c>
    </row>
    <row r="13" spans="1:2" x14ac:dyDescent="0.35">
      <c r="A13" s="4" t="s">
        <v>179</v>
      </c>
      <c r="B13">
        <v>3</v>
      </c>
    </row>
    <row r="14" spans="1:2" x14ac:dyDescent="0.35">
      <c r="A14" s="4" t="s">
        <v>113</v>
      </c>
      <c r="B14">
        <v>3</v>
      </c>
    </row>
    <row r="15" spans="1:2" x14ac:dyDescent="0.35">
      <c r="A15" s="4" t="s">
        <v>208</v>
      </c>
      <c r="B15">
        <v>3</v>
      </c>
    </row>
    <row r="16" spans="1:2" x14ac:dyDescent="0.35">
      <c r="A16" s="4" t="s">
        <v>212</v>
      </c>
      <c r="B16">
        <v>3</v>
      </c>
    </row>
    <row r="17" spans="1:2" x14ac:dyDescent="0.35">
      <c r="A17" s="4" t="s">
        <v>90</v>
      </c>
      <c r="B17">
        <v>2</v>
      </c>
    </row>
    <row r="18" spans="1:2" x14ac:dyDescent="0.35">
      <c r="A18" s="4" t="s">
        <v>7</v>
      </c>
      <c r="B18">
        <v>2</v>
      </c>
    </row>
    <row r="19" spans="1:2" x14ac:dyDescent="0.35">
      <c r="A19" s="4" t="s">
        <v>87</v>
      </c>
      <c r="B19">
        <v>2</v>
      </c>
    </row>
    <row r="20" spans="1:2" x14ac:dyDescent="0.35">
      <c r="A20" s="4" t="s">
        <v>133</v>
      </c>
      <c r="B20">
        <v>2</v>
      </c>
    </row>
    <row r="21" spans="1:2" x14ac:dyDescent="0.35">
      <c r="A21" s="4" t="s">
        <v>43</v>
      </c>
      <c r="B21">
        <v>2</v>
      </c>
    </row>
    <row r="22" spans="1:2" x14ac:dyDescent="0.35">
      <c r="A22" s="4" t="s">
        <v>211</v>
      </c>
      <c r="B22">
        <v>2</v>
      </c>
    </row>
    <row r="23" spans="1:2" x14ac:dyDescent="0.35">
      <c r="A23" s="4" t="s">
        <v>55</v>
      </c>
      <c r="B23">
        <v>2</v>
      </c>
    </row>
    <row r="24" spans="1:2" x14ac:dyDescent="0.35">
      <c r="A24" s="4" t="s">
        <v>178</v>
      </c>
      <c r="B24">
        <v>2</v>
      </c>
    </row>
    <row r="25" spans="1:2" x14ac:dyDescent="0.35">
      <c r="A25" s="4" t="s">
        <v>84</v>
      </c>
      <c r="B25">
        <v>2</v>
      </c>
    </row>
    <row r="26" spans="1:2" x14ac:dyDescent="0.35">
      <c r="A26" s="4" t="s">
        <v>8</v>
      </c>
      <c r="B26">
        <v>2</v>
      </c>
    </row>
    <row r="27" spans="1:2" x14ac:dyDescent="0.35">
      <c r="A27" s="4" t="s">
        <v>186</v>
      </c>
      <c r="B27">
        <v>2</v>
      </c>
    </row>
    <row r="28" spans="1:2" x14ac:dyDescent="0.35">
      <c r="A28" s="4" t="s">
        <v>105</v>
      </c>
      <c r="B28">
        <v>1</v>
      </c>
    </row>
    <row r="29" spans="1:2" x14ac:dyDescent="0.35">
      <c r="A29" s="4" t="s">
        <v>144</v>
      </c>
      <c r="B29">
        <v>1</v>
      </c>
    </row>
    <row r="30" spans="1:2" x14ac:dyDescent="0.35">
      <c r="A30" s="4" t="s">
        <v>168</v>
      </c>
      <c r="B30">
        <v>1</v>
      </c>
    </row>
    <row r="31" spans="1:2" x14ac:dyDescent="0.35">
      <c r="A31" s="4" t="s">
        <v>191</v>
      </c>
      <c r="B31">
        <v>1</v>
      </c>
    </row>
    <row r="32" spans="1:2" x14ac:dyDescent="0.35">
      <c r="A32" s="4" t="s">
        <v>121</v>
      </c>
      <c r="B32">
        <v>1</v>
      </c>
    </row>
    <row r="33" spans="1:2" x14ac:dyDescent="0.35">
      <c r="A33" s="4" t="s">
        <v>181</v>
      </c>
      <c r="B33">
        <v>1</v>
      </c>
    </row>
    <row r="34" spans="1:2" x14ac:dyDescent="0.35">
      <c r="A34" s="4" t="s">
        <v>64</v>
      </c>
      <c r="B34">
        <v>1</v>
      </c>
    </row>
    <row r="35" spans="1:2" x14ac:dyDescent="0.35">
      <c r="A35" s="4" t="s">
        <v>165</v>
      </c>
      <c r="B35">
        <v>1</v>
      </c>
    </row>
    <row r="36" spans="1:2" x14ac:dyDescent="0.35">
      <c r="A36" s="4" t="s">
        <v>68</v>
      </c>
      <c r="B36">
        <v>1</v>
      </c>
    </row>
    <row r="37" spans="1:2" x14ac:dyDescent="0.35">
      <c r="A37" s="4" t="s">
        <v>103</v>
      </c>
      <c r="B37">
        <v>1</v>
      </c>
    </row>
    <row r="38" spans="1:2" x14ac:dyDescent="0.35">
      <c r="A38" s="4" t="s">
        <v>189</v>
      </c>
      <c r="B38">
        <v>1</v>
      </c>
    </row>
    <row r="39" spans="1:2" x14ac:dyDescent="0.35">
      <c r="A39" s="4" t="s">
        <v>147</v>
      </c>
      <c r="B39">
        <v>1</v>
      </c>
    </row>
    <row r="40" spans="1:2" x14ac:dyDescent="0.35">
      <c r="A40" s="4" t="s">
        <v>10</v>
      </c>
      <c r="B40">
        <v>1</v>
      </c>
    </row>
    <row r="41" spans="1:2" x14ac:dyDescent="0.35">
      <c r="A41" s="4" t="s">
        <v>109</v>
      </c>
      <c r="B41">
        <v>1</v>
      </c>
    </row>
    <row r="42" spans="1:2" x14ac:dyDescent="0.35">
      <c r="A42" s="4" t="s">
        <v>88</v>
      </c>
      <c r="B42">
        <v>1</v>
      </c>
    </row>
    <row r="43" spans="1:2" x14ac:dyDescent="0.35">
      <c r="A43" s="4" t="s">
        <v>44</v>
      </c>
      <c r="B43">
        <v>1</v>
      </c>
    </row>
    <row r="44" spans="1:2" x14ac:dyDescent="0.35">
      <c r="A44" s="4" t="s">
        <v>138</v>
      </c>
      <c r="B44">
        <v>1</v>
      </c>
    </row>
    <row r="45" spans="1:2" x14ac:dyDescent="0.35">
      <c r="A45" s="4" t="s">
        <v>14</v>
      </c>
      <c r="B45">
        <v>1</v>
      </c>
    </row>
    <row r="46" spans="1:2" x14ac:dyDescent="0.35">
      <c r="A46" s="4" t="s">
        <v>164</v>
      </c>
      <c r="B46">
        <v>1</v>
      </c>
    </row>
    <row r="47" spans="1:2" x14ac:dyDescent="0.35">
      <c r="A47" s="4" t="s">
        <v>216</v>
      </c>
      <c r="B47">
        <v>1</v>
      </c>
    </row>
    <row r="48" spans="1:2" x14ac:dyDescent="0.35">
      <c r="A48" s="4" t="s">
        <v>143</v>
      </c>
      <c r="B48">
        <v>1</v>
      </c>
    </row>
    <row r="49" spans="1:2" x14ac:dyDescent="0.35">
      <c r="A49" s="4" t="s">
        <v>188</v>
      </c>
      <c r="B49">
        <v>1</v>
      </c>
    </row>
    <row r="50" spans="1:2" x14ac:dyDescent="0.35">
      <c r="A50" s="4" t="s">
        <v>82</v>
      </c>
      <c r="B50">
        <v>1</v>
      </c>
    </row>
    <row r="51" spans="1:2" x14ac:dyDescent="0.35">
      <c r="A51" s="4" t="s">
        <v>130</v>
      </c>
      <c r="B51">
        <v>1</v>
      </c>
    </row>
    <row r="52" spans="1:2" x14ac:dyDescent="0.35">
      <c r="A52" s="4" t="s">
        <v>132</v>
      </c>
      <c r="B52">
        <v>1</v>
      </c>
    </row>
    <row r="53" spans="1:2" x14ac:dyDescent="0.35">
      <c r="A53" s="4" t="s">
        <v>85</v>
      </c>
      <c r="B53">
        <v>1</v>
      </c>
    </row>
    <row r="54" spans="1:2" x14ac:dyDescent="0.35">
      <c r="A54" s="4" t="s">
        <v>180</v>
      </c>
      <c r="B54">
        <v>1</v>
      </c>
    </row>
    <row r="55" spans="1:2" x14ac:dyDescent="0.35">
      <c r="A55" s="4" t="s">
        <v>209</v>
      </c>
      <c r="B55">
        <v>1</v>
      </c>
    </row>
    <row r="56" spans="1:2" x14ac:dyDescent="0.35">
      <c r="A56" s="4" t="s">
        <v>39</v>
      </c>
      <c r="B56">
        <v>1</v>
      </c>
    </row>
    <row r="57" spans="1:2" x14ac:dyDescent="0.35">
      <c r="A57" s="4" t="s">
        <v>89</v>
      </c>
      <c r="B57">
        <v>1</v>
      </c>
    </row>
    <row r="58" spans="1:2" x14ac:dyDescent="0.35">
      <c r="A58" s="4" t="s">
        <v>161</v>
      </c>
      <c r="B58">
        <v>1</v>
      </c>
    </row>
    <row r="59" spans="1:2" x14ac:dyDescent="0.35">
      <c r="A59" s="4" t="s">
        <v>218</v>
      </c>
      <c r="B59">
        <v>100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5F4000-8643-462C-BBB1-1D6DAF740F99}">
  <dimension ref="A1:L388"/>
  <sheetViews>
    <sheetView workbookViewId="0">
      <selection activeCell="G18" sqref="G18"/>
    </sheetView>
  </sheetViews>
  <sheetFormatPr baseColWidth="10" defaultRowHeight="14.5" x14ac:dyDescent="0.35"/>
  <cols>
    <col min="2" max="2" width="10.90625" style="10"/>
    <col min="3" max="3" width="26.54296875" customWidth="1"/>
    <col min="7" max="7" width="32.54296875" customWidth="1"/>
    <col min="10" max="10" width="15.36328125" customWidth="1"/>
    <col min="12" max="12" width="14.81640625" bestFit="1" customWidth="1"/>
  </cols>
  <sheetData>
    <row r="1" spans="1:12" x14ac:dyDescent="0.35">
      <c r="A1" s="5" t="s">
        <v>171</v>
      </c>
      <c r="B1" s="12"/>
      <c r="C1" s="5" t="s">
        <v>97</v>
      </c>
      <c r="D1" s="5" t="s">
        <v>238</v>
      </c>
      <c r="G1" s="15" t="s">
        <v>258</v>
      </c>
      <c r="H1" s="17" t="s">
        <v>259</v>
      </c>
      <c r="I1" s="15" t="s">
        <v>260</v>
      </c>
      <c r="J1" s="15" t="s">
        <v>261</v>
      </c>
      <c r="K1" s="15" t="s">
        <v>262</v>
      </c>
      <c r="L1" s="15" t="s">
        <v>263</v>
      </c>
    </row>
    <row r="2" spans="1:12" x14ac:dyDescent="0.35">
      <c r="A2" s="5">
        <v>100000036</v>
      </c>
      <c r="B2" s="12">
        <v>209052</v>
      </c>
      <c r="C2" s="5" t="s">
        <v>3</v>
      </c>
      <c r="D2" s="5">
        <v>2023</v>
      </c>
      <c r="G2" s="5" t="s">
        <v>264</v>
      </c>
      <c r="H2" s="16">
        <v>103009</v>
      </c>
      <c r="I2" s="14" t="s">
        <v>265</v>
      </c>
      <c r="J2" s="14" t="s">
        <v>266</v>
      </c>
      <c r="K2" s="14" t="s">
        <v>267</v>
      </c>
      <c r="L2" s="14" t="s">
        <v>268</v>
      </c>
    </row>
    <row r="3" spans="1:12" x14ac:dyDescent="0.35">
      <c r="A3" s="5">
        <v>100000172</v>
      </c>
      <c r="B3" s="12">
        <v>104005</v>
      </c>
      <c r="C3" s="5" t="s">
        <v>104</v>
      </c>
      <c r="D3" s="5">
        <v>2023</v>
      </c>
      <c r="G3" s="5" t="s">
        <v>269</v>
      </c>
      <c r="H3" s="16">
        <v>106042</v>
      </c>
      <c r="I3" s="14" t="s">
        <v>265</v>
      </c>
      <c r="J3" s="14" t="s">
        <v>266</v>
      </c>
      <c r="K3" s="14" t="s">
        <v>267</v>
      </c>
      <c r="L3" s="14" t="s">
        <v>270</v>
      </c>
    </row>
    <row r="4" spans="1:12" x14ac:dyDescent="0.35">
      <c r="A4" s="5">
        <v>100002092</v>
      </c>
      <c r="B4" s="12">
        <v>209003</v>
      </c>
      <c r="C4" s="5" t="s">
        <v>12</v>
      </c>
      <c r="D4" s="5">
        <v>2023</v>
      </c>
      <c r="G4" s="5" t="s">
        <v>271</v>
      </c>
      <c r="H4" s="16">
        <v>108023</v>
      </c>
      <c r="I4" s="14" t="s">
        <v>265</v>
      </c>
      <c r="J4" s="14" t="s">
        <v>272</v>
      </c>
      <c r="K4" s="14" t="s">
        <v>273</v>
      </c>
      <c r="L4" s="14" t="s">
        <v>274</v>
      </c>
    </row>
    <row r="5" spans="1:12" x14ac:dyDescent="0.35">
      <c r="A5" s="5">
        <v>100000241</v>
      </c>
      <c r="B5" s="12">
        <v>106006</v>
      </c>
      <c r="C5" s="5" t="s">
        <v>107</v>
      </c>
      <c r="D5" s="5">
        <v>2023</v>
      </c>
      <c r="G5" s="5" t="s">
        <v>275</v>
      </c>
      <c r="H5" s="16">
        <v>106030</v>
      </c>
      <c r="I5" s="14" t="s">
        <v>265</v>
      </c>
      <c r="J5" s="14" t="s">
        <v>272</v>
      </c>
      <c r="K5" s="14" t="s">
        <v>276</v>
      </c>
      <c r="L5" s="14" t="s">
        <v>277</v>
      </c>
    </row>
    <row r="6" spans="1:12" x14ac:dyDescent="0.35">
      <c r="A6" s="5">
        <v>100000379</v>
      </c>
      <c r="B6" s="12">
        <v>103033</v>
      </c>
      <c r="C6" s="5" t="s">
        <v>20</v>
      </c>
      <c r="D6" s="5">
        <v>2023</v>
      </c>
      <c r="G6" s="5" t="s">
        <v>278</v>
      </c>
      <c r="H6" s="16">
        <v>106044</v>
      </c>
      <c r="I6" s="14" t="s">
        <v>265</v>
      </c>
      <c r="J6" s="14" t="s">
        <v>266</v>
      </c>
      <c r="K6" s="14" t="s">
        <v>267</v>
      </c>
      <c r="L6" s="14" t="s">
        <v>279</v>
      </c>
    </row>
    <row r="7" spans="1:12" x14ac:dyDescent="0.35">
      <c r="A7" s="5">
        <v>100003905</v>
      </c>
      <c r="B7" s="12" t="s">
        <v>257</v>
      </c>
      <c r="C7" s="5" t="s">
        <v>191</v>
      </c>
      <c r="D7" s="5">
        <v>2023</v>
      </c>
      <c r="G7" s="5" t="s">
        <v>280</v>
      </c>
      <c r="H7" s="16">
        <v>106090</v>
      </c>
      <c r="I7" s="14" t="s">
        <v>281</v>
      </c>
      <c r="J7" s="14" t="s">
        <v>272</v>
      </c>
      <c r="K7" s="14" t="s">
        <v>276</v>
      </c>
      <c r="L7" s="14" t="s">
        <v>282</v>
      </c>
    </row>
    <row r="8" spans="1:12" x14ac:dyDescent="0.35">
      <c r="A8" s="5">
        <v>100000777</v>
      </c>
      <c r="B8" s="12">
        <v>106094</v>
      </c>
      <c r="C8" s="5" t="s">
        <v>37</v>
      </c>
      <c r="D8" s="5">
        <v>2023</v>
      </c>
      <c r="G8" s="5" t="s">
        <v>283</v>
      </c>
      <c r="H8" s="16">
        <v>106009</v>
      </c>
      <c r="I8" s="14" t="s">
        <v>265</v>
      </c>
      <c r="J8" s="14" t="s">
        <v>266</v>
      </c>
      <c r="K8" s="14" t="s">
        <v>273</v>
      </c>
      <c r="L8" s="14" t="s">
        <v>282</v>
      </c>
    </row>
    <row r="9" spans="1:12" x14ac:dyDescent="0.35">
      <c r="A9" s="5">
        <v>100002047</v>
      </c>
      <c r="B9" s="12">
        <v>101015</v>
      </c>
      <c r="C9" s="5" t="s">
        <v>38</v>
      </c>
      <c r="D9" s="5">
        <v>2023</v>
      </c>
      <c r="G9" s="5" t="s">
        <v>284</v>
      </c>
      <c r="H9" s="16" t="s">
        <v>285</v>
      </c>
      <c r="I9" s="14" t="s">
        <v>265</v>
      </c>
      <c r="J9" s="14" t="s">
        <v>266</v>
      </c>
      <c r="K9" s="14" t="s">
        <v>267</v>
      </c>
      <c r="L9" s="14" t="s">
        <v>282</v>
      </c>
    </row>
    <row r="10" spans="1:12" x14ac:dyDescent="0.35">
      <c r="A10" s="5">
        <v>100000810</v>
      </c>
      <c r="B10" s="12">
        <v>103029</v>
      </c>
      <c r="C10" s="5" t="s">
        <v>160</v>
      </c>
      <c r="D10" s="5">
        <v>2023</v>
      </c>
      <c r="G10" s="5" t="s">
        <v>286</v>
      </c>
      <c r="H10" s="16" t="s">
        <v>285</v>
      </c>
      <c r="I10" s="14" t="s">
        <v>281</v>
      </c>
      <c r="J10" s="14" t="s">
        <v>266</v>
      </c>
      <c r="K10" s="14" t="s">
        <v>267</v>
      </c>
      <c r="L10" s="14" t="s">
        <v>287</v>
      </c>
    </row>
    <row r="11" spans="1:12" x14ac:dyDescent="0.35">
      <c r="A11" s="5">
        <v>100000921</v>
      </c>
      <c r="B11" s="12">
        <v>102164</v>
      </c>
      <c r="C11" s="5" t="s">
        <v>127</v>
      </c>
      <c r="D11" s="5">
        <v>2023</v>
      </c>
      <c r="G11" s="5" t="s">
        <v>288</v>
      </c>
      <c r="H11" s="16">
        <v>422001</v>
      </c>
      <c r="I11" s="14" t="s">
        <v>281</v>
      </c>
      <c r="J11" s="14" t="s">
        <v>272</v>
      </c>
      <c r="K11" s="14" t="s">
        <v>276</v>
      </c>
      <c r="L11" s="14" t="s">
        <v>287</v>
      </c>
    </row>
    <row r="12" spans="1:12" x14ac:dyDescent="0.35">
      <c r="A12" s="5">
        <v>100001012</v>
      </c>
      <c r="B12" s="12" t="s">
        <v>257</v>
      </c>
      <c r="C12" s="5" t="s">
        <v>220</v>
      </c>
      <c r="D12" s="5">
        <v>2023</v>
      </c>
      <c r="G12" s="5" t="s">
        <v>289</v>
      </c>
      <c r="H12" s="16">
        <v>101034</v>
      </c>
      <c r="I12" s="14" t="s">
        <v>281</v>
      </c>
      <c r="J12" s="14" t="s">
        <v>272</v>
      </c>
      <c r="K12" s="14" t="s">
        <v>276</v>
      </c>
      <c r="L12" s="14" t="s">
        <v>287</v>
      </c>
    </row>
    <row r="13" spans="1:12" x14ac:dyDescent="0.35">
      <c r="A13" s="5">
        <v>100001306</v>
      </c>
      <c r="B13" s="12">
        <v>108024</v>
      </c>
      <c r="C13" s="5" t="s">
        <v>141</v>
      </c>
      <c r="D13" s="5">
        <v>2023</v>
      </c>
      <c r="G13" s="5" t="s">
        <v>290</v>
      </c>
      <c r="H13" s="16">
        <v>209014</v>
      </c>
      <c r="I13" s="14" t="s">
        <v>281</v>
      </c>
      <c r="J13" s="14" t="s">
        <v>272</v>
      </c>
      <c r="K13" s="14" t="s">
        <v>273</v>
      </c>
      <c r="L13" s="14" t="s">
        <v>287</v>
      </c>
    </row>
    <row r="14" spans="1:12" x14ac:dyDescent="0.35">
      <c r="A14" s="5">
        <v>100000044</v>
      </c>
      <c r="B14" s="12">
        <v>108017</v>
      </c>
      <c r="C14" s="5" t="s">
        <v>5</v>
      </c>
      <c r="D14" s="5">
        <v>2023</v>
      </c>
      <c r="G14" s="5" t="s">
        <v>291</v>
      </c>
      <c r="H14" s="16" t="s">
        <v>285</v>
      </c>
      <c r="I14" s="14" t="s">
        <v>265</v>
      </c>
      <c r="J14" s="14" t="s">
        <v>266</v>
      </c>
      <c r="K14" s="14" t="s">
        <v>267</v>
      </c>
      <c r="L14" s="14" t="s">
        <v>287</v>
      </c>
    </row>
    <row r="15" spans="1:12" x14ac:dyDescent="0.35">
      <c r="A15" s="5">
        <v>100005282</v>
      </c>
      <c r="B15" s="12">
        <v>102146</v>
      </c>
      <c r="C15" s="5" t="s">
        <v>178</v>
      </c>
      <c r="D15" s="5">
        <v>2023</v>
      </c>
      <c r="G15" s="5" t="s">
        <v>292</v>
      </c>
      <c r="H15" s="16">
        <v>101017</v>
      </c>
      <c r="I15" s="14" t="s">
        <v>281</v>
      </c>
      <c r="J15" s="14" t="s">
        <v>272</v>
      </c>
      <c r="K15" s="14" t="s">
        <v>273</v>
      </c>
      <c r="L15" s="14" t="s">
        <v>287</v>
      </c>
    </row>
    <row r="16" spans="1:12" x14ac:dyDescent="0.35">
      <c r="A16" s="5">
        <v>100003905</v>
      </c>
      <c r="B16" s="12" t="s">
        <v>257</v>
      </c>
      <c r="C16" s="5" t="s">
        <v>191</v>
      </c>
      <c r="D16" s="5">
        <v>2023</v>
      </c>
      <c r="K16" s="14"/>
      <c r="L16" s="14"/>
    </row>
    <row r="17" spans="1:12" x14ac:dyDescent="0.35">
      <c r="A17" s="5">
        <v>100002903</v>
      </c>
      <c r="B17" s="12">
        <v>102093</v>
      </c>
      <c r="C17" s="5" t="s">
        <v>221</v>
      </c>
      <c r="D17" s="5">
        <v>2023</v>
      </c>
      <c r="K17" s="14"/>
      <c r="L17" s="14"/>
    </row>
    <row r="18" spans="1:12" x14ac:dyDescent="0.35">
      <c r="A18" s="5">
        <v>100004642</v>
      </c>
      <c r="B18" s="12">
        <v>209155</v>
      </c>
      <c r="C18" s="5" t="s">
        <v>88</v>
      </c>
      <c r="D18" s="5">
        <v>2023</v>
      </c>
      <c r="K18" s="14"/>
      <c r="L18" s="14"/>
    </row>
    <row r="19" spans="1:12" x14ac:dyDescent="0.35">
      <c r="A19" s="5">
        <v>100000729</v>
      </c>
      <c r="B19" s="12">
        <v>108002</v>
      </c>
      <c r="C19" s="5" t="s">
        <v>123</v>
      </c>
      <c r="D19" s="5">
        <v>2023</v>
      </c>
      <c r="K19" s="14"/>
      <c r="L19" s="14"/>
    </row>
    <row r="20" spans="1:12" x14ac:dyDescent="0.35">
      <c r="A20" s="5">
        <v>100002361</v>
      </c>
      <c r="B20" s="12">
        <v>108004</v>
      </c>
      <c r="C20" s="5" t="s">
        <v>158</v>
      </c>
      <c r="D20" s="5">
        <v>2023</v>
      </c>
      <c r="K20" s="14"/>
      <c r="L20" s="14"/>
    </row>
    <row r="21" spans="1:12" x14ac:dyDescent="0.35">
      <c r="A21" s="5">
        <v>100000735</v>
      </c>
      <c r="B21" s="12">
        <v>108009</v>
      </c>
      <c r="C21" s="5" t="s">
        <v>222</v>
      </c>
      <c r="D21" s="5">
        <v>2023</v>
      </c>
      <c r="K21" s="14"/>
      <c r="L21" s="14"/>
    </row>
    <row r="22" spans="1:12" x14ac:dyDescent="0.35">
      <c r="A22" s="5">
        <v>100000735</v>
      </c>
      <c r="B22" s="12">
        <v>108009</v>
      </c>
      <c r="C22" s="5" t="s">
        <v>222</v>
      </c>
      <c r="D22" s="5">
        <v>2023</v>
      </c>
      <c r="K22" s="14"/>
      <c r="L22" s="14"/>
    </row>
    <row r="23" spans="1:12" x14ac:dyDescent="0.35">
      <c r="A23" s="5">
        <v>100000733</v>
      </c>
      <c r="B23" s="12">
        <v>108010</v>
      </c>
      <c r="C23" s="5" t="s">
        <v>152</v>
      </c>
      <c r="D23" s="5">
        <v>2023</v>
      </c>
      <c r="K23" s="14"/>
      <c r="L23" s="14"/>
    </row>
    <row r="24" spans="1:12" x14ac:dyDescent="0.35">
      <c r="A24" s="5">
        <v>100003979</v>
      </c>
      <c r="B24" s="12">
        <v>101052</v>
      </c>
      <c r="C24" s="5" t="s">
        <v>146</v>
      </c>
      <c r="D24" s="5">
        <v>2023</v>
      </c>
      <c r="K24" s="14"/>
      <c r="L24" s="14"/>
    </row>
    <row r="25" spans="1:12" x14ac:dyDescent="0.35">
      <c r="A25" s="5">
        <v>100004982</v>
      </c>
      <c r="B25" s="12">
        <v>101058</v>
      </c>
      <c r="C25" s="5" t="s">
        <v>4</v>
      </c>
      <c r="D25" s="5">
        <v>2023</v>
      </c>
      <c r="K25" s="14"/>
      <c r="L25" s="14"/>
    </row>
    <row r="26" spans="1:12" x14ac:dyDescent="0.35">
      <c r="A26" s="5">
        <v>100000128</v>
      </c>
      <c r="B26" s="12" t="s">
        <v>257</v>
      </c>
      <c r="C26" s="5" t="s">
        <v>223</v>
      </c>
      <c r="D26" s="5">
        <v>2023</v>
      </c>
      <c r="K26" s="14"/>
      <c r="L26" s="14"/>
    </row>
    <row r="27" spans="1:12" x14ac:dyDescent="0.35">
      <c r="A27" s="5">
        <v>100000582</v>
      </c>
      <c r="B27" s="12">
        <v>103044</v>
      </c>
      <c r="C27" s="5" t="s">
        <v>117</v>
      </c>
      <c r="D27" s="5">
        <v>2023</v>
      </c>
      <c r="K27" s="14"/>
      <c r="L27" s="14"/>
    </row>
    <row r="28" spans="1:12" x14ac:dyDescent="0.35">
      <c r="A28" s="5">
        <v>100000629</v>
      </c>
      <c r="B28" s="12">
        <v>102034</v>
      </c>
      <c r="C28" s="5" t="s">
        <v>157</v>
      </c>
      <c r="D28" s="5">
        <v>2023</v>
      </c>
      <c r="K28" s="14"/>
      <c r="L28" s="14"/>
    </row>
    <row r="29" spans="1:12" x14ac:dyDescent="0.35">
      <c r="A29" s="5">
        <v>100000730</v>
      </c>
      <c r="B29" s="12">
        <v>106025</v>
      </c>
      <c r="C29" s="5" t="s">
        <v>196</v>
      </c>
      <c r="D29" s="5">
        <v>2023</v>
      </c>
      <c r="K29" s="14"/>
      <c r="L29" s="14"/>
    </row>
    <row r="30" spans="1:12" x14ac:dyDescent="0.35">
      <c r="A30" s="5">
        <v>100000733</v>
      </c>
      <c r="B30" s="12">
        <v>108010</v>
      </c>
      <c r="C30" s="5" t="s">
        <v>152</v>
      </c>
      <c r="D30" s="5">
        <v>2023</v>
      </c>
      <c r="K30" s="14"/>
      <c r="L30" s="14"/>
    </row>
    <row r="31" spans="1:12" x14ac:dyDescent="0.35">
      <c r="A31" s="5">
        <v>100000824</v>
      </c>
      <c r="B31" s="12">
        <v>106057</v>
      </c>
      <c r="C31" s="5" t="s">
        <v>162</v>
      </c>
      <c r="D31" s="5">
        <v>2023</v>
      </c>
      <c r="K31" s="14"/>
      <c r="L31" s="14"/>
    </row>
    <row r="32" spans="1:12" x14ac:dyDescent="0.35">
      <c r="A32" s="5">
        <v>100000983</v>
      </c>
      <c r="B32" s="12">
        <v>108012</v>
      </c>
      <c r="C32" s="5" t="s">
        <v>166</v>
      </c>
      <c r="D32" s="5">
        <v>2023</v>
      </c>
      <c r="K32" s="14"/>
      <c r="L32" s="14"/>
    </row>
    <row r="33" spans="1:12" x14ac:dyDescent="0.35">
      <c r="A33" s="5">
        <v>100001012</v>
      </c>
      <c r="B33" s="12" t="s">
        <v>257</v>
      </c>
      <c r="C33" s="5" t="s">
        <v>220</v>
      </c>
      <c r="D33" s="5">
        <v>2023</v>
      </c>
      <c r="K33" s="14"/>
      <c r="L33" s="14"/>
    </row>
    <row r="34" spans="1:12" x14ac:dyDescent="0.35">
      <c r="A34" s="5">
        <v>100001021</v>
      </c>
      <c r="B34" s="12">
        <v>104020</v>
      </c>
      <c r="C34" s="5" t="s">
        <v>224</v>
      </c>
      <c r="D34" s="5">
        <v>2023</v>
      </c>
      <c r="K34" s="14"/>
      <c r="L34" s="14"/>
    </row>
    <row r="35" spans="1:12" x14ac:dyDescent="0.35">
      <c r="A35" s="5">
        <v>100003231</v>
      </c>
      <c r="B35" s="12">
        <v>102084</v>
      </c>
      <c r="C35" s="5" t="s">
        <v>54</v>
      </c>
      <c r="D35" s="5">
        <v>2023</v>
      </c>
      <c r="K35" s="14"/>
      <c r="L35" s="14"/>
    </row>
    <row r="36" spans="1:12" x14ac:dyDescent="0.35">
      <c r="A36" s="5">
        <v>100001243</v>
      </c>
      <c r="B36" s="12">
        <v>102026</v>
      </c>
      <c r="C36" s="5" t="s">
        <v>69</v>
      </c>
      <c r="D36" s="5">
        <v>2023</v>
      </c>
      <c r="K36" s="14"/>
      <c r="L36" s="14"/>
    </row>
    <row r="37" spans="1:12" x14ac:dyDescent="0.35">
      <c r="A37" s="5">
        <v>100001309</v>
      </c>
      <c r="B37" s="12" t="s">
        <v>257</v>
      </c>
      <c r="C37" s="5" t="s">
        <v>225</v>
      </c>
      <c r="D37" s="5">
        <v>2023</v>
      </c>
      <c r="K37" s="14"/>
      <c r="L37" s="14"/>
    </row>
    <row r="38" spans="1:12" x14ac:dyDescent="0.35">
      <c r="A38" s="5">
        <v>100005314</v>
      </c>
      <c r="B38" s="12">
        <v>209106</v>
      </c>
      <c r="C38" s="5" t="s">
        <v>145</v>
      </c>
      <c r="D38" s="5">
        <v>2023</v>
      </c>
      <c r="K38" s="14"/>
      <c r="L38" s="14"/>
    </row>
    <row r="39" spans="1:12" x14ac:dyDescent="0.35">
      <c r="A39" s="5">
        <v>100000388</v>
      </c>
      <c r="B39" s="12">
        <v>103009</v>
      </c>
      <c r="C39" s="5" t="s">
        <v>151</v>
      </c>
      <c r="D39" s="5">
        <v>2023</v>
      </c>
      <c r="K39" s="14"/>
      <c r="L39" s="14"/>
    </row>
    <row r="40" spans="1:12" x14ac:dyDescent="0.35">
      <c r="A40" s="5">
        <v>100003905</v>
      </c>
      <c r="B40" s="12" t="s">
        <v>257</v>
      </c>
      <c r="C40" s="5" t="s">
        <v>191</v>
      </c>
      <c r="D40" s="5">
        <v>2023</v>
      </c>
      <c r="K40" s="14"/>
      <c r="L40" s="14"/>
    </row>
    <row r="41" spans="1:12" x14ac:dyDescent="0.35">
      <c r="A41" s="5">
        <v>100000585</v>
      </c>
      <c r="B41" s="12">
        <v>106072</v>
      </c>
      <c r="C41" s="5" t="s">
        <v>118</v>
      </c>
      <c r="D41" s="5">
        <v>2023</v>
      </c>
      <c r="K41" s="14"/>
      <c r="L41" s="14"/>
    </row>
    <row r="42" spans="1:12" x14ac:dyDescent="0.35">
      <c r="A42" s="5">
        <v>100000766</v>
      </c>
      <c r="B42" s="12">
        <v>106027</v>
      </c>
      <c r="C42" s="5" t="s">
        <v>35</v>
      </c>
      <c r="D42" s="5">
        <v>2023</v>
      </c>
      <c r="K42" s="14"/>
      <c r="L42" s="14"/>
    </row>
    <row r="43" spans="1:12" x14ac:dyDescent="0.35">
      <c r="A43" s="5">
        <v>100004906</v>
      </c>
      <c r="B43" s="12">
        <v>102047</v>
      </c>
      <c r="C43" s="5" t="s">
        <v>63</v>
      </c>
      <c r="D43" s="5">
        <v>2023</v>
      </c>
      <c r="K43" s="14"/>
      <c r="L43" s="14"/>
    </row>
    <row r="44" spans="1:12" x14ac:dyDescent="0.35">
      <c r="A44" s="5">
        <v>100003903</v>
      </c>
      <c r="B44" s="12">
        <v>102048</v>
      </c>
      <c r="C44" s="5" t="s">
        <v>64</v>
      </c>
      <c r="D44" s="5">
        <v>2023</v>
      </c>
      <c r="K44" s="14"/>
      <c r="L44" s="14"/>
    </row>
    <row r="45" spans="1:12" x14ac:dyDescent="0.35">
      <c r="A45" s="5">
        <v>100001295</v>
      </c>
      <c r="B45" s="12">
        <v>101005</v>
      </c>
      <c r="C45" s="5" t="s">
        <v>140</v>
      </c>
      <c r="D45" s="5">
        <v>2023</v>
      </c>
      <c r="K45" s="14"/>
      <c r="L45" s="14"/>
    </row>
    <row r="46" spans="1:12" x14ac:dyDescent="0.35">
      <c r="A46" s="5">
        <v>100001470</v>
      </c>
      <c r="B46" s="12">
        <v>102154</v>
      </c>
      <c r="C46" s="5" t="s">
        <v>226</v>
      </c>
      <c r="D46" s="5">
        <v>2023</v>
      </c>
      <c r="K46" s="14"/>
      <c r="L46" s="14"/>
    </row>
    <row r="47" spans="1:12" x14ac:dyDescent="0.35">
      <c r="A47" s="5">
        <v>100000194</v>
      </c>
      <c r="B47" s="12">
        <v>106004</v>
      </c>
      <c r="C47" s="5" t="s">
        <v>105</v>
      </c>
      <c r="D47" s="5">
        <v>2023</v>
      </c>
      <c r="K47" s="14"/>
      <c r="L47" s="14"/>
    </row>
    <row r="48" spans="1:12" x14ac:dyDescent="0.35">
      <c r="A48" s="5">
        <v>100000353</v>
      </c>
      <c r="B48" s="12">
        <v>103005</v>
      </c>
      <c r="C48" s="5" t="s">
        <v>19</v>
      </c>
      <c r="D48" s="5">
        <v>2023</v>
      </c>
      <c r="K48" s="14"/>
      <c r="L48" s="14"/>
    </row>
    <row r="49" spans="1:12" x14ac:dyDescent="0.35">
      <c r="A49" s="5">
        <v>100000388</v>
      </c>
      <c r="B49" s="12">
        <v>103009</v>
      </c>
      <c r="C49" s="5" t="s">
        <v>151</v>
      </c>
      <c r="D49" s="5">
        <v>2023</v>
      </c>
      <c r="K49" s="14"/>
      <c r="L49" s="14"/>
    </row>
    <row r="50" spans="1:12" x14ac:dyDescent="0.35">
      <c r="A50" s="5">
        <v>100003905</v>
      </c>
      <c r="B50" s="12" t="s">
        <v>257</v>
      </c>
      <c r="C50" s="5" t="s">
        <v>191</v>
      </c>
      <c r="D50" s="5">
        <v>2023</v>
      </c>
      <c r="K50" s="14"/>
      <c r="L50" s="14"/>
    </row>
    <row r="51" spans="1:12" x14ac:dyDescent="0.35">
      <c r="A51" s="5">
        <v>100000498</v>
      </c>
      <c r="B51" s="12">
        <v>106058</v>
      </c>
      <c r="C51" s="5" t="s">
        <v>114</v>
      </c>
      <c r="D51" s="5">
        <v>2023</v>
      </c>
      <c r="K51" s="14"/>
      <c r="L51" s="14"/>
    </row>
    <row r="52" spans="1:12" x14ac:dyDescent="0.35">
      <c r="A52" s="5">
        <v>100000582</v>
      </c>
      <c r="B52" s="12">
        <v>103044</v>
      </c>
      <c r="C52" s="5" t="s">
        <v>117</v>
      </c>
      <c r="D52" s="5">
        <v>2023</v>
      </c>
      <c r="K52" s="14"/>
      <c r="L52" s="14"/>
    </row>
    <row r="53" spans="1:12" x14ac:dyDescent="0.35">
      <c r="A53" s="5">
        <v>100000730</v>
      </c>
      <c r="B53" s="12">
        <v>106025</v>
      </c>
      <c r="C53" s="5" t="s">
        <v>196</v>
      </c>
      <c r="D53" s="5">
        <v>2023</v>
      </c>
      <c r="K53" s="14"/>
      <c r="L53" s="14"/>
    </row>
    <row r="54" spans="1:12" x14ac:dyDescent="0.35">
      <c r="A54" s="5">
        <v>100000867</v>
      </c>
      <c r="B54" s="12">
        <v>103034</v>
      </c>
      <c r="C54" s="5" t="s">
        <v>40</v>
      </c>
      <c r="D54" s="5">
        <v>2023</v>
      </c>
      <c r="K54" s="14"/>
      <c r="L54" s="14"/>
    </row>
    <row r="55" spans="1:12" x14ac:dyDescent="0.35">
      <c r="A55" s="5">
        <v>100000918</v>
      </c>
      <c r="B55" s="12">
        <v>106030</v>
      </c>
      <c r="C55" s="5" t="s">
        <v>46</v>
      </c>
      <c r="D55" s="5">
        <v>2023</v>
      </c>
      <c r="K55" s="14"/>
      <c r="L55" s="14"/>
    </row>
    <row r="56" spans="1:12" x14ac:dyDescent="0.35">
      <c r="A56" s="5">
        <v>100002244</v>
      </c>
      <c r="B56" s="12">
        <v>105019</v>
      </c>
      <c r="C56" s="5" t="s">
        <v>47</v>
      </c>
      <c r="D56" s="5">
        <v>2023</v>
      </c>
      <c r="K56" s="14"/>
      <c r="L56" s="14"/>
    </row>
    <row r="57" spans="1:12" x14ac:dyDescent="0.35">
      <c r="A57" s="5">
        <v>100000983</v>
      </c>
      <c r="B57" s="12">
        <v>108012</v>
      </c>
      <c r="C57" s="5" t="s">
        <v>166</v>
      </c>
      <c r="D57" s="5">
        <v>2023</v>
      </c>
      <c r="K57" s="14"/>
      <c r="L57" s="14"/>
    </row>
    <row r="58" spans="1:12" x14ac:dyDescent="0.35">
      <c r="A58" s="5">
        <v>100001020</v>
      </c>
      <c r="B58" s="12">
        <v>106032</v>
      </c>
      <c r="C58" s="5" t="s">
        <v>52</v>
      </c>
      <c r="D58" s="5">
        <v>2023</v>
      </c>
      <c r="K58" s="14"/>
      <c r="L58" s="14"/>
    </row>
    <row r="59" spans="1:12" x14ac:dyDescent="0.35">
      <c r="A59" s="5">
        <v>100005482</v>
      </c>
      <c r="B59" s="12">
        <v>209090</v>
      </c>
      <c r="C59" s="5" t="s">
        <v>135</v>
      </c>
      <c r="D59" s="5">
        <v>2023</v>
      </c>
      <c r="K59" s="14"/>
      <c r="L59" s="14"/>
    </row>
    <row r="60" spans="1:12" x14ac:dyDescent="0.35">
      <c r="A60" s="5">
        <v>100003413</v>
      </c>
      <c r="B60" s="12">
        <v>209109</v>
      </c>
      <c r="C60" s="5" t="s">
        <v>138</v>
      </c>
      <c r="D60" s="5">
        <v>2023</v>
      </c>
      <c r="K60" s="14"/>
      <c r="L60" s="14"/>
    </row>
    <row r="61" spans="1:12" x14ac:dyDescent="0.35">
      <c r="A61" s="5">
        <v>100001306</v>
      </c>
      <c r="B61" s="12">
        <v>108024</v>
      </c>
      <c r="C61" s="5" t="s">
        <v>141</v>
      </c>
      <c r="D61" s="5">
        <v>2023</v>
      </c>
      <c r="K61" s="14"/>
      <c r="L61" s="14"/>
    </row>
    <row r="62" spans="1:12" x14ac:dyDescent="0.35">
      <c r="A62" s="5">
        <v>100001306</v>
      </c>
      <c r="B62" s="12">
        <v>108024</v>
      </c>
      <c r="C62" s="5" t="s">
        <v>141</v>
      </c>
      <c r="D62" s="5">
        <v>2023</v>
      </c>
      <c r="K62" s="14"/>
      <c r="L62" s="14"/>
    </row>
    <row r="63" spans="1:12" x14ac:dyDescent="0.35">
      <c r="A63" s="5">
        <v>100000044</v>
      </c>
      <c r="B63" s="12">
        <v>108017</v>
      </c>
      <c r="C63" s="5" t="s">
        <v>5</v>
      </c>
      <c r="D63" s="5">
        <v>2023</v>
      </c>
      <c r="K63" s="14"/>
      <c r="L63" s="14"/>
    </row>
    <row r="64" spans="1:12" x14ac:dyDescent="0.35">
      <c r="A64" s="5">
        <v>100000046</v>
      </c>
      <c r="B64" s="12">
        <v>106001</v>
      </c>
      <c r="C64" s="5" t="s">
        <v>6</v>
      </c>
      <c r="D64" s="5">
        <v>2023</v>
      </c>
      <c r="K64" s="14"/>
      <c r="L64" s="14"/>
    </row>
    <row r="65" spans="1:12" x14ac:dyDescent="0.35">
      <c r="A65" s="5">
        <v>100000388</v>
      </c>
      <c r="B65" s="12">
        <v>103009</v>
      </c>
      <c r="C65" s="5" t="s">
        <v>151</v>
      </c>
      <c r="D65" s="5">
        <v>2023</v>
      </c>
      <c r="K65" s="14"/>
      <c r="L65" s="14"/>
    </row>
    <row r="66" spans="1:12" x14ac:dyDescent="0.35">
      <c r="A66" s="5">
        <v>100000649</v>
      </c>
      <c r="B66" s="12">
        <v>102008</v>
      </c>
      <c r="C66" s="5" t="s">
        <v>31</v>
      </c>
      <c r="D66" s="5">
        <v>2023</v>
      </c>
      <c r="K66" s="14"/>
      <c r="L66" s="14"/>
    </row>
    <row r="67" spans="1:12" x14ac:dyDescent="0.35">
      <c r="A67" s="5">
        <v>100002361</v>
      </c>
      <c r="B67" s="12">
        <v>108004</v>
      </c>
      <c r="C67" s="5" t="s">
        <v>158</v>
      </c>
      <c r="D67" s="5">
        <v>2023</v>
      </c>
      <c r="K67" s="14"/>
      <c r="L67" s="14"/>
    </row>
    <row r="68" spans="1:12" x14ac:dyDescent="0.35">
      <c r="A68" s="5">
        <v>100000730</v>
      </c>
      <c r="B68" s="12">
        <v>106025</v>
      </c>
      <c r="C68" s="5" t="s">
        <v>196</v>
      </c>
      <c r="D68" s="5">
        <v>2023</v>
      </c>
      <c r="K68" s="14"/>
      <c r="L68" s="14"/>
    </row>
    <row r="69" spans="1:12" x14ac:dyDescent="0.35">
      <c r="A69" s="5">
        <v>100000735</v>
      </c>
      <c r="B69" s="12">
        <v>108009</v>
      </c>
      <c r="C69" s="5" t="s">
        <v>222</v>
      </c>
      <c r="D69" s="5">
        <v>2023</v>
      </c>
      <c r="K69" s="14"/>
      <c r="L69" s="14"/>
    </row>
    <row r="70" spans="1:12" x14ac:dyDescent="0.35">
      <c r="A70" s="5">
        <v>100000735</v>
      </c>
      <c r="B70" s="12">
        <v>108009</v>
      </c>
      <c r="C70" s="5" t="s">
        <v>222</v>
      </c>
      <c r="D70" s="5">
        <v>2023</v>
      </c>
      <c r="K70" s="14"/>
      <c r="L70" s="14"/>
    </row>
    <row r="71" spans="1:12" x14ac:dyDescent="0.35">
      <c r="A71" s="5">
        <v>100000894</v>
      </c>
      <c r="B71" s="12">
        <v>107006</v>
      </c>
      <c r="C71" s="5" t="s">
        <v>41</v>
      </c>
      <c r="D71" s="5">
        <v>2023</v>
      </c>
      <c r="K71" s="14"/>
      <c r="L71" s="14"/>
    </row>
    <row r="72" spans="1:12" x14ac:dyDescent="0.35">
      <c r="A72" s="5">
        <v>100003431</v>
      </c>
      <c r="B72" s="12">
        <v>101080</v>
      </c>
      <c r="C72" s="5" t="s">
        <v>42</v>
      </c>
      <c r="D72" s="5">
        <v>2023</v>
      </c>
      <c r="K72" s="14"/>
      <c r="L72" s="14"/>
    </row>
    <row r="73" spans="1:12" x14ac:dyDescent="0.35">
      <c r="A73" s="5">
        <v>100000918</v>
      </c>
      <c r="B73" s="12">
        <v>106030</v>
      </c>
      <c r="C73" s="5" t="s">
        <v>46</v>
      </c>
      <c r="D73" s="5">
        <v>2023</v>
      </c>
      <c r="K73" s="14"/>
      <c r="L73" s="14"/>
    </row>
    <row r="74" spans="1:12" x14ac:dyDescent="0.35">
      <c r="A74" s="5">
        <v>100001010</v>
      </c>
      <c r="B74" s="12">
        <v>209118</v>
      </c>
      <c r="C74" s="5" t="s">
        <v>163</v>
      </c>
      <c r="D74" s="5">
        <v>2023</v>
      </c>
      <c r="K74" s="14"/>
      <c r="L74" s="14"/>
    </row>
    <row r="75" spans="1:12" x14ac:dyDescent="0.35">
      <c r="A75" s="5">
        <v>100002581</v>
      </c>
      <c r="B75" s="12" t="s">
        <v>257</v>
      </c>
      <c r="C75" s="5" t="s">
        <v>229</v>
      </c>
      <c r="D75" s="5">
        <v>2023</v>
      </c>
      <c r="K75" s="14"/>
      <c r="L75" s="14"/>
    </row>
    <row r="76" spans="1:12" x14ac:dyDescent="0.35">
      <c r="A76" s="5">
        <v>100001063</v>
      </c>
      <c r="B76" s="12">
        <v>103040</v>
      </c>
      <c r="C76" s="5" t="s">
        <v>131</v>
      </c>
      <c r="D76" s="5">
        <v>2023</v>
      </c>
      <c r="K76" s="14"/>
      <c r="L76" s="14"/>
    </row>
    <row r="77" spans="1:12" x14ac:dyDescent="0.35">
      <c r="A77" s="5">
        <v>100001243</v>
      </c>
      <c r="B77" s="12">
        <v>102026</v>
      </c>
      <c r="C77" s="5" t="s">
        <v>69</v>
      </c>
      <c r="D77" s="5">
        <v>2023</v>
      </c>
      <c r="K77" s="14"/>
      <c r="L77" s="14"/>
    </row>
    <row r="78" spans="1:12" x14ac:dyDescent="0.35">
      <c r="A78" s="5">
        <v>100001308</v>
      </c>
      <c r="B78" s="12">
        <v>392005</v>
      </c>
      <c r="C78" s="5" t="s">
        <v>142</v>
      </c>
      <c r="D78" s="5">
        <v>2023</v>
      </c>
      <c r="K78" s="14"/>
      <c r="L78" s="14"/>
    </row>
    <row r="79" spans="1:12" x14ac:dyDescent="0.35">
      <c r="A79" s="5">
        <v>100001308</v>
      </c>
      <c r="B79" s="12">
        <v>392005</v>
      </c>
      <c r="C79" s="5" t="s">
        <v>142</v>
      </c>
      <c r="D79" s="5">
        <v>2023</v>
      </c>
      <c r="K79" s="14"/>
      <c r="L79" s="14"/>
    </row>
    <row r="80" spans="1:12" x14ac:dyDescent="0.35">
      <c r="A80" s="5">
        <v>100001310</v>
      </c>
      <c r="B80" s="12">
        <v>106041</v>
      </c>
      <c r="C80" s="5" t="s">
        <v>76</v>
      </c>
      <c r="D80" s="5">
        <v>2023</v>
      </c>
      <c r="K80" s="14"/>
      <c r="L80" s="14"/>
    </row>
    <row r="81" spans="1:12" x14ac:dyDescent="0.35">
      <c r="A81" s="5">
        <v>100002561</v>
      </c>
      <c r="B81" s="12">
        <v>106042</v>
      </c>
      <c r="C81" s="5" t="s">
        <v>170</v>
      </c>
      <c r="D81" s="5">
        <v>2023</v>
      </c>
      <c r="K81" s="14"/>
      <c r="L81" s="14"/>
    </row>
    <row r="82" spans="1:12" x14ac:dyDescent="0.35">
      <c r="A82" s="5">
        <v>100002131</v>
      </c>
      <c r="B82" s="12" t="s">
        <v>257</v>
      </c>
      <c r="C82" s="5" t="s">
        <v>230</v>
      </c>
      <c r="D82" s="5">
        <v>2023</v>
      </c>
      <c r="K82" s="14"/>
      <c r="L82" s="14"/>
    </row>
    <row r="83" spans="1:12" x14ac:dyDescent="0.35">
      <c r="A83" s="5">
        <v>100001466</v>
      </c>
      <c r="B83" s="12">
        <v>104042</v>
      </c>
      <c r="C83" s="5" t="s">
        <v>84</v>
      </c>
      <c r="D83" s="5">
        <v>2023</v>
      </c>
      <c r="K83" s="14"/>
      <c r="L83" s="14"/>
    </row>
    <row r="84" spans="1:12" x14ac:dyDescent="0.35">
      <c r="A84" s="5">
        <v>100000044</v>
      </c>
      <c r="B84" s="12">
        <v>108017</v>
      </c>
      <c r="C84" s="5" t="s">
        <v>5</v>
      </c>
      <c r="D84" s="5">
        <v>2023</v>
      </c>
      <c r="K84" s="14"/>
      <c r="L84" s="14"/>
    </row>
    <row r="85" spans="1:12" x14ac:dyDescent="0.35">
      <c r="A85" s="5">
        <v>100003907</v>
      </c>
      <c r="B85" s="12">
        <v>101097</v>
      </c>
      <c r="C85" s="5" t="s">
        <v>232</v>
      </c>
      <c r="D85" s="5">
        <v>2023</v>
      </c>
      <c r="K85" s="14"/>
      <c r="L85" s="14"/>
    </row>
    <row r="86" spans="1:12" x14ac:dyDescent="0.35">
      <c r="A86" s="5">
        <v>100000388</v>
      </c>
      <c r="B86" s="12">
        <v>103009</v>
      </c>
      <c r="C86" s="5" t="s">
        <v>151</v>
      </c>
      <c r="D86" s="5">
        <v>2023</v>
      </c>
      <c r="K86" s="14"/>
      <c r="L86" s="14"/>
    </row>
    <row r="87" spans="1:12" x14ac:dyDescent="0.35">
      <c r="A87" s="5">
        <v>100000698</v>
      </c>
      <c r="B87" s="12" t="s">
        <v>257</v>
      </c>
      <c r="C87" s="5" t="s">
        <v>233</v>
      </c>
      <c r="D87" s="5">
        <v>2023</v>
      </c>
      <c r="K87" s="14"/>
      <c r="L87" s="14"/>
    </row>
    <row r="88" spans="1:12" x14ac:dyDescent="0.35">
      <c r="A88" s="5">
        <v>100001047</v>
      </c>
      <c r="B88" s="12">
        <v>104041</v>
      </c>
      <c r="C88" s="5" t="s">
        <v>129</v>
      </c>
      <c r="D88" s="5">
        <v>2023</v>
      </c>
      <c r="K88" s="14"/>
      <c r="L88" s="14"/>
    </row>
    <row r="89" spans="1:12" x14ac:dyDescent="0.35">
      <c r="A89" s="5">
        <v>100001199</v>
      </c>
      <c r="B89" s="12">
        <v>106037</v>
      </c>
      <c r="C89" s="5" t="s">
        <v>164</v>
      </c>
      <c r="D89" s="5">
        <v>2023</v>
      </c>
      <c r="K89" s="14"/>
      <c r="L89" s="14"/>
    </row>
    <row r="90" spans="1:12" x14ac:dyDescent="0.35">
      <c r="A90" s="5">
        <v>100001367</v>
      </c>
      <c r="B90" s="12">
        <v>103049</v>
      </c>
      <c r="C90" s="5" t="s">
        <v>185</v>
      </c>
      <c r="D90" s="5">
        <v>2023</v>
      </c>
      <c r="K90" s="14"/>
      <c r="L90" s="14"/>
    </row>
    <row r="91" spans="1:12" x14ac:dyDescent="0.35">
      <c r="A91" s="5">
        <v>100001466</v>
      </c>
      <c r="B91" s="12">
        <v>104042</v>
      </c>
      <c r="C91" s="5" t="s">
        <v>84</v>
      </c>
      <c r="D91" s="5">
        <v>2023</v>
      </c>
      <c r="K91" s="14"/>
      <c r="L91" s="14"/>
    </row>
    <row r="92" spans="1:12" x14ac:dyDescent="0.35">
      <c r="A92" s="5">
        <v>100000044</v>
      </c>
      <c r="B92" s="12">
        <v>108017</v>
      </c>
      <c r="C92" s="5" t="s">
        <v>5</v>
      </c>
      <c r="D92" s="5">
        <v>2023</v>
      </c>
      <c r="K92" s="14"/>
      <c r="L92" s="14"/>
    </row>
    <row r="93" spans="1:12" x14ac:dyDescent="0.35">
      <c r="A93" s="5">
        <v>100002190</v>
      </c>
      <c r="B93" s="12" t="s">
        <v>257</v>
      </c>
      <c r="C93" s="5" t="s">
        <v>234</v>
      </c>
      <c r="D93" s="5">
        <v>2023</v>
      </c>
      <c r="K93" s="14"/>
      <c r="L93" s="14"/>
    </row>
    <row r="94" spans="1:12" x14ac:dyDescent="0.35">
      <c r="A94" s="5">
        <v>100002347</v>
      </c>
      <c r="B94" s="12">
        <v>209007</v>
      </c>
      <c r="C94" s="5" t="s">
        <v>17</v>
      </c>
      <c r="D94" s="5">
        <v>2023</v>
      </c>
      <c r="K94" s="14"/>
      <c r="L94" s="14"/>
    </row>
    <row r="95" spans="1:12" x14ac:dyDescent="0.35">
      <c r="A95" s="5">
        <v>100000388</v>
      </c>
      <c r="B95" s="12">
        <v>103009</v>
      </c>
      <c r="C95" s="5" t="s">
        <v>151</v>
      </c>
      <c r="D95" s="5">
        <v>2023</v>
      </c>
      <c r="K95" s="14"/>
      <c r="L95" s="14"/>
    </row>
    <row r="96" spans="1:12" x14ac:dyDescent="0.35">
      <c r="A96" s="5">
        <v>100000585</v>
      </c>
      <c r="B96" s="12">
        <v>106072</v>
      </c>
      <c r="C96" s="5" t="s">
        <v>118</v>
      </c>
      <c r="D96" s="5">
        <v>2023</v>
      </c>
      <c r="K96" s="14"/>
      <c r="L96" s="14"/>
    </row>
    <row r="97" spans="1:12" x14ac:dyDescent="0.35">
      <c r="A97" s="5">
        <v>100000698</v>
      </c>
      <c r="B97" s="12" t="s">
        <v>257</v>
      </c>
      <c r="C97" s="5" t="s">
        <v>233</v>
      </c>
      <c r="D97" s="5">
        <v>2023</v>
      </c>
      <c r="K97" s="14"/>
      <c r="L97" s="14"/>
    </row>
    <row r="98" spans="1:12" x14ac:dyDescent="0.35">
      <c r="A98" s="5">
        <v>100001116</v>
      </c>
      <c r="B98" s="12">
        <v>209072</v>
      </c>
      <c r="C98" s="5" t="s">
        <v>194</v>
      </c>
      <c r="D98" s="5">
        <v>2023</v>
      </c>
      <c r="K98" s="14"/>
      <c r="L98" s="14"/>
    </row>
    <row r="99" spans="1:12" x14ac:dyDescent="0.35">
      <c r="A99" s="5">
        <v>100002314</v>
      </c>
      <c r="B99" s="12">
        <v>105008</v>
      </c>
      <c r="C99" s="5" t="s">
        <v>74</v>
      </c>
      <c r="D99" s="5">
        <v>2023</v>
      </c>
      <c r="K99" s="14"/>
      <c r="L99" s="14"/>
    </row>
    <row r="100" spans="1:12" x14ac:dyDescent="0.35">
      <c r="A100" s="5">
        <v>100002561</v>
      </c>
      <c r="B100" s="12">
        <v>106042</v>
      </c>
      <c r="C100" s="5" t="s">
        <v>170</v>
      </c>
      <c r="D100" s="5">
        <v>2023</v>
      </c>
      <c r="K100" s="14"/>
      <c r="L100" s="14"/>
    </row>
    <row r="101" spans="1:12" x14ac:dyDescent="0.35">
      <c r="A101" s="5">
        <v>100005325</v>
      </c>
      <c r="B101" s="12">
        <v>101098</v>
      </c>
      <c r="C101" s="5" t="s">
        <v>103</v>
      </c>
      <c r="D101" s="5">
        <v>2023</v>
      </c>
      <c r="K101" s="14"/>
      <c r="L101" s="14"/>
    </row>
    <row r="102" spans="1:12" x14ac:dyDescent="0.35">
      <c r="A102" s="5">
        <v>100000388</v>
      </c>
      <c r="B102" s="12">
        <v>103009</v>
      </c>
      <c r="C102" s="5" t="s">
        <v>151</v>
      </c>
      <c r="D102" s="5">
        <v>2023</v>
      </c>
      <c r="K102" s="14"/>
      <c r="L102" s="14"/>
    </row>
    <row r="103" spans="1:12" x14ac:dyDescent="0.35">
      <c r="A103" s="5">
        <v>100002164</v>
      </c>
      <c r="B103" s="12">
        <v>102033</v>
      </c>
      <c r="C103" s="5" t="s">
        <v>30</v>
      </c>
      <c r="D103" s="5">
        <v>2023</v>
      </c>
      <c r="K103" s="14"/>
      <c r="L103" s="14"/>
    </row>
    <row r="104" spans="1:12" x14ac:dyDescent="0.35">
      <c r="A104" s="5">
        <v>100004642</v>
      </c>
      <c r="B104" s="12">
        <v>209155</v>
      </c>
      <c r="C104" s="5" t="s">
        <v>88</v>
      </c>
      <c r="D104" s="5">
        <v>2023</v>
      </c>
      <c r="K104" s="14"/>
      <c r="L104" s="14"/>
    </row>
    <row r="105" spans="1:12" x14ac:dyDescent="0.35">
      <c r="A105" s="5">
        <v>100000983</v>
      </c>
      <c r="B105" s="12">
        <v>108012</v>
      </c>
      <c r="C105" s="5" t="s">
        <v>166</v>
      </c>
      <c r="D105" s="5">
        <v>2023</v>
      </c>
      <c r="K105" s="14"/>
      <c r="L105" s="14"/>
    </row>
    <row r="106" spans="1:12" x14ac:dyDescent="0.35">
      <c r="A106" s="5">
        <v>100002581</v>
      </c>
      <c r="B106" s="12" t="s">
        <v>257</v>
      </c>
      <c r="C106" s="5" t="s">
        <v>229</v>
      </c>
      <c r="D106" s="5">
        <v>2023</v>
      </c>
      <c r="K106" s="14"/>
      <c r="L106" s="14"/>
    </row>
    <row r="107" spans="1:12" x14ac:dyDescent="0.35">
      <c r="A107" s="5">
        <v>100001047</v>
      </c>
      <c r="B107" s="12">
        <v>104041</v>
      </c>
      <c r="C107" s="5" t="s">
        <v>129</v>
      </c>
      <c r="D107" s="5">
        <v>2023</v>
      </c>
      <c r="K107" s="14"/>
      <c r="L107" s="14"/>
    </row>
    <row r="108" spans="1:12" x14ac:dyDescent="0.35">
      <c r="A108" s="5">
        <v>100005299</v>
      </c>
      <c r="B108" s="12">
        <v>102159</v>
      </c>
      <c r="C108" s="5" t="s">
        <v>55</v>
      </c>
      <c r="D108" s="5">
        <v>2023</v>
      </c>
      <c r="K108" s="14"/>
      <c r="L108" s="14"/>
    </row>
    <row r="109" spans="1:12" x14ac:dyDescent="0.35">
      <c r="A109" s="5">
        <v>100001063</v>
      </c>
      <c r="B109" s="12">
        <v>103040</v>
      </c>
      <c r="C109" s="5" t="s">
        <v>131</v>
      </c>
      <c r="D109" s="5">
        <v>2023</v>
      </c>
      <c r="K109" s="14"/>
      <c r="L109" s="14"/>
    </row>
    <row r="110" spans="1:12" x14ac:dyDescent="0.35">
      <c r="A110" s="5">
        <v>100001358</v>
      </c>
      <c r="B110" s="12">
        <v>106055</v>
      </c>
      <c r="C110" s="5" t="s">
        <v>144</v>
      </c>
      <c r="D110" s="5">
        <v>2023</v>
      </c>
      <c r="K110" s="14"/>
      <c r="L110" s="14"/>
    </row>
    <row r="111" spans="1:12" x14ac:dyDescent="0.35">
      <c r="A111" s="5">
        <v>100000388</v>
      </c>
      <c r="B111" s="12">
        <v>103009</v>
      </c>
      <c r="C111" s="5" t="s">
        <v>151</v>
      </c>
      <c r="D111" s="5">
        <v>2023</v>
      </c>
      <c r="K111" s="14"/>
      <c r="L111" s="14"/>
    </row>
    <row r="112" spans="1:12" x14ac:dyDescent="0.35">
      <c r="A112" s="5">
        <v>100002164</v>
      </c>
      <c r="B112" s="12">
        <v>102033</v>
      </c>
      <c r="C112" s="5" t="s">
        <v>30</v>
      </c>
      <c r="D112" s="5">
        <v>2023</v>
      </c>
      <c r="K112" s="14"/>
      <c r="L112" s="14"/>
    </row>
    <row r="113" spans="1:12" x14ac:dyDescent="0.35">
      <c r="A113" s="5">
        <v>100002361</v>
      </c>
      <c r="B113" s="12">
        <v>108004</v>
      </c>
      <c r="C113" s="5" t="s">
        <v>158</v>
      </c>
      <c r="D113" s="5">
        <v>2023</v>
      </c>
      <c r="K113" s="14"/>
      <c r="L113" s="14"/>
    </row>
    <row r="114" spans="1:12" x14ac:dyDescent="0.35">
      <c r="A114" s="5">
        <v>100002337</v>
      </c>
      <c r="B114" s="12">
        <v>209148</v>
      </c>
      <c r="C114" s="5" t="s">
        <v>34</v>
      </c>
      <c r="D114" s="5">
        <v>2023</v>
      </c>
      <c r="K114" s="14"/>
      <c r="L114" s="14"/>
    </row>
    <row r="115" spans="1:12" x14ac:dyDescent="0.35">
      <c r="A115" s="5">
        <v>100000776</v>
      </c>
      <c r="B115" s="12">
        <v>209164</v>
      </c>
      <c r="C115" s="5" t="s">
        <v>159</v>
      </c>
      <c r="D115" s="5">
        <v>2023</v>
      </c>
      <c r="K115" s="14"/>
      <c r="L115" s="14"/>
    </row>
    <row r="116" spans="1:12" x14ac:dyDescent="0.35">
      <c r="A116" s="5">
        <v>100002047</v>
      </c>
      <c r="B116" s="12">
        <v>101015</v>
      </c>
      <c r="C116" s="5" t="s">
        <v>38</v>
      </c>
      <c r="D116" s="5">
        <v>2023</v>
      </c>
      <c r="K116" s="14"/>
      <c r="L116" s="14"/>
    </row>
    <row r="117" spans="1:12" x14ac:dyDescent="0.35">
      <c r="A117" s="5">
        <v>100000829</v>
      </c>
      <c r="B117" s="12">
        <v>105018</v>
      </c>
      <c r="C117" s="5" t="s">
        <v>180</v>
      </c>
      <c r="D117" s="5">
        <v>2023</v>
      </c>
      <c r="K117" s="14"/>
      <c r="L117" s="14"/>
    </row>
    <row r="118" spans="1:12" x14ac:dyDescent="0.35">
      <c r="A118" s="5">
        <v>100000894</v>
      </c>
      <c r="B118" s="12">
        <v>107006</v>
      </c>
      <c r="C118" s="5" t="s">
        <v>41</v>
      </c>
      <c r="D118" s="5">
        <v>2023</v>
      </c>
      <c r="K118" s="14"/>
      <c r="L118" s="14"/>
    </row>
    <row r="119" spans="1:12" x14ac:dyDescent="0.35">
      <c r="A119" s="5">
        <v>100001826</v>
      </c>
      <c r="B119" s="12">
        <v>105004</v>
      </c>
      <c r="C119" s="5" t="s">
        <v>45</v>
      </c>
      <c r="D119" s="5">
        <v>2023</v>
      </c>
      <c r="K119" s="14"/>
      <c r="L119" s="14"/>
    </row>
    <row r="120" spans="1:12" x14ac:dyDescent="0.35">
      <c r="A120" s="5">
        <v>100001047</v>
      </c>
      <c r="B120" s="12">
        <v>104041</v>
      </c>
      <c r="C120" s="5" t="s">
        <v>129</v>
      </c>
      <c r="D120" s="5">
        <v>2023</v>
      </c>
      <c r="K120" s="14"/>
      <c r="L120" s="14"/>
    </row>
    <row r="121" spans="1:12" x14ac:dyDescent="0.35">
      <c r="A121" s="5">
        <v>100005302</v>
      </c>
      <c r="B121" s="12">
        <v>101073</v>
      </c>
      <c r="C121" s="5" t="s">
        <v>58</v>
      </c>
      <c r="D121" s="5">
        <v>2023</v>
      </c>
      <c r="K121" s="14"/>
      <c r="L121" s="14"/>
    </row>
    <row r="122" spans="1:12" x14ac:dyDescent="0.35">
      <c r="A122" s="5">
        <v>100004670</v>
      </c>
      <c r="B122" s="12">
        <v>101084</v>
      </c>
      <c r="C122" s="5" t="s">
        <v>65</v>
      </c>
      <c r="D122" s="5">
        <v>2023</v>
      </c>
      <c r="K122" s="14"/>
      <c r="L122" s="14"/>
    </row>
    <row r="123" spans="1:12" x14ac:dyDescent="0.35">
      <c r="A123" s="5">
        <v>100002919</v>
      </c>
      <c r="B123" s="12">
        <v>392004</v>
      </c>
      <c r="C123" s="5" t="s">
        <v>75</v>
      </c>
      <c r="D123" s="5">
        <v>2023</v>
      </c>
      <c r="K123" s="14"/>
      <c r="L123" s="14"/>
    </row>
    <row r="124" spans="1:12" x14ac:dyDescent="0.35">
      <c r="A124" s="5">
        <v>100002919</v>
      </c>
      <c r="B124" s="12">
        <v>392004</v>
      </c>
      <c r="C124" s="5" t="s">
        <v>75</v>
      </c>
      <c r="D124" s="5">
        <v>2023</v>
      </c>
      <c r="K124" s="14"/>
      <c r="L124" s="14"/>
    </row>
    <row r="125" spans="1:12" x14ac:dyDescent="0.35">
      <c r="A125" s="5">
        <v>100002561</v>
      </c>
      <c r="B125" s="12">
        <v>106042</v>
      </c>
      <c r="C125" s="5" t="s">
        <v>170</v>
      </c>
      <c r="D125" s="5">
        <v>2023</v>
      </c>
      <c r="K125" s="14"/>
      <c r="L125" s="14"/>
    </row>
    <row r="126" spans="1:12" x14ac:dyDescent="0.35">
      <c r="A126" s="5">
        <v>100000170</v>
      </c>
      <c r="B126" s="12">
        <v>106054</v>
      </c>
      <c r="C126" s="5" t="s">
        <v>10</v>
      </c>
      <c r="D126" s="5">
        <v>2023</v>
      </c>
      <c r="K126" s="14"/>
      <c r="L126" s="14"/>
    </row>
    <row r="127" spans="1:12" x14ac:dyDescent="0.35">
      <c r="A127" s="5">
        <v>100000388</v>
      </c>
      <c r="B127" s="12">
        <v>103009</v>
      </c>
      <c r="C127" s="5" t="s">
        <v>151</v>
      </c>
      <c r="D127" s="5">
        <v>2023</v>
      </c>
      <c r="K127" s="14"/>
      <c r="L127" s="14"/>
    </row>
    <row r="128" spans="1:12" x14ac:dyDescent="0.35">
      <c r="A128" s="5">
        <v>100000529</v>
      </c>
      <c r="B128" s="12">
        <v>106014</v>
      </c>
      <c r="C128" s="5" t="s">
        <v>25</v>
      </c>
      <c r="D128" s="5">
        <v>2023</v>
      </c>
      <c r="K128" s="14"/>
      <c r="L128" s="14"/>
    </row>
    <row r="129" spans="1:12" x14ac:dyDescent="0.35">
      <c r="A129" s="5">
        <v>100000894</v>
      </c>
      <c r="B129" s="12">
        <v>107006</v>
      </c>
      <c r="C129" s="5" t="s">
        <v>41</v>
      </c>
      <c r="D129" s="5">
        <v>2023</v>
      </c>
      <c r="K129" s="14"/>
      <c r="L129" s="14"/>
    </row>
    <row r="130" spans="1:12" x14ac:dyDescent="0.35">
      <c r="A130" s="5">
        <v>100000938</v>
      </c>
      <c r="B130" s="12">
        <v>104019</v>
      </c>
      <c r="C130" s="5" t="s">
        <v>128</v>
      </c>
      <c r="D130" s="5">
        <v>2023</v>
      </c>
      <c r="K130" s="14"/>
      <c r="L130" s="14"/>
    </row>
    <row r="131" spans="1:12" x14ac:dyDescent="0.35">
      <c r="A131" s="5">
        <v>100001052</v>
      </c>
      <c r="B131" s="12">
        <v>102012</v>
      </c>
      <c r="C131" s="5" t="s">
        <v>56</v>
      </c>
      <c r="D131" s="5">
        <v>2023</v>
      </c>
      <c r="K131" s="14"/>
      <c r="L131" s="14"/>
    </row>
    <row r="132" spans="1:12" x14ac:dyDescent="0.35">
      <c r="A132" s="5">
        <v>100002921</v>
      </c>
      <c r="B132" s="12">
        <v>102057</v>
      </c>
      <c r="C132" s="5" t="s">
        <v>136</v>
      </c>
      <c r="D132" s="5">
        <v>2023</v>
      </c>
      <c r="K132" s="14"/>
      <c r="L132" s="14"/>
    </row>
    <row r="133" spans="1:12" x14ac:dyDescent="0.35">
      <c r="A133" s="5">
        <v>100002919</v>
      </c>
      <c r="B133" s="12">
        <v>392004</v>
      </c>
      <c r="C133" s="5" t="s">
        <v>75</v>
      </c>
      <c r="D133" s="5">
        <v>2023</v>
      </c>
      <c r="K133" s="14"/>
      <c r="L133" s="14"/>
    </row>
    <row r="134" spans="1:12" x14ac:dyDescent="0.35">
      <c r="A134" s="5">
        <v>100002919</v>
      </c>
      <c r="B134" s="12">
        <v>392004</v>
      </c>
      <c r="C134" s="5" t="s">
        <v>75</v>
      </c>
      <c r="D134" s="5">
        <v>2023</v>
      </c>
      <c r="K134" s="14"/>
      <c r="L134" s="14"/>
    </row>
    <row r="135" spans="1:12" x14ac:dyDescent="0.35">
      <c r="A135" s="5">
        <v>100001310</v>
      </c>
      <c r="B135" s="12">
        <v>106041</v>
      </c>
      <c r="C135" s="5" t="s">
        <v>76</v>
      </c>
      <c r="D135" s="5">
        <v>2023</v>
      </c>
      <c r="K135" s="14"/>
      <c r="L135" s="14"/>
    </row>
    <row r="136" spans="1:12" x14ac:dyDescent="0.35">
      <c r="A136" s="5">
        <v>100002561</v>
      </c>
      <c r="B136" s="12">
        <v>106042</v>
      </c>
      <c r="C136" s="5" t="s">
        <v>170</v>
      </c>
      <c r="D136" s="5">
        <v>2023</v>
      </c>
      <c r="K136" s="14"/>
      <c r="L136" s="14"/>
    </row>
    <row r="137" spans="1:12" x14ac:dyDescent="0.35">
      <c r="A137" s="5">
        <v>100002567</v>
      </c>
      <c r="B137" s="12">
        <v>102139</v>
      </c>
      <c r="C137" s="5" t="s">
        <v>149</v>
      </c>
      <c r="D137" s="5">
        <v>2023</v>
      </c>
      <c r="K137" s="14"/>
      <c r="L137" s="14"/>
    </row>
    <row r="138" spans="1:12" x14ac:dyDescent="0.35">
      <c r="A138" s="5">
        <v>100000036</v>
      </c>
      <c r="B138" s="12">
        <v>209052</v>
      </c>
      <c r="C138" s="5" t="s">
        <v>3</v>
      </c>
      <c r="D138" s="5">
        <v>2023</v>
      </c>
      <c r="K138" s="14"/>
      <c r="L138" s="14"/>
    </row>
    <row r="139" spans="1:12" x14ac:dyDescent="0.35">
      <c r="A139" s="5">
        <v>100000194</v>
      </c>
      <c r="B139" s="12">
        <v>106004</v>
      </c>
      <c r="C139" s="5" t="s">
        <v>105</v>
      </c>
      <c r="D139" s="5">
        <v>2023</v>
      </c>
      <c r="K139" s="14"/>
      <c r="L139" s="14"/>
    </row>
    <row r="140" spans="1:12" x14ac:dyDescent="0.35">
      <c r="A140" s="5">
        <v>100000388</v>
      </c>
      <c r="B140" s="12">
        <v>103009</v>
      </c>
      <c r="C140" s="5" t="s">
        <v>151</v>
      </c>
      <c r="D140" s="5">
        <v>2023</v>
      </c>
      <c r="K140" s="14"/>
      <c r="L140" s="14"/>
    </row>
    <row r="141" spans="1:12" x14ac:dyDescent="0.35">
      <c r="A141" s="5">
        <v>100000621</v>
      </c>
      <c r="B141" s="12" t="s">
        <v>257</v>
      </c>
      <c r="C141" s="5" t="s">
        <v>119</v>
      </c>
      <c r="D141" s="5">
        <v>2023</v>
      </c>
      <c r="K141" s="14"/>
      <c r="L141" s="14"/>
    </row>
    <row r="142" spans="1:12" x14ac:dyDescent="0.35">
      <c r="A142" s="5">
        <v>100000771</v>
      </c>
      <c r="B142" s="12">
        <v>102190</v>
      </c>
      <c r="C142" s="5" t="s">
        <v>125</v>
      </c>
      <c r="D142" s="5">
        <v>2023</v>
      </c>
      <c r="K142" s="14"/>
      <c r="L142" s="14"/>
    </row>
    <row r="143" spans="1:12" x14ac:dyDescent="0.35">
      <c r="A143" s="5">
        <v>100002244</v>
      </c>
      <c r="B143" s="12">
        <v>105019</v>
      </c>
      <c r="C143" s="5" t="s">
        <v>47</v>
      </c>
      <c r="D143" s="5">
        <v>2023</v>
      </c>
      <c r="K143" s="14"/>
      <c r="L143" s="14"/>
    </row>
    <row r="144" spans="1:12" x14ac:dyDescent="0.35">
      <c r="A144" s="5">
        <v>100000938</v>
      </c>
      <c r="B144" s="12">
        <v>104019</v>
      </c>
      <c r="C144" s="5" t="s">
        <v>128</v>
      </c>
      <c r="D144" s="5">
        <v>2023</v>
      </c>
      <c r="K144" s="14"/>
      <c r="L144" s="14"/>
    </row>
    <row r="145" spans="1:12" x14ac:dyDescent="0.35">
      <c r="A145" s="5">
        <v>100002921</v>
      </c>
      <c r="B145" s="12">
        <v>102057</v>
      </c>
      <c r="C145" s="5" t="s">
        <v>136</v>
      </c>
      <c r="D145" s="5">
        <v>2023</v>
      </c>
      <c r="K145" s="14"/>
      <c r="L145" s="14"/>
    </row>
    <row r="146" spans="1:12" x14ac:dyDescent="0.35">
      <c r="A146" s="5">
        <v>100005313</v>
      </c>
      <c r="B146" s="12">
        <v>209163</v>
      </c>
      <c r="C146" s="5" t="s">
        <v>80</v>
      </c>
      <c r="D146" s="5">
        <v>2023</v>
      </c>
      <c r="K146" s="14"/>
      <c r="L146" s="14"/>
    </row>
    <row r="147" spans="1:12" x14ac:dyDescent="0.35">
      <c r="A147" s="5">
        <v>100000046</v>
      </c>
      <c r="B147" s="12">
        <v>106001</v>
      </c>
      <c r="C147" s="5" t="s">
        <v>6</v>
      </c>
      <c r="D147" s="5">
        <v>2024</v>
      </c>
      <c r="K147" s="14"/>
      <c r="L147" s="14"/>
    </row>
    <row r="148" spans="1:12" x14ac:dyDescent="0.35">
      <c r="A148" s="5">
        <v>100002074</v>
      </c>
      <c r="B148" s="12">
        <v>102067</v>
      </c>
      <c r="C148" s="5" t="s">
        <v>9</v>
      </c>
      <c r="D148" s="5">
        <v>2024</v>
      </c>
      <c r="K148" s="14"/>
      <c r="L148" s="14"/>
    </row>
    <row r="149" spans="1:12" x14ac:dyDescent="0.35">
      <c r="A149" s="5">
        <v>100004356</v>
      </c>
      <c r="B149" s="12">
        <v>102125</v>
      </c>
      <c r="C149" s="5" t="s">
        <v>156</v>
      </c>
      <c r="D149" s="5">
        <v>2024</v>
      </c>
      <c r="K149" s="14"/>
      <c r="L149" s="14"/>
    </row>
    <row r="150" spans="1:12" x14ac:dyDescent="0.35">
      <c r="A150" s="5">
        <v>100004355</v>
      </c>
      <c r="B150" s="12">
        <v>209151</v>
      </c>
      <c r="C150" s="5" t="s">
        <v>23</v>
      </c>
      <c r="D150" s="5">
        <v>2024</v>
      </c>
      <c r="K150" s="14"/>
      <c r="L150" s="14"/>
    </row>
    <row r="151" spans="1:12" x14ac:dyDescent="0.35">
      <c r="A151" s="5">
        <v>100000535</v>
      </c>
      <c r="B151" s="12">
        <v>106015</v>
      </c>
      <c r="C151" s="5" t="s">
        <v>182</v>
      </c>
      <c r="D151" s="5">
        <v>2024</v>
      </c>
      <c r="K151" s="14"/>
      <c r="L151" s="14"/>
    </row>
    <row r="152" spans="1:12" x14ac:dyDescent="0.35">
      <c r="A152" s="5">
        <v>100000730</v>
      </c>
      <c r="B152" s="12">
        <v>106025</v>
      </c>
      <c r="C152" s="5" t="s">
        <v>196</v>
      </c>
      <c r="D152" s="5">
        <v>2024</v>
      </c>
      <c r="K152" s="14"/>
      <c r="L152" s="14"/>
    </row>
    <row r="153" spans="1:12" x14ac:dyDescent="0.35">
      <c r="A153" s="5">
        <v>100000771</v>
      </c>
      <c r="B153" s="12">
        <v>102190</v>
      </c>
      <c r="C153" s="5" t="s">
        <v>125</v>
      </c>
      <c r="D153" s="5">
        <v>2024</v>
      </c>
      <c r="K153" s="14"/>
      <c r="L153" s="14"/>
    </row>
    <row r="154" spans="1:12" x14ac:dyDescent="0.35">
      <c r="A154" s="5">
        <v>100003431</v>
      </c>
      <c r="B154" s="12">
        <v>101080</v>
      </c>
      <c r="C154" s="5" t="s">
        <v>42</v>
      </c>
      <c r="D154" s="5">
        <v>2024</v>
      </c>
      <c r="K154" s="14"/>
      <c r="L154" s="14"/>
    </row>
    <row r="155" spans="1:12" x14ac:dyDescent="0.35">
      <c r="A155" s="5">
        <v>100000918</v>
      </c>
      <c r="B155" s="12">
        <v>106030</v>
      </c>
      <c r="C155" s="5" t="s">
        <v>46</v>
      </c>
      <c r="D155" s="5">
        <v>2024</v>
      </c>
      <c r="K155" s="14"/>
      <c r="L155" s="14"/>
    </row>
    <row r="156" spans="1:12" x14ac:dyDescent="0.35">
      <c r="A156" s="5">
        <v>100001105</v>
      </c>
      <c r="B156" s="12">
        <v>209026</v>
      </c>
      <c r="C156" s="5" t="s">
        <v>167</v>
      </c>
      <c r="D156" s="5">
        <v>2024</v>
      </c>
      <c r="K156" s="14"/>
      <c r="L156" s="14"/>
    </row>
    <row r="157" spans="1:12" x14ac:dyDescent="0.35">
      <c r="A157" s="5">
        <v>100005482</v>
      </c>
      <c r="B157" s="12">
        <v>209090</v>
      </c>
      <c r="C157" s="5" t="s">
        <v>135</v>
      </c>
      <c r="D157" s="5">
        <v>2024</v>
      </c>
      <c r="K157" s="14"/>
      <c r="L157" s="14"/>
    </row>
    <row r="158" spans="1:12" x14ac:dyDescent="0.35">
      <c r="A158" s="5">
        <v>100001310</v>
      </c>
      <c r="B158" s="12">
        <v>106041</v>
      </c>
      <c r="C158" s="5" t="s">
        <v>76</v>
      </c>
      <c r="D158" s="5">
        <v>2024</v>
      </c>
      <c r="K158" s="14"/>
      <c r="L158" s="14"/>
    </row>
    <row r="159" spans="1:12" x14ac:dyDescent="0.35">
      <c r="A159" s="5">
        <v>100002561</v>
      </c>
      <c r="B159" s="12">
        <v>106042</v>
      </c>
      <c r="C159" s="5" t="s">
        <v>170</v>
      </c>
      <c r="D159" s="5">
        <v>2024</v>
      </c>
      <c r="K159" s="14"/>
      <c r="L159" s="14"/>
    </row>
    <row r="160" spans="1:12" x14ac:dyDescent="0.35">
      <c r="A160" s="5">
        <v>100001367</v>
      </c>
      <c r="B160" s="12">
        <v>103049</v>
      </c>
      <c r="C160" s="5" t="s">
        <v>185</v>
      </c>
      <c r="D160" s="5">
        <v>2024</v>
      </c>
      <c r="K160" s="14"/>
      <c r="L160" s="14"/>
    </row>
    <row r="161" spans="1:12" x14ac:dyDescent="0.35">
      <c r="A161" s="5">
        <v>100006806</v>
      </c>
      <c r="B161" s="12">
        <v>102186</v>
      </c>
      <c r="C161" s="5" t="s">
        <v>112</v>
      </c>
      <c r="D161" s="5">
        <v>2024</v>
      </c>
      <c r="K161" s="14"/>
      <c r="L161" s="14"/>
    </row>
    <row r="162" spans="1:12" x14ac:dyDescent="0.35">
      <c r="A162" s="5">
        <v>100002903</v>
      </c>
      <c r="B162" s="12">
        <v>102093</v>
      </c>
      <c r="C162" s="5" t="s">
        <v>192</v>
      </c>
      <c r="D162" s="5">
        <v>2024</v>
      </c>
      <c r="K162" s="14"/>
      <c r="L162" s="14"/>
    </row>
    <row r="163" spans="1:12" x14ac:dyDescent="0.35">
      <c r="A163" s="5">
        <v>100000772</v>
      </c>
      <c r="B163" s="12">
        <v>106028</v>
      </c>
      <c r="C163" s="5" t="s">
        <v>36</v>
      </c>
      <c r="D163" s="5">
        <v>2024</v>
      </c>
      <c r="K163" s="14"/>
      <c r="L163" s="14"/>
    </row>
    <row r="164" spans="1:12" x14ac:dyDescent="0.35">
      <c r="A164" s="5">
        <v>100000918</v>
      </c>
      <c r="B164" s="12">
        <v>106030</v>
      </c>
      <c r="C164" s="5" t="s">
        <v>46</v>
      </c>
      <c r="D164" s="5">
        <v>2024</v>
      </c>
      <c r="K164" s="14"/>
      <c r="L164" s="14"/>
    </row>
    <row r="165" spans="1:12" x14ac:dyDescent="0.35">
      <c r="A165" s="5">
        <v>100001018</v>
      </c>
      <c r="B165" s="12">
        <v>102010</v>
      </c>
      <c r="C165" s="5" t="s">
        <v>51</v>
      </c>
      <c r="D165" s="5">
        <v>2024</v>
      </c>
      <c r="K165" s="14"/>
      <c r="L165" s="14"/>
    </row>
    <row r="166" spans="1:12" x14ac:dyDescent="0.35">
      <c r="A166" s="5">
        <v>100001143</v>
      </c>
      <c r="B166" s="12">
        <v>104025</v>
      </c>
      <c r="C166" s="5" t="s">
        <v>137</v>
      </c>
      <c r="D166" s="5">
        <v>2024</v>
      </c>
      <c r="K166" s="14"/>
      <c r="L166" s="14"/>
    </row>
    <row r="167" spans="1:12" x14ac:dyDescent="0.35">
      <c r="A167" s="5">
        <v>100001199</v>
      </c>
      <c r="B167" s="12">
        <v>106037</v>
      </c>
      <c r="C167" s="5" t="s">
        <v>164</v>
      </c>
      <c r="D167" s="5">
        <v>2024</v>
      </c>
    </row>
    <row r="168" spans="1:12" x14ac:dyDescent="0.35">
      <c r="A168" s="5">
        <v>100001310</v>
      </c>
      <c r="B168" s="12">
        <v>106041</v>
      </c>
      <c r="C168" s="5" t="s">
        <v>76</v>
      </c>
      <c r="D168" s="5">
        <v>2024</v>
      </c>
    </row>
    <row r="169" spans="1:12" x14ac:dyDescent="0.35">
      <c r="A169" s="5">
        <v>100002561</v>
      </c>
      <c r="B169" s="12">
        <v>106042</v>
      </c>
      <c r="C169" s="5" t="s">
        <v>170</v>
      </c>
      <c r="D169" s="5">
        <v>2024</v>
      </c>
    </row>
    <row r="170" spans="1:12" x14ac:dyDescent="0.35">
      <c r="A170" s="5">
        <v>100004702</v>
      </c>
      <c r="B170" s="12">
        <v>102122</v>
      </c>
      <c r="C170" s="5" t="s">
        <v>78</v>
      </c>
      <c r="D170" s="5">
        <v>2024</v>
      </c>
    </row>
    <row r="171" spans="1:12" x14ac:dyDescent="0.35">
      <c r="A171" s="5">
        <v>100005313</v>
      </c>
      <c r="B171" s="12">
        <v>209163</v>
      </c>
      <c r="C171" s="5" t="s">
        <v>80</v>
      </c>
      <c r="D171" s="5">
        <v>2024</v>
      </c>
    </row>
    <row r="172" spans="1:12" x14ac:dyDescent="0.35">
      <c r="A172" s="5">
        <v>100002000</v>
      </c>
      <c r="B172" s="12">
        <v>106019</v>
      </c>
      <c r="C172" s="5" t="s">
        <v>2</v>
      </c>
      <c r="D172" s="5">
        <v>2024</v>
      </c>
    </row>
    <row r="173" spans="1:12" x14ac:dyDescent="0.35">
      <c r="A173" s="5">
        <v>100002074</v>
      </c>
      <c r="B173" s="12">
        <v>102067</v>
      </c>
      <c r="C173" s="5" t="s">
        <v>9</v>
      </c>
      <c r="D173" s="5">
        <v>2024</v>
      </c>
    </row>
    <row r="174" spans="1:12" x14ac:dyDescent="0.35">
      <c r="A174" s="5">
        <v>100002004</v>
      </c>
      <c r="B174" s="12">
        <v>102148</v>
      </c>
      <c r="C174" s="5" t="s">
        <v>18</v>
      </c>
      <c r="D174" s="5">
        <v>2024</v>
      </c>
    </row>
    <row r="175" spans="1:12" x14ac:dyDescent="0.35">
      <c r="A175" s="5">
        <v>100000551</v>
      </c>
      <c r="B175" s="12">
        <v>106023</v>
      </c>
      <c r="C175" s="5" t="s">
        <v>26</v>
      </c>
      <c r="D175" s="5">
        <v>2024</v>
      </c>
    </row>
    <row r="176" spans="1:12" x14ac:dyDescent="0.35">
      <c r="A176" s="5">
        <v>100001916</v>
      </c>
      <c r="B176" s="12">
        <v>102124</v>
      </c>
      <c r="C176" s="5" t="s">
        <v>27</v>
      </c>
      <c r="D176" s="5">
        <v>2024</v>
      </c>
    </row>
    <row r="177" spans="1:4" x14ac:dyDescent="0.35">
      <c r="A177" s="5">
        <v>100000688</v>
      </c>
      <c r="B177" s="12">
        <v>104014</v>
      </c>
      <c r="C177" s="5" t="s">
        <v>120</v>
      </c>
      <c r="D177" s="5">
        <v>2024</v>
      </c>
    </row>
    <row r="178" spans="1:4" x14ac:dyDescent="0.35">
      <c r="A178" s="5">
        <v>100000697</v>
      </c>
      <c r="B178" s="12">
        <v>102177</v>
      </c>
      <c r="C178" s="5" t="s">
        <v>122</v>
      </c>
      <c r="D178" s="5">
        <v>2024</v>
      </c>
    </row>
    <row r="179" spans="1:4" x14ac:dyDescent="0.35">
      <c r="A179" s="5">
        <v>100000772</v>
      </c>
      <c r="B179" s="12">
        <v>106028</v>
      </c>
      <c r="C179" s="5" t="s">
        <v>36</v>
      </c>
      <c r="D179" s="5">
        <v>2024</v>
      </c>
    </row>
    <row r="180" spans="1:4" x14ac:dyDescent="0.35">
      <c r="A180" s="5">
        <v>100002241</v>
      </c>
      <c r="B180" s="12">
        <v>209161</v>
      </c>
      <c r="C180" s="5" t="s">
        <v>39</v>
      </c>
      <c r="D180" s="5">
        <v>2024</v>
      </c>
    </row>
    <row r="181" spans="1:4" x14ac:dyDescent="0.35">
      <c r="A181" s="5">
        <v>100000918</v>
      </c>
      <c r="B181" s="12">
        <v>106030</v>
      </c>
      <c r="C181" s="5" t="s">
        <v>46</v>
      </c>
      <c r="D181" s="5">
        <v>2024</v>
      </c>
    </row>
    <row r="182" spans="1:4" x14ac:dyDescent="0.35">
      <c r="A182" s="5">
        <v>100001016</v>
      </c>
      <c r="B182" s="12">
        <v>103022</v>
      </c>
      <c r="C182" s="5" t="s">
        <v>50</v>
      </c>
      <c r="D182" s="5">
        <v>2024</v>
      </c>
    </row>
    <row r="183" spans="1:4" x14ac:dyDescent="0.35">
      <c r="A183" s="5">
        <v>100001310</v>
      </c>
      <c r="B183" s="12">
        <v>106041</v>
      </c>
      <c r="C183" s="5" t="s">
        <v>76</v>
      </c>
      <c r="D183" s="5">
        <v>2024</v>
      </c>
    </row>
    <row r="184" spans="1:4" x14ac:dyDescent="0.35">
      <c r="A184" s="5">
        <v>100002561</v>
      </c>
      <c r="B184" s="12">
        <v>106042</v>
      </c>
      <c r="C184" s="5" t="s">
        <v>170</v>
      </c>
      <c r="D184" s="5">
        <v>2024</v>
      </c>
    </row>
    <row r="185" spans="1:4" x14ac:dyDescent="0.35">
      <c r="A185" s="5">
        <v>100001367</v>
      </c>
      <c r="B185" s="12">
        <v>103049</v>
      </c>
      <c r="C185" s="5" t="s">
        <v>185</v>
      </c>
      <c r="D185" s="5">
        <v>2024</v>
      </c>
    </row>
    <row r="186" spans="1:4" x14ac:dyDescent="0.35">
      <c r="A186" s="5">
        <v>100005313</v>
      </c>
      <c r="B186" s="12">
        <v>209163</v>
      </c>
      <c r="C186" s="5" t="s">
        <v>80</v>
      </c>
      <c r="D186" s="5">
        <v>2024</v>
      </c>
    </row>
    <row r="187" spans="1:4" x14ac:dyDescent="0.35">
      <c r="A187" s="5">
        <v>100005314</v>
      </c>
      <c r="B187" s="12">
        <v>209106</v>
      </c>
      <c r="C187" s="5" t="s">
        <v>145</v>
      </c>
      <c r="D187" s="5">
        <v>2024</v>
      </c>
    </row>
    <row r="188" spans="1:4" x14ac:dyDescent="0.35">
      <c r="A188" s="5">
        <v>100004677</v>
      </c>
      <c r="B188" s="12" t="s">
        <v>257</v>
      </c>
      <c r="C188" s="5" t="s">
        <v>148</v>
      </c>
      <c r="D188" s="5">
        <v>2024</v>
      </c>
    </row>
    <row r="189" spans="1:4" x14ac:dyDescent="0.35">
      <c r="A189" s="5">
        <v>100002074</v>
      </c>
      <c r="B189" s="12">
        <v>102067</v>
      </c>
      <c r="C189" s="5" t="s">
        <v>9</v>
      </c>
      <c r="D189" s="5">
        <v>2024</v>
      </c>
    </row>
    <row r="190" spans="1:4" x14ac:dyDescent="0.35">
      <c r="A190" s="5">
        <v>100000388</v>
      </c>
      <c r="B190" s="12">
        <v>103009</v>
      </c>
      <c r="C190" s="5" t="s">
        <v>151</v>
      </c>
      <c r="D190" s="5">
        <v>2024</v>
      </c>
    </row>
    <row r="191" spans="1:4" x14ac:dyDescent="0.35">
      <c r="A191" s="5">
        <v>100001916</v>
      </c>
      <c r="B191" s="12">
        <v>102124</v>
      </c>
      <c r="C191" s="5" t="s">
        <v>27</v>
      </c>
      <c r="D191" s="5">
        <v>2024</v>
      </c>
    </row>
    <row r="192" spans="1:4" x14ac:dyDescent="0.35">
      <c r="A192" s="5">
        <v>100000733</v>
      </c>
      <c r="B192" s="12">
        <v>108010</v>
      </c>
      <c r="C192" s="5" t="s">
        <v>152</v>
      </c>
      <c r="D192" s="5">
        <v>2024</v>
      </c>
    </row>
    <row r="193" spans="1:4" x14ac:dyDescent="0.35">
      <c r="A193" s="5">
        <v>100003221</v>
      </c>
      <c r="B193" s="12">
        <v>102183</v>
      </c>
      <c r="C193" s="5" t="s">
        <v>153</v>
      </c>
      <c r="D193" s="5">
        <v>2024</v>
      </c>
    </row>
    <row r="194" spans="1:4" x14ac:dyDescent="0.35">
      <c r="A194" s="5">
        <v>100001041</v>
      </c>
      <c r="B194" s="12">
        <v>102081</v>
      </c>
      <c r="C194" s="5" t="s">
        <v>53</v>
      </c>
      <c r="D194" s="5">
        <v>2024</v>
      </c>
    </row>
    <row r="195" spans="1:4" x14ac:dyDescent="0.35">
      <c r="A195" s="5">
        <v>100001042</v>
      </c>
      <c r="B195" s="12">
        <v>102178</v>
      </c>
      <c r="C195" s="5" t="s">
        <v>154</v>
      </c>
      <c r="D195" s="5">
        <v>2024</v>
      </c>
    </row>
    <row r="196" spans="1:4" x14ac:dyDescent="0.35">
      <c r="A196" s="5">
        <v>100003840</v>
      </c>
      <c r="B196" s="12">
        <v>102187</v>
      </c>
      <c r="C196" s="5" t="s">
        <v>61</v>
      </c>
      <c r="D196" s="5">
        <v>2024</v>
      </c>
    </row>
    <row r="197" spans="1:4" x14ac:dyDescent="0.35">
      <c r="A197" s="5">
        <v>100002906</v>
      </c>
      <c r="B197" s="12">
        <v>102096</v>
      </c>
      <c r="C197" s="5" t="s">
        <v>67</v>
      </c>
      <c r="D197" s="5">
        <v>2024</v>
      </c>
    </row>
    <row r="198" spans="1:4" x14ac:dyDescent="0.35">
      <c r="A198" s="5">
        <v>100001310</v>
      </c>
      <c r="B198" s="12">
        <v>106041</v>
      </c>
      <c r="C198" s="5" t="s">
        <v>76</v>
      </c>
      <c r="D198" s="5">
        <v>2024</v>
      </c>
    </row>
    <row r="199" spans="1:4" x14ac:dyDescent="0.35">
      <c r="A199" s="5">
        <v>100004645</v>
      </c>
      <c r="B199" s="12">
        <v>209067</v>
      </c>
      <c r="C199" s="5" t="s">
        <v>79</v>
      </c>
      <c r="D199" s="5">
        <v>2024</v>
      </c>
    </row>
    <row r="200" spans="1:4" x14ac:dyDescent="0.35">
      <c r="A200" s="5">
        <v>100000046</v>
      </c>
      <c r="B200" s="12">
        <v>106001</v>
      </c>
      <c r="C200" s="5" t="s">
        <v>6</v>
      </c>
      <c r="D200" s="5">
        <v>2024</v>
      </c>
    </row>
    <row r="201" spans="1:4" x14ac:dyDescent="0.35">
      <c r="A201" s="5">
        <v>100002092</v>
      </c>
      <c r="B201" s="12">
        <v>209003</v>
      </c>
      <c r="C201" s="5" t="s">
        <v>12</v>
      </c>
      <c r="D201" s="5">
        <v>2024</v>
      </c>
    </row>
    <row r="202" spans="1:4" x14ac:dyDescent="0.35">
      <c r="A202" s="5">
        <v>100000244</v>
      </c>
      <c r="B202" s="12">
        <v>102027</v>
      </c>
      <c r="C202" s="5" t="s">
        <v>13</v>
      </c>
      <c r="D202" s="5">
        <v>2024</v>
      </c>
    </row>
    <row r="203" spans="1:4" x14ac:dyDescent="0.35">
      <c r="A203" s="5">
        <v>100004000</v>
      </c>
      <c r="B203" s="12">
        <v>101104</v>
      </c>
      <c r="C203" s="5" t="s">
        <v>172</v>
      </c>
      <c r="D203" s="5">
        <v>2024</v>
      </c>
    </row>
    <row r="204" spans="1:4" x14ac:dyDescent="0.35">
      <c r="A204" s="5">
        <v>100004001</v>
      </c>
      <c r="B204" s="12">
        <v>101103</v>
      </c>
      <c r="C204" s="5" t="s">
        <v>22</v>
      </c>
      <c r="D204" s="5">
        <v>2024</v>
      </c>
    </row>
    <row r="205" spans="1:4" x14ac:dyDescent="0.35">
      <c r="A205" s="5">
        <v>100000529</v>
      </c>
      <c r="B205" s="12">
        <v>106014</v>
      </c>
      <c r="C205" s="5" t="s">
        <v>25</v>
      </c>
      <c r="D205" s="5">
        <v>2024</v>
      </c>
    </row>
    <row r="206" spans="1:4" x14ac:dyDescent="0.35">
      <c r="A206" s="5">
        <v>100003448</v>
      </c>
      <c r="B206" s="12">
        <v>101027</v>
      </c>
      <c r="C206" s="5" t="s">
        <v>32</v>
      </c>
      <c r="D206" s="5">
        <v>2024</v>
      </c>
    </row>
    <row r="207" spans="1:4" x14ac:dyDescent="0.35">
      <c r="A207" s="5">
        <v>100000721</v>
      </c>
      <c r="B207" s="12">
        <v>108006</v>
      </c>
      <c r="C207" s="5" t="s">
        <v>124</v>
      </c>
      <c r="D207" s="5">
        <v>2024</v>
      </c>
    </row>
    <row r="208" spans="1:4" x14ac:dyDescent="0.35">
      <c r="A208" s="5">
        <v>100000918</v>
      </c>
      <c r="B208" s="12">
        <v>106030</v>
      </c>
      <c r="C208" s="5" t="s">
        <v>46</v>
      </c>
      <c r="D208" s="5">
        <v>2024</v>
      </c>
    </row>
    <row r="209" spans="1:4" x14ac:dyDescent="0.35">
      <c r="A209" s="5">
        <v>100001016</v>
      </c>
      <c r="B209" s="12">
        <v>103022</v>
      </c>
      <c r="C209" s="5" t="s">
        <v>50</v>
      </c>
      <c r="D209" s="5">
        <v>2024</v>
      </c>
    </row>
    <row r="210" spans="1:4" x14ac:dyDescent="0.35">
      <c r="A210" s="5">
        <v>100001041</v>
      </c>
      <c r="B210" s="12">
        <v>102081</v>
      </c>
      <c r="C210" s="5" t="s">
        <v>53</v>
      </c>
      <c r="D210" s="5">
        <v>2024</v>
      </c>
    </row>
    <row r="211" spans="1:4" x14ac:dyDescent="0.35">
      <c r="A211" s="5">
        <v>100001052</v>
      </c>
      <c r="B211" s="12">
        <v>102012</v>
      </c>
      <c r="C211" s="5" t="s">
        <v>56</v>
      </c>
      <c r="D211" s="5">
        <v>2024</v>
      </c>
    </row>
    <row r="212" spans="1:4" x14ac:dyDescent="0.35">
      <c r="A212" s="5">
        <v>100002254</v>
      </c>
      <c r="B212" s="12">
        <v>106090</v>
      </c>
      <c r="C212" s="5" t="s">
        <v>60</v>
      </c>
      <c r="D212" s="5">
        <v>2024</v>
      </c>
    </row>
    <row r="213" spans="1:4" x14ac:dyDescent="0.35">
      <c r="A213" s="5">
        <v>100005482</v>
      </c>
      <c r="B213" s="12">
        <v>209090</v>
      </c>
      <c r="C213" s="5" t="s">
        <v>135</v>
      </c>
      <c r="D213" s="5">
        <v>2024</v>
      </c>
    </row>
    <row r="214" spans="1:4" x14ac:dyDescent="0.35">
      <c r="A214" s="5">
        <v>100001199</v>
      </c>
      <c r="B214" s="12">
        <v>106037</v>
      </c>
      <c r="C214" s="5" t="s">
        <v>164</v>
      </c>
      <c r="D214" s="5">
        <v>2024</v>
      </c>
    </row>
    <row r="215" spans="1:4" x14ac:dyDescent="0.35">
      <c r="A215" s="5">
        <v>100002261</v>
      </c>
      <c r="B215" s="12">
        <v>102138</v>
      </c>
      <c r="C215" s="5" t="s">
        <v>139</v>
      </c>
      <c r="D215" s="5">
        <v>2024</v>
      </c>
    </row>
    <row r="216" spans="1:4" x14ac:dyDescent="0.35">
      <c r="A216" s="5">
        <v>100001260</v>
      </c>
      <c r="B216" s="12">
        <v>106017</v>
      </c>
      <c r="C216" s="5" t="s">
        <v>73</v>
      </c>
      <c r="D216" s="5">
        <v>2024</v>
      </c>
    </row>
    <row r="217" spans="1:4" x14ac:dyDescent="0.35">
      <c r="A217" s="5">
        <v>100001310</v>
      </c>
      <c r="B217" s="12">
        <v>106041</v>
      </c>
      <c r="C217" s="5" t="s">
        <v>76</v>
      </c>
      <c r="D217" s="5">
        <v>2024</v>
      </c>
    </row>
    <row r="218" spans="1:4" x14ac:dyDescent="0.35">
      <c r="A218" s="5">
        <v>100001551</v>
      </c>
      <c r="B218" s="12">
        <v>105010</v>
      </c>
      <c r="C218" s="5" t="s">
        <v>86</v>
      </c>
      <c r="D218" s="5">
        <v>2024</v>
      </c>
    </row>
    <row r="219" spans="1:4" x14ac:dyDescent="0.35">
      <c r="A219" s="5">
        <v>100005268</v>
      </c>
      <c r="B219" s="12">
        <v>101072</v>
      </c>
      <c r="C219" s="5" t="s">
        <v>11</v>
      </c>
      <c r="D219" s="5">
        <v>2024</v>
      </c>
    </row>
    <row r="220" spans="1:4" x14ac:dyDescent="0.35">
      <c r="A220" s="5">
        <v>100000241</v>
      </c>
      <c r="B220" s="12">
        <v>106006</v>
      </c>
      <c r="C220" s="5" t="s">
        <v>107</v>
      </c>
      <c r="D220" s="5">
        <v>2024</v>
      </c>
    </row>
    <row r="221" spans="1:4" x14ac:dyDescent="0.35">
      <c r="A221" s="5">
        <v>100000772</v>
      </c>
      <c r="B221" s="12">
        <v>106028</v>
      </c>
      <c r="C221" s="5" t="s">
        <v>36</v>
      </c>
      <c r="D221" s="5">
        <v>2024</v>
      </c>
    </row>
    <row r="222" spans="1:4" x14ac:dyDescent="0.35">
      <c r="A222" s="5">
        <v>100000809</v>
      </c>
      <c r="B222" s="12">
        <v>101017</v>
      </c>
      <c r="C222" s="5" t="s">
        <v>89</v>
      </c>
      <c r="D222" s="5">
        <v>2024</v>
      </c>
    </row>
    <row r="223" spans="1:4" x14ac:dyDescent="0.35">
      <c r="A223" s="5">
        <v>100004066</v>
      </c>
      <c r="B223" s="12">
        <v>102184</v>
      </c>
      <c r="C223" s="5" t="s">
        <v>49</v>
      </c>
      <c r="D223" s="5">
        <v>2024</v>
      </c>
    </row>
    <row r="224" spans="1:4" x14ac:dyDescent="0.35">
      <c r="A224" s="5">
        <v>100001222</v>
      </c>
      <c r="B224" s="12">
        <v>106047</v>
      </c>
      <c r="C224" s="5" t="s">
        <v>169</v>
      </c>
      <c r="D224" s="5">
        <v>2024</v>
      </c>
    </row>
    <row r="225" spans="1:4" x14ac:dyDescent="0.35">
      <c r="A225" s="5">
        <v>100002561</v>
      </c>
      <c r="B225" s="12">
        <v>106042</v>
      </c>
      <c r="C225" s="5" t="s">
        <v>170</v>
      </c>
      <c r="D225" s="5">
        <v>2024</v>
      </c>
    </row>
    <row r="226" spans="1:4" x14ac:dyDescent="0.35">
      <c r="A226" s="5">
        <v>100004116</v>
      </c>
      <c r="B226" s="12">
        <v>106050</v>
      </c>
      <c r="C226" s="5" t="s">
        <v>81</v>
      </c>
      <c r="D226" s="5">
        <v>2024</v>
      </c>
    </row>
    <row r="227" spans="1:4" x14ac:dyDescent="0.35">
      <c r="A227" s="5">
        <v>100000308</v>
      </c>
      <c r="B227" s="12" t="s">
        <v>257</v>
      </c>
      <c r="C227" s="5" t="s">
        <v>174</v>
      </c>
      <c r="D227" s="5">
        <v>2024</v>
      </c>
    </row>
    <row r="228" spans="1:4" x14ac:dyDescent="0.35">
      <c r="A228" s="5">
        <v>100000381</v>
      </c>
      <c r="B228" s="12">
        <v>209014</v>
      </c>
      <c r="C228" s="5" t="s">
        <v>87</v>
      </c>
      <c r="D228" s="5">
        <v>2024</v>
      </c>
    </row>
    <row r="229" spans="1:4" x14ac:dyDescent="0.35">
      <c r="A229" s="5">
        <v>100004001</v>
      </c>
      <c r="B229" s="12">
        <v>101103</v>
      </c>
      <c r="C229" s="5" t="s">
        <v>22</v>
      </c>
      <c r="D229" s="5">
        <v>2024</v>
      </c>
    </row>
    <row r="230" spans="1:4" x14ac:dyDescent="0.35">
      <c r="A230" s="5">
        <v>100000649</v>
      </c>
      <c r="B230" s="12">
        <v>102008</v>
      </c>
      <c r="C230" s="5" t="s">
        <v>31</v>
      </c>
      <c r="D230" s="5">
        <v>2024</v>
      </c>
    </row>
    <row r="231" spans="1:4" x14ac:dyDescent="0.35">
      <c r="A231" s="5">
        <v>100000809</v>
      </c>
      <c r="B231" s="12">
        <v>101017</v>
      </c>
      <c r="C231" s="5" t="s">
        <v>89</v>
      </c>
      <c r="D231" s="5">
        <v>2024</v>
      </c>
    </row>
    <row r="232" spans="1:4" x14ac:dyDescent="0.35">
      <c r="A232" s="5">
        <v>100002921</v>
      </c>
      <c r="B232" s="12">
        <v>102057</v>
      </c>
      <c r="C232" s="5" t="s">
        <v>136</v>
      </c>
      <c r="D232" s="5">
        <v>2024</v>
      </c>
    </row>
    <row r="233" spans="1:4" x14ac:dyDescent="0.35">
      <c r="A233" s="5">
        <v>100003413</v>
      </c>
      <c r="B233" s="12">
        <v>209109</v>
      </c>
      <c r="C233" s="5" t="s">
        <v>138</v>
      </c>
      <c r="D233" s="5">
        <v>2024</v>
      </c>
    </row>
    <row r="234" spans="1:4" x14ac:dyDescent="0.35">
      <c r="A234" s="5">
        <v>100001232</v>
      </c>
      <c r="B234" s="12">
        <v>102075</v>
      </c>
      <c r="C234" s="5" t="s">
        <v>68</v>
      </c>
      <c r="D234" s="5">
        <v>2024</v>
      </c>
    </row>
    <row r="235" spans="1:4" x14ac:dyDescent="0.35">
      <c r="A235" s="5">
        <v>100002269</v>
      </c>
      <c r="B235" s="12">
        <v>209103</v>
      </c>
      <c r="C235" s="5" t="s">
        <v>82</v>
      </c>
      <c r="D235" s="5">
        <v>2024</v>
      </c>
    </row>
    <row r="236" spans="1:4" x14ac:dyDescent="0.35">
      <c r="A236" s="5">
        <v>100004675</v>
      </c>
      <c r="B236" s="12">
        <v>102171</v>
      </c>
      <c r="C236" s="5" t="s">
        <v>83</v>
      </c>
      <c r="D236" s="5">
        <v>2024</v>
      </c>
    </row>
    <row r="237" spans="1:4" x14ac:dyDescent="0.35">
      <c r="A237" s="5">
        <v>100000381</v>
      </c>
      <c r="B237" s="12">
        <v>209014</v>
      </c>
      <c r="C237" s="5" t="s">
        <v>87</v>
      </c>
      <c r="D237" s="5">
        <v>2024</v>
      </c>
    </row>
    <row r="238" spans="1:4" x14ac:dyDescent="0.35">
      <c r="A238" s="5">
        <v>100004642</v>
      </c>
      <c r="B238" s="12">
        <v>209155</v>
      </c>
      <c r="C238" s="5" t="s">
        <v>88</v>
      </c>
      <c r="D238" s="5">
        <v>2024</v>
      </c>
    </row>
    <row r="239" spans="1:4" x14ac:dyDescent="0.35">
      <c r="A239" s="5">
        <v>100000809</v>
      </c>
      <c r="B239" s="12">
        <v>101017</v>
      </c>
      <c r="C239" s="5" t="s">
        <v>89</v>
      </c>
      <c r="D239" s="5">
        <v>2024</v>
      </c>
    </row>
    <row r="240" spans="1:4" x14ac:dyDescent="0.35">
      <c r="A240" s="5">
        <v>100005505</v>
      </c>
      <c r="B240" s="12">
        <v>422001</v>
      </c>
      <c r="C240" s="5" t="s">
        <v>90</v>
      </c>
      <c r="D240" s="5">
        <v>2024</v>
      </c>
    </row>
    <row r="241" spans="1:4" x14ac:dyDescent="0.35">
      <c r="A241" s="5">
        <v>100005302</v>
      </c>
      <c r="B241" s="12">
        <v>101073</v>
      </c>
      <c r="C241" s="5" t="s">
        <v>58</v>
      </c>
      <c r="D241" s="5">
        <v>2024</v>
      </c>
    </row>
    <row r="242" spans="1:4" x14ac:dyDescent="0.35">
      <c r="A242" s="5">
        <v>100004632</v>
      </c>
      <c r="B242" s="12">
        <v>101074</v>
      </c>
      <c r="C242" s="5" t="s">
        <v>59</v>
      </c>
      <c r="D242" s="5">
        <v>2024</v>
      </c>
    </row>
    <row r="243" spans="1:4" x14ac:dyDescent="0.35">
      <c r="A243" s="5">
        <v>100001902</v>
      </c>
      <c r="B243" s="12">
        <v>101033</v>
      </c>
      <c r="C243" s="5" t="s">
        <v>15</v>
      </c>
      <c r="D243" s="5">
        <v>2024</v>
      </c>
    </row>
    <row r="244" spans="1:4" x14ac:dyDescent="0.35">
      <c r="A244" s="5">
        <v>100003422</v>
      </c>
      <c r="B244" s="12">
        <v>209105</v>
      </c>
      <c r="C244" s="5" t="s">
        <v>108</v>
      </c>
      <c r="D244" s="5">
        <v>2024</v>
      </c>
    </row>
    <row r="245" spans="1:4" x14ac:dyDescent="0.35">
      <c r="A245" s="5">
        <v>100000381</v>
      </c>
      <c r="B245" s="12">
        <v>209014</v>
      </c>
      <c r="C245" s="5" t="s">
        <v>87</v>
      </c>
      <c r="D245" s="5">
        <v>2024</v>
      </c>
    </row>
    <row r="246" spans="1:4" x14ac:dyDescent="0.35">
      <c r="A246" s="5">
        <v>100001903</v>
      </c>
      <c r="B246" s="12">
        <v>103013</v>
      </c>
      <c r="C246" s="5" t="s">
        <v>155</v>
      </c>
      <c r="D246" s="5">
        <v>2024</v>
      </c>
    </row>
    <row r="247" spans="1:4" x14ac:dyDescent="0.35">
      <c r="A247" s="5">
        <v>100000535</v>
      </c>
      <c r="B247" s="12">
        <v>106015</v>
      </c>
      <c r="C247" s="5" t="s">
        <v>182</v>
      </c>
      <c r="D247" s="5">
        <v>2024</v>
      </c>
    </row>
    <row r="248" spans="1:4" x14ac:dyDescent="0.35">
      <c r="A248" s="5">
        <v>100000908</v>
      </c>
      <c r="B248" s="12">
        <v>101028</v>
      </c>
      <c r="C248" s="5" t="s">
        <v>43</v>
      </c>
      <c r="D248" s="5">
        <v>2024</v>
      </c>
    </row>
    <row r="249" spans="1:4" x14ac:dyDescent="0.35">
      <c r="A249" s="5">
        <v>100005505</v>
      </c>
      <c r="B249" s="12">
        <v>422001</v>
      </c>
      <c r="C249" s="5" t="s">
        <v>90</v>
      </c>
      <c r="D249" s="5">
        <v>2024</v>
      </c>
    </row>
    <row r="250" spans="1:4" x14ac:dyDescent="0.35">
      <c r="A250" s="5">
        <v>100004066</v>
      </c>
      <c r="B250" s="12">
        <v>102184</v>
      </c>
      <c r="C250" s="5" t="s">
        <v>49</v>
      </c>
      <c r="D250" s="5">
        <v>2024</v>
      </c>
    </row>
    <row r="251" spans="1:4" x14ac:dyDescent="0.35">
      <c r="A251" s="5">
        <v>100002921</v>
      </c>
      <c r="B251" s="12">
        <v>102057</v>
      </c>
      <c r="C251" s="5" t="s">
        <v>136</v>
      </c>
      <c r="D251" s="5">
        <v>2024</v>
      </c>
    </row>
    <row r="252" spans="1:4" x14ac:dyDescent="0.35">
      <c r="A252" s="5">
        <v>100001260</v>
      </c>
      <c r="B252" s="12">
        <v>106017</v>
      </c>
      <c r="C252" s="5" t="s">
        <v>73</v>
      </c>
      <c r="D252" s="5">
        <v>2024</v>
      </c>
    </row>
    <row r="253" spans="1:4" x14ac:dyDescent="0.35">
      <c r="A253" s="5">
        <v>100002314</v>
      </c>
      <c r="B253" s="12">
        <v>105008</v>
      </c>
      <c r="C253" s="5" t="s">
        <v>74</v>
      </c>
      <c r="D253" s="5">
        <v>2024</v>
      </c>
    </row>
    <row r="254" spans="1:4" x14ac:dyDescent="0.35">
      <c r="A254" s="5">
        <v>100001463</v>
      </c>
      <c r="B254" s="12">
        <v>107011</v>
      </c>
      <c r="C254" s="5" t="s">
        <v>183</v>
      </c>
      <c r="D254" s="5">
        <v>2024</v>
      </c>
    </row>
    <row r="255" spans="1:4" x14ac:dyDescent="0.35">
      <c r="A255" s="5">
        <v>100000368</v>
      </c>
      <c r="B255" s="12">
        <v>106009</v>
      </c>
      <c r="C255" s="5" t="s">
        <v>110</v>
      </c>
      <c r="D255" s="5">
        <v>2024</v>
      </c>
    </row>
    <row r="256" spans="1:4" x14ac:dyDescent="0.35">
      <c r="A256" s="5">
        <v>100000486</v>
      </c>
      <c r="B256" s="12">
        <v>101016</v>
      </c>
      <c r="C256" s="5" t="s">
        <v>205</v>
      </c>
      <c r="D256" s="5">
        <v>2024</v>
      </c>
    </row>
    <row r="257" spans="1:4" x14ac:dyDescent="0.35">
      <c r="A257" s="5">
        <v>100000763</v>
      </c>
      <c r="B257" s="12">
        <v>106026</v>
      </c>
      <c r="C257" s="5" t="s">
        <v>179</v>
      </c>
      <c r="D257" s="5">
        <v>2024</v>
      </c>
    </row>
    <row r="258" spans="1:4" x14ac:dyDescent="0.35">
      <c r="A258" s="5">
        <v>100000772</v>
      </c>
      <c r="B258" s="12">
        <v>106028</v>
      </c>
      <c r="C258" s="5" t="s">
        <v>36</v>
      </c>
      <c r="D258" s="5">
        <v>2024</v>
      </c>
    </row>
    <row r="259" spans="1:4" x14ac:dyDescent="0.35">
      <c r="A259" s="5">
        <v>100001068</v>
      </c>
      <c r="B259" s="12">
        <v>106053</v>
      </c>
      <c r="C259" s="5" t="s">
        <v>206</v>
      </c>
      <c r="D259" s="5">
        <v>2024</v>
      </c>
    </row>
    <row r="260" spans="1:4" x14ac:dyDescent="0.35">
      <c r="A260" s="5">
        <v>100005268</v>
      </c>
      <c r="B260" s="12">
        <v>101072</v>
      </c>
      <c r="C260" s="5" t="s">
        <v>11</v>
      </c>
      <c r="D260" s="5">
        <v>2024</v>
      </c>
    </row>
    <row r="261" spans="1:4" x14ac:dyDescent="0.35">
      <c r="A261" s="5">
        <v>100004006</v>
      </c>
      <c r="B261" s="12">
        <v>102156</v>
      </c>
      <c r="C261" s="5" t="s">
        <v>115</v>
      </c>
      <c r="D261" s="5">
        <v>2024</v>
      </c>
    </row>
    <row r="262" spans="1:4" x14ac:dyDescent="0.35">
      <c r="A262" s="5">
        <v>100000535</v>
      </c>
      <c r="B262" s="12">
        <v>106015</v>
      </c>
      <c r="C262" s="5" t="s">
        <v>182</v>
      </c>
      <c r="D262" s="5">
        <v>2024</v>
      </c>
    </row>
    <row r="263" spans="1:4" x14ac:dyDescent="0.35">
      <c r="A263" s="5">
        <v>100000809</v>
      </c>
      <c r="B263" s="12">
        <v>101017</v>
      </c>
      <c r="C263" s="5" t="s">
        <v>89</v>
      </c>
      <c r="D263" s="5">
        <v>2024</v>
      </c>
    </row>
    <row r="264" spans="1:4" x14ac:dyDescent="0.35">
      <c r="A264" s="5">
        <v>100004354</v>
      </c>
      <c r="B264" s="12">
        <v>102058</v>
      </c>
      <c r="C264" s="5" t="s">
        <v>72</v>
      </c>
      <c r="D264" s="5">
        <v>2024</v>
      </c>
    </row>
    <row r="265" spans="1:4" x14ac:dyDescent="0.35">
      <c r="A265" s="5">
        <v>100002314</v>
      </c>
      <c r="B265" s="12">
        <v>105008</v>
      </c>
      <c r="C265" s="5" t="s">
        <v>74</v>
      </c>
      <c r="D265" s="5">
        <v>2024</v>
      </c>
    </row>
    <row r="266" spans="1:4" x14ac:dyDescent="0.35">
      <c r="A266" s="5">
        <v>100002919</v>
      </c>
      <c r="B266" s="12">
        <v>392004</v>
      </c>
      <c r="C266" s="5" t="s">
        <v>75</v>
      </c>
      <c r="D266" s="5">
        <v>2024</v>
      </c>
    </row>
    <row r="267" spans="1:4" x14ac:dyDescent="0.35">
      <c r="A267" s="5">
        <v>100002919</v>
      </c>
      <c r="B267" s="12">
        <v>392004</v>
      </c>
      <c r="C267" s="5" t="s">
        <v>75</v>
      </c>
      <c r="D267" s="5">
        <v>2024</v>
      </c>
    </row>
    <row r="268" spans="1:4" x14ac:dyDescent="0.35">
      <c r="A268" s="5">
        <v>100004675</v>
      </c>
      <c r="B268" s="12">
        <v>102171</v>
      </c>
      <c r="C268" s="5" t="s">
        <v>83</v>
      </c>
      <c r="D268" s="5">
        <v>2024</v>
      </c>
    </row>
    <row r="269" spans="1:4" x14ac:dyDescent="0.35">
      <c r="A269" s="5">
        <v>100003423</v>
      </c>
      <c r="B269" s="12">
        <v>209160</v>
      </c>
      <c r="C269" s="5" t="s">
        <v>186</v>
      </c>
      <c r="D269" s="5">
        <v>2024</v>
      </c>
    </row>
    <row r="270" spans="1:4" x14ac:dyDescent="0.35">
      <c r="A270" s="5">
        <v>100000046</v>
      </c>
      <c r="B270" s="12">
        <v>106001</v>
      </c>
      <c r="C270" s="5" t="s">
        <v>6</v>
      </c>
      <c r="D270" s="5">
        <v>2024</v>
      </c>
    </row>
    <row r="271" spans="1:4" x14ac:dyDescent="0.35">
      <c r="A271" s="5">
        <v>100003422</v>
      </c>
      <c r="B271" s="12">
        <v>209105</v>
      </c>
      <c r="C271" s="5" t="s">
        <v>108</v>
      </c>
      <c r="D271" s="5">
        <v>2024</v>
      </c>
    </row>
    <row r="272" spans="1:4" x14ac:dyDescent="0.35">
      <c r="A272" s="5">
        <v>100001903</v>
      </c>
      <c r="B272" s="12">
        <v>103013</v>
      </c>
      <c r="C272" s="5" t="s">
        <v>155</v>
      </c>
      <c r="D272" s="5">
        <v>2024</v>
      </c>
    </row>
    <row r="273" spans="1:4" x14ac:dyDescent="0.35">
      <c r="A273" s="5">
        <v>100002040</v>
      </c>
      <c r="B273" s="12">
        <v>209123</v>
      </c>
      <c r="C273" s="5" t="s">
        <v>24</v>
      </c>
      <c r="D273" s="5">
        <v>2024</v>
      </c>
    </row>
    <row r="274" spans="1:4" x14ac:dyDescent="0.35">
      <c r="A274" s="5">
        <v>100000908</v>
      </c>
      <c r="B274" s="12">
        <v>101028</v>
      </c>
      <c r="C274" s="5" t="s">
        <v>43</v>
      </c>
      <c r="D274" s="5">
        <v>2024</v>
      </c>
    </row>
    <row r="275" spans="1:4" x14ac:dyDescent="0.35">
      <c r="A275" s="5">
        <v>100005505</v>
      </c>
      <c r="B275" s="12">
        <v>422001</v>
      </c>
      <c r="C275" s="5" t="s">
        <v>90</v>
      </c>
      <c r="D275" s="5">
        <v>2024</v>
      </c>
    </row>
    <row r="276" spans="1:4" x14ac:dyDescent="0.35">
      <c r="A276" s="5">
        <v>100000944</v>
      </c>
      <c r="B276" s="12">
        <v>102009</v>
      </c>
      <c r="C276" s="5" t="s">
        <v>48</v>
      </c>
      <c r="D276" s="5">
        <v>2024</v>
      </c>
    </row>
    <row r="277" spans="1:4" x14ac:dyDescent="0.35">
      <c r="A277" s="5">
        <v>100003413</v>
      </c>
      <c r="B277" s="12">
        <v>209109</v>
      </c>
      <c r="C277" s="5" t="s">
        <v>138</v>
      </c>
      <c r="D277" s="5">
        <v>2024</v>
      </c>
    </row>
    <row r="278" spans="1:4" x14ac:dyDescent="0.35">
      <c r="A278" s="5">
        <v>100002314</v>
      </c>
      <c r="B278" s="12">
        <v>105008</v>
      </c>
      <c r="C278" s="5" t="s">
        <v>74</v>
      </c>
      <c r="D278" s="5">
        <v>2024</v>
      </c>
    </row>
    <row r="279" spans="1:4" x14ac:dyDescent="0.35">
      <c r="A279" s="5">
        <v>100004493</v>
      </c>
      <c r="B279" s="12">
        <v>101053</v>
      </c>
      <c r="C279" s="5" t="s">
        <v>77</v>
      </c>
      <c r="D279" s="5">
        <v>2024</v>
      </c>
    </row>
    <row r="280" spans="1:4" x14ac:dyDescent="0.35">
      <c r="A280" s="5">
        <v>100001466</v>
      </c>
      <c r="B280" s="12">
        <v>104042</v>
      </c>
      <c r="C280" s="5" t="s">
        <v>84</v>
      </c>
      <c r="D280" s="5">
        <v>2024</v>
      </c>
    </row>
    <row r="281" spans="1:4" x14ac:dyDescent="0.35">
      <c r="A281" s="5">
        <v>100002092</v>
      </c>
      <c r="B281" s="12">
        <v>209003</v>
      </c>
      <c r="C281" s="5" t="s">
        <v>12</v>
      </c>
      <c r="D281" s="5">
        <v>2024</v>
      </c>
    </row>
    <row r="282" spans="1:4" x14ac:dyDescent="0.35">
      <c r="A282" s="5">
        <v>100003422</v>
      </c>
      <c r="B282" s="12">
        <v>209105</v>
      </c>
      <c r="C282" s="5" t="s">
        <v>108</v>
      </c>
      <c r="D282" s="5">
        <v>2024</v>
      </c>
    </row>
    <row r="283" spans="1:4" x14ac:dyDescent="0.35">
      <c r="A283" s="5">
        <v>100002037</v>
      </c>
      <c r="B283" s="12">
        <v>101034</v>
      </c>
      <c r="C283" s="5" t="s">
        <v>21</v>
      </c>
      <c r="D283" s="5">
        <v>2024</v>
      </c>
    </row>
    <row r="284" spans="1:4" x14ac:dyDescent="0.35">
      <c r="A284" s="5">
        <v>100000535</v>
      </c>
      <c r="B284" s="12">
        <v>106015</v>
      </c>
      <c r="C284" s="5" t="s">
        <v>182</v>
      </c>
      <c r="D284" s="5">
        <v>2024</v>
      </c>
    </row>
    <row r="285" spans="1:4" x14ac:dyDescent="0.35">
      <c r="A285" s="5">
        <v>100002361</v>
      </c>
      <c r="B285" s="12">
        <v>108004</v>
      </c>
      <c r="C285" s="5" t="s">
        <v>158</v>
      </c>
      <c r="D285" s="5">
        <v>2024</v>
      </c>
    </row>
    <row r="286" spans="1:4" x14ac:dyDescent="0.35">
      <c r="A286" s="5">
        <v>100003431</v>
      </c>
      <c r="B286" s="12">
        <v>101080</v>
      </c>
      <c r="C286" s="5" t="s">
        <v>42</v>
      </c>
      <c r="D286" s="5">
        <v>2024</v>
      </c>
    </row>
    <row r="287" spans="1:4" x14ac:dyDescent="0.35">
      <c r="A287" s="5">
        <v>100004493</v>
      </c>
      <c r="B287" s="12">
        <v>101053</v>
      </c>
      <c r="C287" s="5" t="s">
        <v>77</v>
      </c>
      <c r="D287" s="5">
        <v>2024</v>
      </c>
    </row>
    <row r="288" spans="1:4" x14ac:dyDescent="0.35">
      <c r="A288" s="5">
        <v>100001466</v>
      </c>
      <c r="B288" s="12">
        <v>104042</v>
      </c>
      <c r="C288" s="5" t="s">
        <v>84</v>
      </c>
      <c r="D288" s="5">
        <v>2024</v>
      </c>
    </row>
    <row r="289" spans="1:4" x14ac:dyDescent="0.35">
      <c r="A289" s="5">
        <v>100000115</v>
      </c>
      <c r="B289" s="12" t="s">
        <v>257</v>
      </c>
      <c r="C289" s="5" t="s">
        <v>208</v>
      </c>
      <c r="D289" s="5">
        <v>2025</v>
      </c>
    </row>
    <row r="290" spans="1:4" x14ac:dyDescent="0.35">
      <c r="A290" s="5">
        <v>100000170</v>
      </c>
      <c r="B290" s="12">
        <v>106054</v>
      </c>
      <c r="C290" s="5" t="s">
        <v>10</v>
      </c>
      <c r="D290" s="5">
        <v>2025</v>
      </c>
    </row>
    <row r="291" spans="1:4" x14ac:dyDescent="0.35">
      <c r="A291" s="5">
        <v>100000309</v>
      </c>
      <c r="B291" s="12">
        <v>104007</v>
      </c>
      <c r="C291" s="5" t="s">
        <v>188</v>
      </c>
      <c r="D291" s="5">
        <v>2025</v>
      </c>
    </row>
    <row r="292" spans="1:4" x14ac:dyDescent="0.35">
      <c r="A292" s="5">
        <v>100000368</v>
      </c>
      <c r="B292" s="12">
        <v>106009</v>
      </c>
      <c r="C292" s="5" t="s">
        <v>110</v>
      </c>
      <c r="D292" s="5">
        <v>2025</v>
      </c>
    </row>
    <row r="293" spans="1:4" x14ac:dyDescent="0.35">
      <c r="A293" s="5">
        <v>100000389</v>
      </c>
      <c r="B293" s="12">
        <v>101031</v>
      </c>
      <c r="C293" s="5" t="s">
        <v>189</v>
      </c>
      <c r="D293" s="5">
        <v>2025</v>
      </c>
    </row>
    <row r="294" spans="1:4" x14ac:dyDescent="0.35">
      <c r="A294" s="5">
        <v>100002208</v>
      </c>
      <c r="B294" s="12">
        <v>209064</v>
      </c>
      <c r="C294" s="5" t="s">
        <v>113</v>
      </c>
      <c r="D294" s="5">
        <v>2025</v>
      </c>
    </row>
    <row r="295" spans="1:4" x14ac:dyDescent="0.35">
      <c r="A295" s="5">
        <v>100002308</v>
      </c>
      <c r="B295" s="12" t="s">
        <v>257</v>
      </c>
      <c r="C295" s="5" t="s">
        <v>210</v>
      </c>
      <c r="D295" s="5">
        <v>2025</v>
      </c>
    </row>
    <row r="296" spans="1:4" x14ac:dyDescent="0.35">
      <c r="A296" s="5">
        <v>100002037</v>
      </c>
      <c r="B296" s="12">
        <v>101034</v>
      </c>
      <c r="C296" s="5" t="s">
        <v>21</v>
      </c>
      <c r="D296" s="5">
        <v>2025</v>
      </c>
    </row>
    <row r="297" spans="1:4" x14ac:dyDescent="0.35">
      <c r="A297" s="5">
        <v>100002903</v>
      </c>
      <c r="B297" s="12">
        <v>102093</v>
      </c>
      <c r="C297" s="5" t="s">
        <v>192</v>
      </c>
      <c r="D297" s="5">
        <v>2025</v>
      </c>
    </row>
    <row r="298" spans="1:4" x14ac:dyDescent="0.35">
      <c r="A298" s="5">
        <v>100000693</v>
      </c>
      <c r="B298" s="12">
        <v>106024</v>
      </c>
      <c r="C298" s="5" t="s">
        <v>121</v>
      </c>
      <c r="D298" s="5">
        <v>2025</v>
      </c>
    </row>
    <row r="299" spans="1:4" x14ac:dyDescent="0.35">
      <c r="A299" s="5">
        <v>100000763</v>
      </c>
      <c r="B299" s="12">
        <v>106026</v>
      </c>
      <c r="C299" s="5" t="s">
        <v>179</v>
      </c>
      <c r="D299" s="5">
        <v>2025</v>
      </c>
    </row>
    <row r="300" spans="1:4" x14ac:dyDescent="0.35">
      <c r="A300" s="5">
        <v>100006440</v>
      </c>
      <c r="B300" s="12">
        <v>102193</v>
      </c>
      <c r="C300" s="5" t="s">
        <v>161</v>
      </c>
      <c r="D300" s="5">
        <v>2025</v>
      </c>
    </row>
    <row r="301" spans="1:4" x14ac:dyDescent="0.35">
      <c r="A301" s="5">
        <v>100000908</v>
      </c>
      <c r="B301" s="12">
        <v>101028</v>
      </c>
      <c r="C301" s="5" t="s">
        <v>43</v>
      </c>
      <c r="D301" s="5">
        <v>2025</v>
      </c>
    </row>
    <row r="302" spans="1:4" x14ac:dyDescent="0.35">
      <c r="A302" s="5">
        <v>100000964</v>
      </c>
      <c r="B302" s="12">
        <v>102061</v>
      </c>
      <c r="C302" s="5" t="s">
        <v>44</v>
      </c>
      <c r="D302" s="5">
        <v>2025</v>
      </c>
    </row>
    <row r="303" spans="1:4" x14ac:dyDescent="0.35">
      <c r="A303" s="5">
        <v>100001084</v>
      </c>
      <c r="B303" s="12">
        <v>104033</v>
      </c>
      <c r="C303" s="5" t="s">
        <v>57</v>
      </c>
      <c r="D303" s="5">
        <v>2025</v>
      </c>
    </row>
    <row r="304" spans="1:4" x14ac:dyDescent="0.35">
      <c r="A304" s="5">
        <v>100003413</v>
      </c>
      <c r="B304" s="12">
        <v>209109</v>
      </c>
      <c r="C304" s="5" t="s">
        <v>138</v>
      </c>
      <c r="D304" s="5">
        <v>2025</v>
      </c>
    </row>
    <row r="305" spans="1:4" x14ac:dyDescent="0.35">
      <c r="A305" s="5">
        <v>100001199</v>
      </c>
      <c r="B305" s="12">
        <v>106037</v>
      </c>
      <c r="C305" s="5" t="s">
        <v>164</v>
      </c>
      <c r="D305" s="5">
        <v>2025</v>
      </c>
    </row>
    <row r="306" spans="1:4" x14ac:dyDescent="0.35">
      <c r="A306" s="5">
        <v>100001358</v>
      </c>
      <c r="B306" s="12">
        <v>106055</v>
      </c>
      <c r="C306" s="5" t="s">
        <v>144</v>
      </c>
      <c r="D306" s="5">
        <v>2025</v>
      </c>
    </row>
    <row r="307" spans="1:4" x14ac:dyDescent="0.35">
      <c r="A307" s="5">
        <v>100001466</v>
      </c>
      <c r="B307" s="12">
        <v>104042</v>
      </c>
      <c r="C307" s="5" t="s">
        <v>84</v>
      </c>
      <c r="D307" s="5">
        <v>2025</v>
      </c>
    </row>
    <row r="308" spans="1:4" x14ac:dyDescent="0.35">
      <c r="A308" s="5">
        <v>100002295</v>
      </c>
      <c r="B308" s="12" t="s">
        <v>257</v>
      </c>
      <c r="C308" s="5" t="s">
        <v>213</v>
      </c>
      <c r="D308" s="5">
        <v>2025</v>
      </c>
    </row>
    <row r="309" spans="1:4" x14ac:dyDescent="0.35">
      <c r="A309" s="5">
        <v>100000809</v>
      </c>
      <c r="B309" s="12">
        <v>101017</v>
      </c>
      <c r="C309" s="5" t="s">
        <v>89</v>
      </c>
      <c r="D309" s="5">
        <v>2025</v>
      </c>
    </row>
    <row r="310" spans="1:4" x14ac:dyDescent="0.35">
      <c r="A310" s="5">
        <v>100000908</v>
      </c>
      <c r="B310" s="12">
        <v>101028</v>
      </c>
      <c r="C310" s="5" t="s">
        <v>43</v>
      </c>
      <c r="D310" s="5">
        <v>2025</v>
      </c>
    </row>
    <row r="311" spans="1:4" x14ac:dyDescent="0.35">
      <c r="A311" s="5">
        <v>100003439</v>
      </c>
      <c r="B311" s="12">
        <v>101023</v>
      </c>
      <c r="C311" s="5" t="s">
        <v>133</v>
      </c>
      <c r="D311" s="5">
        <v>2025</v>
      </c>
    </row>
    <row r="312" spans="1:4" x14ac:dyDescent="0.35">
      <c r="A312" s="5">
        <v>100001084</v>
      </c>
      <c r="B312" s="12">
        <v>104033</v>
      </c>
      <c r="C312" s="5" t="s">
        <v>57</v>
      </c>
      <c r="D312" s="5">
        <v>2025</v>
      </c>
    </row>
    <row r="313" spans="1:4" x14ac:dyDescent="0.35">
      <c r="A313" s="5">
        <v>100002254</v>
      </c>
      <c r="B313" s="12">
        <v>106090</v>
      </c>
      <c r="C313" s="5" t="s">
        <v>60</v>
      </c>
      <c r="D313" s="5">
        <v>2025</v>
      </c>
    </row>
    <row r="314" spans="1:4" x14ac:dyDescent="0.35">
      <c r="A314" s="5">
        <v>100003904</v>
      </c>
      <c r="B314" s="12">
        <v>101063</v>
      </c>
      <c r="C314" s="5" t="s">
        <v>143</v>
      </c>
      <c r="D314" s="5">
        <v>2025</v>
      </c>
    </row>
    <row r="315" spans="1:4" x14ac:dyDescent="0.35">
      <c r="A315" s="5">
        <v>100002269</v>
      </c>
      <c r="B315" s="12">
        <v>209103</v>
      </c>
      <c r="C315" s="5" t="s">
        <v>82</v>
      </c>
      <c r="D315" s="5">
        <v>2025</v>
      </c>
    </row>
    <row r="316" spans="1:4" x14ac:dyDescent="0.35">
      <c r="A316" s="5">
        <v>100001547</v>
      </c>
      <c r="B316" s="12">
        <v>103031</v>
      </c>
      <c r="C316" s="5" t="s">
        <v>147</v>
      </c>
      <c r="D316" s="5">
        <v>2025</v>
      </c>
    </row>
    <row r="317" spans="1:4" x14ac:dyDescent="0.35">
      <c r="A317" s="5">
        <v>100000194</v>
      </c>
      <c r="B317" s="12">
        <v>106004</v>
      </c>
      <c r="C317" s="5" t="s">
        <v>105</v>
      </c>
      <c r="D317" s="5">
        <v>2025</v>
      </c>
    </row>
    <row r="318" spans="1:4" x14ac:dyDescent="0.35">
      <c r="A318" s="5">
        <v>100000358</v>
      </c>
      <c r="B318" s="12">
        <v>103007</v>
      </c>
      <c r="C318" s="5" t="s">
        <v>109</v>
      </c>
      <c r="D318" s="5">
        <v>2025</v>
      </c>
    </row>
    <row r="319" spans="1:4" x14ac:dyDescent="0.35">
      <c r="A319" s="5">
        <v>100003905</v>
      </c>
      <c r="B319" s="12" t="s">
        <v>257</v>
      </c>
      <c r="C319" s="5" t="s">
        <v>191</v>
      </c>
      <c r="D319" s="5">
        <v>2025</v>
      </c>
    </row>
    <row r="320" spans="1:4" x14ac:dyDescent="0.35">
      <c r="A320" s="5">
        <v>100002037</v>
      </c>
      <c r="B320" s="12">
        <v>101034</v>
      </c>
      <c r="C320" s="5" t="s">
        <v>21</v>
      </c>
      <c r="D320" s="5">
        <v>2025</v>
      </c>
    </row>
    <row r="321" spans="1:4" x14ac:dyDescent="0.35">
      <c r="A321" s="5">
        <v>100005505</v>
      </c>
      <c r="B321" s="12">
        <v>422001</v>
      </c>
      <c r="C321" s="5" t="s">
        <v>90</v>
      </c>
      <c r="D321" s="5">
        <v>2025</v>
      </c>
    </row>
    <row r="322" spans="1:4" x14ac:dyDescent="0.35">
      <c r="A322" s="5">
        <v>100005299</v>
      </c>
      <c r="B322" s="12">
        <v>102159</v>
      </c>
      <c r="C322" s="5" t="s">
        <v>55</v>
      </c>
      <c r="D322" s="5">
        <v>2025</v>
      </c>
    </row>
    <row r="323" spans="1:4" x14ac:dyDescent="0.35">
      <c r="A323" s="5">
        <v>100001084</v>
      </c>
      <c r="B323" s="12">
        <v>104033</v>
      </c>
      <c r="C323" s="5" t="s">
        <v>57</v>
      </c>
      <c r="D323" s="5">
        <v>2025</v>
      </c>
    </row>
    <row r="324" spans="1:4" x14ac:dyDescent="0.35">
      <c r="A324" s="5">
        <v>100002254</v>
      </c>
      <c r="B324" s="12">
        <v>106090</v>
      </c>
      <c r="C324" s="5" t="s">
        <v>60</v>
      </c>
      <c r="D324" s="5">
        <v>2025</v>
      </c>
    </row>
    <row r="325" spans="1:4" x14ac:dyDescent="0.35">
      <c r="A325" s="5">
        <v>100001124</v>
      </c>
      <c r="B325" s="12" t="s">
        <v>257</v>
      </c>
      <c r="C325" s="5" t="s">
        <v>212</v>
      </c>
      <c r="D325" s="5">
        <v>2025</v>
      </c>
    </row>
    <row r="326" spans="1:4" x14ac:dyDescent="0.35">
      <c r="A326" s="5">
        <v>100001466</v>
      </c>
      <c r="B326" s="12">
        <v>104042</v>
      </c>
      <c r="C326" s="5" t="s">
        <v>84</v>
      </c>
      <c r="D326" s="5">
        <v>2025</v>
      </c>
    </row>
    <row r="327" spans="1:4" x14ac:dyDescent="0.35">
      <c r="A327" s="5">
        <v>100001603</v>
      </c>
      <c r="B327" s="12" t="s">
        <v>257</v>
      </c>
      <c r="C327" s="5" t="s">
        <v>181</v>
      </c>
      <c r="D327" s="5">
        <v>2025</v>
      </c>
    </row>
    <row r="328" spans="1:4" x14ac:dyDescent="0.35">
      <c r="A328" s="5">
        <v>100003423</v>
      </c>
      <c r="B328" s="12">
        <v>209160</v>
      </c>
      <c r="C328" s="5" t="s">
        <v>186</v>
      </c>
      <c r="D328" s="5">
        <v>2025</v>
      </c>
    </row>
    <row r="329" spans="1:4" x14ac:dyDescent="0.35">
      <c r="A329" s="5">
        <v>100000368</v>
      </c>
      <c r="B329" s="12">
        <v>106009</v>
      </c>
      <c r="C329" s="5" t="s">
        <v>110</v>
      </c>
      <c r="D329" s="5">
        <v>2025</v>
      </c>
    </row>
    <row r="330" spans="1:4" x14ac:dyDescent="0.35">
      <c r="A330" s="5">
        <v>100002208</v>
      </c>
      <c r="B330" s="12">
        <v>209064</v>
      </c>
      <c r="C330" s="5" t="s">
        <v>113</v>
      </c>
      <c r="D330" s="5">
        <v>2025</v>
      </c>
    </row>
    <row r="331" spans="1:4" x14ac:dyDescent="0.35">
      <c r="A331" s="5">
        <v>100000553</v>
      </c>
      <c r="B331" s="12">
        <v>106085</v>
      </c>
      <c r="C331" s="5" t="s">
        <v>116</v>
      </c>
      <c r="D331" s="5">
        <v>2025</v>
      </c>
    </row>
    <row r="332" spans="1:4" x14ac:dyDescent="0.35">
      <c r="A332" s="5">
        <v>100002903</v>
      </c>
      <c r="B332" s="12">
        <v>102093</v>
      </c>
      <c r="C332" s="5" t="s">
        <v>192</v>
      </c>
      <c r="D332" s="5">
        <v>2025</v>
      </c>
    </row>
    <row r="333" spans="1:4" x14ac:dyDescent="0.35">
      <c r="A333" s="5">
        <v>100001184</v>
      </c>
      <c r="B333" s="12">
        <v>106036</v>
      </c>
      <c r="C333" s="5" t="s">
        <v>168</v>
      </c>
      <c r="D333" s="5">
        <v>2025</v>
      </c>
    </row>
    <row r="334" spans="1:4" x14ac:dyDescent="0.35">
      <c r="A334" s="5">
        <v>100002295</v>
      </c>
      <c r="B334" s="12" t="s">
        <v>257</v>
      </c>
      <c r="C334" s="5" t="s">
        <v>213</v>
      </c>
      <c r="D334" s="5">
        <v>2025</v>
      </c>
    </row>
    <row r="335" spans="1:4" x14ac:dyDescent="0.35">
      <c r="A335" s="5">
        <v>100001568</v>
      </c>
      <c r="B335" s="12">
        <v>209047</v>
      </c>
      <c r="C335" s="5" t="s">
        <v>150</v>
      </c>
      <c r="D335" s="5">
        <v>2025</v>
      </c>
    </row>
    <row r="336" spans="1:4" x14ac:dyDescent="0.35">
      <c r="A336" s="5">
        <v>100003423</v>
      </c>
      <c r="B336" s="12">
        <v>209160</v>
      </c>
      <c r="C336" s="5" t="s">
        <v>186</v>
      </c>
      <c r="D336" s="5">
        <v>2025</v>
      </c>
    </row>
    <row r="337" spans="1:4" x14ac:dyDescent="0.35">
      <c r="A337" s="5">
        <v>100000085</v>
      </c>
      <c r="B337" s="12">
        <v>106073</v>
      </c>
      <c r="C337" s="5" t="s">
        <v>7</v>
      </c>
      <c r="D337" s="5">
        <v>2025</v>
      </c>
    </row>
    <row r="338" spans="1:4" x14ac:dyDescent="0.35">
      <c r="A338" s="5">
        <v>100005325</v>
      </c>
      <c r="B338" s="12">
        <v>101098</v>
      </c>
      <c r="C338" s="5" t="s">
        <v>103</v>
      </c>
      <c r="D338" s="5">
        <v>2025</v>
      </c>
    </row>
    <row r="339" spans="1:4" x14ac:dyDescent="0.35">
      <c r="A339" s="5">
        <v>100000115</v>
      </c>
      <c r="B339" s="12" t="s">
        <v>257</v>
      </c>
      <c r="C339" s="5" t="s">
        <v>208</v>
      </c>
      <c r="D339" s="5">
        <v>2025</v>
      </c>
    </row>
    <row r="340" spans="1:4" x14ac:dyDescent="0.35">
      <c r="A340" s="5">
        <v>100000126</v>
      </c>
      <c r="B340" s="12">
        <v>103047</v>
      </c>
      <c r="C340" s="5" t="s">
        <v>8</v>
      </c>
      <c r="D340" s="5">
        <v>2025</v>
      </c>
    </row>
    <row r="341" spans="1:4" x14ac:dyDescent="0.35">
      <c r="A341" s="5">
        <v>100003406</v>
      </c>
      <c r="B341" s="12" t="s">
        <v>257</v>
      </c>
      <c r="C341" s="5" t="s">
        <v>209</v>
      </c>
      <c r="D341" s="5">
        <v>2025</v>
      </c>
    </row>
    <row r="342" spans="1:4" x14ac:dyDescent="0.35">
      <c r="A342" s="5">
        <v>100005282</v>
      </c>
      <c r="B342" s="12">
        <v>102146</v>
      </c>
      <c r="C342" s="5" t="s">
        <v>178</v>
      </c>
      <c r="D342" s="5">
        <v>2025</v>
      </c>
    </row>
    <row r="343" spans="1:4" x14ac:dyDescent="0.35">
      <c r="A343" s="5">
        <v>100005535</v>
      </c>
      <c r="B343" s="12">
        <v>101093</v>
      </c>
      <c r="C343" s="5" t="s">
        <v>165</v>
      </c>
      <c r="D343" s="5">
        <v>2025</v>
      </c>
    </row>
    <row r="344" spans="1:4" x14ac:dyDescent="0.35">
      <c r="A344" s="5">
        <v>100000368</v>
      </c>
      <c r="B344" s="12">
        <v>106009</v>
      </c>
      <c r="C344" s="5" t="s">
        <v>110</v>
      </c>
      <c r="D344" s="5">
        <v>2025</v>
      </c>
    </row>
    <row r="345" spans="1:4" x14ac:dyDescent="0.35">
      <c r="A345" s="5">
        <v>100000381</v>
      </c>
      <c r="B345" s="12">
        <v>209014</v>
      </c>
      <c r="C345" s="5" t="s">
        <v>87</v>
      </c>
      <c r="D345" s="5">
        <v>2025</v>
      </c>
    </row>
    <row r="346" spans="1:4" x14ac:dyDescent="0.35">
      <c r="A346" s="5">
        <v>100000381</v>
      </c>
      <c r="B346" s="12">
        <v>209014</v>
      </c>
      <c r="C346" s="5" t="s">
        <v>87</v>
      </c>
      <c r="D346" s="5">
        <v>2025</v>
      </c>
    </row>
    <row r="347" spans="1:4" x14ac:dyDescent="0.35">
      <c r="A347" s="5">
        <v>100002208</v>
      </c>
      <c r="B347" s="12">
        <v>209064</v>
      </c>
      <c r="C347" s="5" t="s">
        <v>113</v>
      </c>
      <c r="D347" s="5">
        <v>2025</v>
      </c>
    </row>
    <row r="348" spans="1:4" x14ac:dyDescent="0.35">
      <c r="A348" s="5">
        <v>100002308</v>
      </c>
      <c r="B348" s="12" t="s">
        <v>257</v>
      </c>
      <c r="C348" s="5" t="s">
        <v>210</v>
      </c>
      <c r="D348" s="5">
        <v>2025</v>
      </c>
    </row>
    <row r="349" spans="1:4" x14ac:dyDescent="0.35">
      <c r="A349" s="5">
        <v>100002308</v>
      </c>
      <c r="B349" s="12" t="s">
        <v>257</v>
      </c>
      <c r="C349" s="5" t="s">
        <v>210</v>
      </c>
      <c r="D349" s="5">
        <v>2025</v>
      </c>
    </row>
    <row r="350" spans="1:4" x14ac:dyDescent="0.35">
      <c r="A350" s="5">
        <v>100002037</v>
      </c>
      <c r="B350" s="12">
        <v>101034</v>
      </c>
      <c r="C350" s="5" t="s">
        <v>21</v>
      </c>
      <c r="D350" s="5">
        <v>2025</v>
      </c>
    </row>
    <row r="351" spans="1:4" x14ac:dyDescent="0.35">
      <c r="A351" s="5">
        <v>100000553</v>
      </c>
      <c r="B351" s="12">
        <v>106085</v>
      </c>
      <c r="C351" s="5" t="s">
        <v>116</v>
      </c>
      <c r="D351" s="5">
        <v>2025</v>
      </c>
    </row>
    <row r="352" spans="1:4" x14ac:dyDescent="0.35">
      <c r="A352" s="5">
        <v>100002903</v>
      </c>
      <c r="B352" s="12">
        <v>102093</v>
      </c>
      <c r="C352" s="5" t="s">
        <v>192</v>
      </c>
      <c r="D352" s="5">
        <v>2025</v>
      </c>
    </row>
    <row r="353" spans="1:4" x14ac:dyDescent="0.35">
      <c r="A353" s="5">
        <v>100000715</v>
      </c>
      <c r="B353" s="12">
        <v>103020</v>
      </c>
      <c r="C353" s="5" t="s">
        <v>211</v>
      </c>
      <c r="D353" s="5">
        <v>2025</v>
      </c>
    </row>
    <row r="354" spans="1:4" x14ac:dyDescent="0.35">
      <c r="A354" s="5">
        <v>100000763</v>
      </c>
      <c r="B354" s="12">
        <v>106026</v>
      </c>
      <c r="C354" s="5" t="s">
        <v>179</v>
      </c>
      <c r="D354" s="5">
        <v>2025</v>
      </c>
    </row>
    <row r="355" spans="1:4" x14ac:dyDescent="0.35">
      <c r="A355" s="5">
        <v>100000829</v>
      </c>
      <c r="B355" s="12">
        <v>105018</v>
      </c>
      <c r="C355" s="5" t="s">
        <v>180</v>
      </c>
      <c r="D355" s="5">
        <v>2025</v>
      </c>
    </row>
    <row r="356" spans="1:4" x14ac:dyDescent="0.35">
      <c r="A356" s="5">
        <v>100002241</v>
      </c>
      <c r="B356" s="12">
        <v>209161</v>
      </c>
      <c r="C356" s="5" t="s">
        <v>39</v>
      </c>
      <c r="D356" s="5">
        <v>2025</v>
      </c>
    </row>
    <row r="357" spans="1:4" x14ac:dyDescent="0.35">
      <c r="A357" s="5">
        <v>100005505</v>
      </c>
      <c r="B357" s="12">
        <v>422001</v>
      </c>
      <c r="C357" s="5" t="s">
        <v>90</v>
      </c>
      <c r="D357" s="5">
        <v>2025</v>
      </c>
    </row>
    <row r="358" spans="1:4" x14ac:dyDescent="0.35">
      <c r="A358" s="5">
        <v>100005299</v>
      </c>
      <c r="B358" s="12">
        <v>102159</v>
      </c>
      <c r="C358" s="5" t="s">
        <v>55</v>
      </c>
      <c r="D358" s="5">
        <v>2025</v>
      </c>
    </row>
    <row r="359" spans="1:4" x14ac:dyDescent="0.35">
      <c r="A359" s="5">
        <v>100006171</v>
      </c>
      <c r="B359" s="12">
        <v>101081</v>
      </c>
      <c r="C359" s="5" t="s">
        <v>132</v>
      </c>
      <c r="D359" s="5">
        <v>2025</v>
      </c>
    </row>
    <row r="360" spans="1:4" x14ac:dyDescent="0.35">
      <c r="A360" s="5">
        <v>100002254</v>
      </c>
      <c r="B360" s="12">
        <v>106090</v>
      </c>
      <c r="C360" s="5" t="s">
        <v>60</v>
      </c>
      <c r="D360" s="5">
        <v>2025</v>
      </c>
    </row>
    <row r="361" spans="1:4" x14ac:dyDescent="0.35">
      <c r="A361" s="5">
        <v>100001124</v>
      </c>
      <c r="B361" s="12" t="s">
        <v>257</v>
      </c>
      <c r="C361" s="5" t="s">
        <v>212</v>
      </c>
      <c r="D361" s="5">
        <v>2025</v>
      </c>
    </row>
    <row r="362" spans="1:4" x14ac:dyDescent="0.35">
      <c r="A362" s="5">
        <v>100003903</v>
      </c>
      <c r="B362" s="12">
        <v>102048</v>
      </c>
      <c r="C362" s="5" t="s">
        <v>64</v>
      </c>
      <c r="D362" s="5">
        <v>2025</v>
      </c>
    </row>
    <row r="363" spans="1:4" x14ac:dyDescent="0.35">
      <c r="A363" s="5">
        <v>100001232</v>
      </c>
      <c r="B363" s="12">
        <v>102075</v>
      </c>
      <c r="C363" s="5" t="s">
        <v>68</v>
      </c>
      <c r="D363" s="5">
        <v>2025</v>
      </c>
    </row>
    <row r="364" spans="1:4" x14ac:dyDescent="0.35">
      <c r="A364" s="5">
        <v>100002295</v>
      </c>
      <c r="B364" s="12" t="s">
        <v>257</v>
      </c>
      <c r="C364" s="5" t="s">
        <v>213</v>
      </c>
      <c r="D364" s="5">
        <v>2025</v>
      </c>
    </row>
    <row r="365" spans="1:4" x14ac:dyDescent="0.35">
      <c r="A365" s="5">
        <v>100001568</v>
      </c>
      <c r="B365" s="12">
        <v>209047</v>
      </c>
      <c r="C365" s="5" t="s">
        <v>150</v>
      </c>
      <c r="D365" s="5">
        <v>2025</v>
      </c>
    </row>
    <row r="366" spans="1:4" x14ac:dyDescent="0.35">
      <c r="A366" s="5">
        <v>100000085</v>
      </c>
      <c r="B366" s="12">
        <v>106073</v>
      </c>
      <c r="C366" s="5" t="s">
        <v>7</v>
      </c>
      <c r="D366" s="5">
        <v>2025</v>
      </c>
    </row>
    <row r="367" spans="1:4" x14ac:dyDescent="0.35">
      <c r="A367" s="5">
        <v>100000115</v>
      </c>
      <c r="B367" s="12" t="s">
        <v>257</v>
      </c>
      <c r="C367" s="5" t="s">
        <v>208</v>
      </c>
      <c r="D367" s="5">
        <v>2025</v>
      </c>
    </row>
    <row r="368" spans="1:4" x14ac:dyDescent="0.35">
      <c r="A368" s="5">
        <v>100000126</v>
      </c>
      <c r="B368" s="12">
        <v>103047</v>
      </c>
      <c r="C368" s="5" t="s">
        <v>8</v>
      </c>
      <c r="D368" s="5">
        <v>2025</v>
      </c>
    </row>
    <row r="369" spans="1:4" x14ac:dyDescent="0.35">
      <c r="A369" s="5">
        <v>100005282</v>
      </c>
      <c r="B369" s="12">
        <v>102146</v>
      </c>
      <c r="C369" s="5" t="s">
        <v>178</v>
      </c>
      <c r="D369" s="5">
        <v>2025</v>
      </c>
    </row>
    <row r="370" spans="1:4" x14ac:dyDescent="0.35">
      <c r="A370" s="5">
        <v>100003423</v>
      </c>
      <c r="B370" s="12">
        <v>209160</v>
      </c>
      <c r="C370" s="5" t="s">
        <v>14</v>
      </c>
      <c r="D370" s="5">
        <v>2025</v>
      </c>
    </row>
    <row r="371" spans="1:4" x14ac:dyDescent="0.35">
      <c r="A371" s="5">
        <v>100000368</v>
      </c>
      <c r="B371" s="12">
        <v>106009</v>
      </c>
      <c r="C371" s="5" t="s">
        <v>110</v>
      </c>
      <c r="D371" s="5">
        <v>2025</v>
      </c>
    </row>
    <row r="372" spans="1:4" x14ac:dyDescent="0.35">
      <c r="A372" s="5">
        <v>100002308</v>
      </c>
      <c r="B372" s="12" t="s">
        <v>257</v>
      </c>
      <c r="C372" s="5" t="s">
        <v>210</v>
      </c>
      <c r="D372" s="5">
        <v>2025</v>
      </c>
    </row>
    <row r="373" spans="1:4" x14ac:dyDescent="0.35">
      <c r="A373" s="5">
        <v>100002308</v>
      </c>
      <c r="B373" s="12" t="s">
        <v>257</v>
      </c>
      <c r="C373" s="5" t="s">
        <v>210</v>
      </c>
      <c r="D373" s="5">
        <v>2025</v>
      </c>
    </row>
    <row r="374" spans="1:4" x14ac:dyDescent="0.35">
      <c r="A374" s="5">
        <v>100002037</v>
      </c>
      <c r="B374" s="12">
        <v>101034</v>
      </c>
      <c r="C374" s="5" t="s">
        <v>21</v>
      </c>
      <c r="D374" s="5">
        <v>2025</v>
      </c>
    </row>
    <row r="375" spans="1:4" x14ac:dyDescent="0.35">
      <c r="A375" s="5">
        <v>100000553</v>
      </c>
      <c r="B375" s="12">
        <v>106085</v>
      </c>
      <c r="C375" s="5" t="s">
        <v>116</v>
      </c>
      <c r="D375" s="5">
        <v>2025</v>
      </c>
    </row>
    <row r="376" spans="1:4" x14ac:dyDescent="0.35">
      <c r="A376" s="5">
        <v>100002903</v>
      </c>
      <c r="B376" s="12">
        <v>102093</v>
      </c>
      <c r="C376" s="5" t="s">
        <v>192</v>
      </c>
      <c r="D376" s="5">
        <v>2025</v>
      </c>
    </row>
    <row r="377" spans="1:4" x14ac:dyDescent="0.35">
      <c r="A377" s="5">
        <v>100004642</v>
      </c>
      <c r="B377" s="12">
        <v>209155</v>
      </c>
      <c r="C377" s="5" t="s">
        <v>88</v>
      </c>
      <c r="D377" s="5">
        <v>2025</v>
      </c>
    </row>
    <row r="378" spans="1:4" x14ac:dyDescent="0.35">
      <c r="A378" s="5">
        <v>100000715</v>
      </c>
      <c r="B378" s="12">
        <v>103020</v>
      </c>
      <c r="C378" s="5" t="s">
        <v>211</v>
      </c>
      <c r="D378" s="5">
        <v>2025</v>
      </c>
    </row>
    <row r="379" spans="1:4" x14ac:dyDescent="0.35">
      <c r="A379" s="5">
        <v>100000763</v>
      </c>
      <c r="B379" s="12">
        <v>106026</v>
      </c>
      <c r="C379" s="5" t="s">
        <v>179</v>
      </c>
      <c r="D379" s="5">
        <v>2025</v>
      </c>
    </row>
    <row r="380" spans="1:4" x14ac:dyDescent="0.35">
      <c r="A380" s="5">
        <v>100001037</v>
      </c>
      <c r="B380" s="12">
        <v>209033</v>
      </c>
      <c r="C380" s="5" t="s">
        <v>216</v>
      </c>
      <c r="D380" s="5">
        <v>2025</v>
      </c>
    </row>
    <row r="381" spans="1:4" x14ac:dyDescent="0.35">
      <c r="A381" s="5">
        <v>100001053</v>
      </c>
      <c r="B381" s="12">
        <v>102013</v>
      </c>
      <c r="C381" s="5" t="s">
        <v>130</v>
      </c>
      <c r="D381" s="5">
        <v>2025</v>
      </c>
    </row>
    <row r="382" spans="1:4" x14ac:dyDescent="0.35">
      <c r="A382" s="5">
        <v>100003439</v>
      </c>
      <c r="B382" s="12">
        <v>101023</v>
      </c>
      <c r="C382" s="5" t="s">
        <v>133</v>
      </c>
      <c r="D382" s="5">
        <v>2025</v>
      </c>
    </row>
    <row r="383" spans="1:4" x14ac:dyDescent="0.35">
      <c r="A383" s="5">
        <v>100001084</v>
      </c>
      <c r="B383" s="12">
        <v>104033</v>
      </c>
      <c r="C383" s="5" t="s">
        <v>57</v>
      </c>
      <c r="D383" s="5">
        <v>2025</v>
      </c>
    </row>
    <row r="384" spans="1:4" x14ac:dyDescent="0.35">
      <c r="A384" s="5">
        <v>100002254</v>
      </c>
      <c r="B384" s="12">
        <v>106090</v>
      </c>
      <c r="C384" s="5" t="s">
        <v>60</v>
      </c>
      <c r="D384" s="5">
        <v>2025</v>
      </c>
    </row>
    <row r="385" spans="1:4" x14ac:dyDescent="0.35">
      <c r="A385" s="5">
        <v>100001124</v>
      </c>
      <c r="B385" s="12" t="s">
        <v>257</v>
      </c>
      <c r="C385" s="5" t="s">
        <v>212</v>
      </c>
      <c r="D385" s="5">
        <v>2025</v>
      </c>
    </row>
    <row r="386" spans="1:4" x14ac:dyDescent="0.35">
      <c r="A386" s="5">
        <v>100001470</v>
      </c>
      <c r="B386" s="12">
        <v>102154</v>
      </c>
      <c r="C386" s="5" t="s">
        <v>85</v>
      </c>
      <c r="D386" s="5">
        <v>2025</v>
      </c>
    </row>
    <row r="387" spans="1:4" x14ac:dyDescent="0.35">
      <c r="A387" s="5">
        <v>100001568</v>
      </c>
      <c r="B387" s="12">
        <v>209047</v>
      </c>
      <c r="C387" s="5" t="s">
        <v>150</v>
      </c>
      <c r="D387" s="5">
        <v>2025</v>
      </c>
    </row>
    <row r="388" spans="1:4" x14ac:dyDescent="0.35">
      <c r="A388" s="5">
        <v>100001568</v>
      </c>
      <c r="B388" s="12">
        <v>209047</v>
      </c>
      <c r="C388" s="5" t="s">
        <v>150</v>
      </c>
      <c r="D388" s="5">
        <v>2025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754401-D394-4555-B8EC-A4B72CC27D38}">
  <dimension ref="A1:K389"/>
  <sheetViews>
    <sheetView workbookViewId="0">
      <selection activeCell="J3" sqref="J3"/>
    </sheetView>
  </sheetViews>
  <sheetFormatPr baseColWidth="10" defaultRowHeight="14.5" x14ac:dyDescent="0.35"/>
  <cols>
    <col min="2" max="2" width="44.54296875" customWidth="1"/>
    <col min="10" max="10" width="16.54296875" bestFit="1" customWidth="1"/>
    <col min="11" max="11" width="34.81640625" bestFit="1" customWidth="1"/>
  </cols>
  <sheetData>
    <row r="1" spans="1:11" x14ac:dyDescent="0.35">
      <c r="A1" t="s">
        <v>171</v>
      </c>
      <c r="B1" t="s">
        <v>97</v>
      </c>
      <c r="C1" t="s">
        <v>98</v>
      </c>
      <c r="D1" t="s">
        <v>99</v>
      </c>
      <c r="E1" t="s">
        <v>100</v>
      </c>
      <c r="F1" t="s">
        <v>101</v>
      </c>
    </row>
    <row r="2" spans="1:11" x14ac:dyDescent="0.35">
      <c r="A2">
        <v>100000036</v>
      </c>
      <c r="B2" t="s">
        <v>3</v>
      </c>
      <c r="C2">
        <v>85</v>
      </c>
      <c r="D2">
        <v>0</v>
      </c>
      <c r="E2">
        <v>85</v>
      </c>
      <c r="F2" s="2">
        <v>0</v>
      </c>
      <c r="G2" t="s">
        <v>201</v>
      </c>
      <c r="H2">
        <v>2023</v>
      </c>
      <c r="J2" s="3" t="s">
        <v>217</v>
      </c>
      <c r="K2" t="s">
        <v>219</v>
      </c>
    </row>
    <row r="3" spans="1:11" x14ac:dyDescent="0.35">
      <c r="A3">
        <v>100000172</v>
      </c>
      <c r="B3" t="s">
        <v>104</v>
      </c>
      <c r="C3">
        <v>1000</v>
      </c>
      <c r="D3">
        <v>0</v>
      </c>
      <c r="E3">
        <v>1000</v>
      </c>
      <c r="F3" s="2">
        <v>0</v>
      </c>
      <c r="G3" t="s">
        <v>201</v>
      </c>
      <c r="H3">
        <v>2023</v>
      </c>
      <c r="J3" s="4">
        <v>100000036</v>
      </c>
      <c r="K3">
        <v>2</v>
      </c>
    </row>
    <row r="4" spans="1:11" x14ac:dyDescent="0.35">
      <c r="A4">
        <v>100002092</v>
      </c>
      <c r="B4" t="s">
        <v>12</v>
      </c>
      <c r="C4">
        <v>30</v>
      </c>
      <c r="D4">
        <v>0</v>
      </c>
      <c r="E4">
        <v>30</v>
      </c>
      <c r="F4" s="2">
        <v>0</v>
      </c>
      <c r="G4" t="s">
        <v>201</v>
      </c>
      <c r="H4">
        <v>2023</v>
      </c>
      <c r="J4" s="4">
        <v>100000044</v>
      </c>
      <c r="K4">
        <v>4</v>
      </c>
    </row>
    <row r="5" spans="1:11" x14ac:dyDescent="0.35">
      <c r="A5">
        <v>100000241</v>
      </c>
      <c r="B5" t="s">
        <v>107</v>
      </c>
      <c r="C5">
        <v>200</v>
      </c>
      <c r="D5">
        <v>0</v>
      </c>
      <c r="E5">
        <v>200</v>
      </c>
      <c r="F5" s="2">
        <v>0</v>
      </c>
      <c r="G5" t="s">
        <v>201</v>
      </c>
      <c r="H5">
        <v>2023</v>
      </c>
      <c r="J5" s="4">
        <v>100000046</v>
      </c>
      <c r="K5">
        <v>4</v>
      </c>
    </row>
    <row r="6" spans="1:11" x14ac:dyDescent="0.35">
      <c r="A6">
        <v>100000379</v>
      </c>
      <c r="B6" t="s">
        <v>20</v>
      </c>
      <c r="C6">
        <v>100</v>
      </c>
      <c r="D6">
        <v>0</v>
      </c>
      <c r="E6">
        <v>100</v>
      </c>
      <c r="F6" s="2">
        <v>0</v>
      </c>
      <c r="G6" t="s">
        <v>201</v>
      </c>
      <c r="H6">
        <v>2023</v>
      </c>
      <c r="J6" s="4">
        <v>100000085</v>
      </c>
      <c r="K6">
        <v>2</v>
      </c>
    </row>
    <row r="7" spans="1:11" x14ac:dyDescent="0.35">
      <c r="A7">
        <v>100003905</v>
      </c>
      <c r="B7" t="s">
        <v>191</v>
      </c>
      <c r="C7">
        <v>10</v>
      </c>
      <c r="D7">
        <v>0</v>
      </c>
      <c r="E7">
        <v>10</v>
      </c>
      <c r="F7" s="2">
        <v>0</v>
      </c>
      <c r="G7" t="s">
        <v>201</v>
      </c>
      <c r="H7">
        <v>2023</v>
      </c>
      <c r="J7" s="4">
        <v>100000115</v>
      </c>
      <c r="K7">
        <v>3</v>
      </c>
    </row>
    <row r="8" spans="1:11" x14ac:dyDescent="0.35">
      <c r="A8">
        <v>100000777</v>
      </c>
      <c r="B8" t="s">
        <v>37</v>
      </c>
      <c r="C8">
        <v>120</v>
      </c>
      <c r="D8">
        <v>0</v>
      </c>
      <c r="E8">
        <v>120</v>
      </c>
      <c r="F8" s="2">
        <v>0</v>
      </c>
      <c r="G8" t="s">
        <v>201</v>
      </c>
      <c r="H8">
        <v>2023</v>
      </c>
      <c r="J8" s="4">
        <v>100000126</v>
      </c>
      <c r="K8">
        <v>2</v>
      </c>
    </row>
    <row r="9" spans="1:11" x14ac:dyDescent="0.35">
      <c r="A9">
        <v>100002047</v>
      </c>
      <c r="B9" t="s">
        <v>38</v>
      </c>
      <c r="C9">
        <v>750</v>
      </c>
      <c r="D9">
        <v>0</v>
      </c>
      <c r="E9">
        <v>750</v>
      </c>
      <c r="F9" s="2">
        <v>0</v>
      </c>
      <c r="G9" t="s">
        <v>201</v>
      </c>
      <c r="H9">
        <v>2023</v>
      </c>
      <c r="J9" s="4">
        <v>100000128</v>
      </c>
      <c r="K9">
        <v>1</v>
      </c>
    </row>
    <row r="10" spans="1:11" x14ac:dyDescent="0.35">
      <c r="A10">
        <v>100000810</v>
      </c>
      <c r="B10" t="s">
        <v>160</v>
      </c>
      <c r="C10">
        <v>120</v>
      </c>
      <c r="D10">
        <v>0</v>
      </c>
      <c r="E10">
        <v>120</v>
      </c>
      <c r="F10" s="2">
        <v>0</v>
      </c>
      <c r="G10" t="s">
        <v>201</v>
      </c>
      <c r="H10">
        <v>2023</v>
      </c>
      <c r="J10" s="4">
        <v>100000170</v>
      </c>
      <c r="K10">
        <v>2</v>
      </c>
    </row>
    <row r="11" spans="1:11" x14ac:dyDescent="0.35">
      <c r="A11">
        <v>100000921</v>
      </c>
      <c r="B11" t="s">
        <v>127</v>
      </c>
      <c r="C11">
        <v>150</v>
      </c>
      <c r="D11">
        <v>0</v>
      </c>
      <c r="E11">
        <v>150</v>
      </c>
      <c r="F11" s="2">
        <v>0</v>
      </c>
      <c r="G11" t="s">
        <v>201</v>
      </c>
      <c r="H11">
        <v>2023</v>
      </c>
      <c r="J11" s="4">
        <v>100000172</v>
      </c>
      <c r="K11">
        <v>1</v>
      </c>
    </row>
    <row r="12" spans="1:11" x14ac:dyDescent="0.35">
      <c r="A12">
        <v>100001012</v>
      </c>
      <c r="B12" t="s">
        <v>220</v>
      </c>
      <c r="C12">
        <v>50</v>
      </c>
      <c r="D12">
        <v>0</v>
      </c>
      <c r="E12">
        <v>50</v>
      </c>
      <c r="F12" s="2">
        <v>0</v>
      </c>
      <c r="G12" t="s">
        <v>201</v>
      </c>
      <c r="H12">
        <v>2023</v>
      </c>
      <c r="J12" s="4">
        <v>100000194</v>
      </c>
      <c r="K12">
        <v>3</v>
      </c>
    </row>
    <row r="13" spans="1:11" x14ac:dyDescent="0.35">
      <c r="A13">
        <v>100001306</v>
      </c>
      <c r="B13" t="s">
        <v>141</v>
      </c>
      <c r="C13">
        <v>1500</v>
      </c>
      <c r="D13">
        <v>0</v>
      </c>
      <c r="E13">
        <v>1500</v>
      </c>
      <c r="F13" s="2">
        <v>0</v>
      </c>
      <c r="G13" t="s">
        <v>201</v>
      </c>
      <c r="H13">
        <v>2023</v>
      </c>
      <c r="J13" s="4">
        <v>100000241</v>
      </c>
      <c r="K13">
        <v>2</v>
      </c>
    </row>
    <row r="14" spans="1:11" x14ac:dyDescent="0.35">
      <c r="A14">
        <v>100000044</v>
      </c>
      <c r="B14" t="s">
        <v>5</v>
      </c>
      <c r="C14">
        <v>80</v>
      </c>
      <c r="D14">
        <v>0</v>
      </c>
      <c r="E14">
        <v>80</v>
      </c>
      <c r="F14" s="2">
        <v>0</v>
      </c>
      <c r="G14" t="s">
        <v>197</v>
      </c>
      <c r="H14">
        <v>2023</v>
      </c>
      <c r="J14" s="4">
        <v>100000244</v>
      </c>
      <c r="K14">
        <v>1</v>
      </c>
    </row>
    <row r="15" spans="1:11" x14ac:dyDescent="0.35">
      <c r="A15">
        <v>100005282</v>
      </c>
      <c r="B15" t="s">
        <v>178</v>
      </c>
      <c r="C15">
        <v>40</v>
      </c>
      <c r="D15">
        <v>0</v>
      </c>
      <c r="E15">
        <v>40</v>
      </c>
      <c r="F15" s="2">
        <v>0</v>
      </c>
      <c r="G15" t="s">
        <v>197</v>
      </c>
      <c r="H15">
        <v>2023</v>
      </c>
      <c r="J15" s="4">
        <v>100000308</v>
      </c>
      <c r="K15">
        <v>1</v>
      </c>
    </row>
    <row r="16" spans="1:11" x14ac:dyDescent="0.35">
      <c r="A16">
        <v>100003905</v>
      </c>
      <c r="B16" t="s">
        <v>191</v>
      </c>
      <c r="C16">
        <v>10</v>
      </c>
      <c r="D16">
        <v>0</v>
      </c>
      <c r="E16">
        <v>10</v>
      </c>
      <c r="F16" s="2">
        <v>0</v>
      </c>
      <c r="G16" t="s">
        <v>197</v>
      </c>
      <c r="H16">
        <v>2023</v>
      </c>
      <c r="J16" s="4">
        <v>100000309</v>
      </c>
      <c r="K16">
        <v>1</v>
      </c>
    </row>
    <row r="17" spans="1:11" x14ac:dyDescent="0.35">
      <c r="A17">
        <v>100002903</v>
      </c>
      <c r="B17" t="s">
        <v>221</v>
      </c>
      <c r="C17">
        <v>50</v>
      </c>
      <c r="D17">
        <v>0</v>
      </c>
      <c r="E17">
        <v>50</v>
      </c>
      <c r="F17" s="2">
        <v>0</v>
      </c>
      <c r="G17" t="s">
        <v>197</v>
      </c>
      <c r="H17">
        <v>2023</v>
      </c>
      <c r="J17" s="4">
        <v>100000353</v>
      </c>
      <c r="K17">
        <v>1</v>
      </c>
    </row>
    <row r="18" spans="1:11" x14ac:dyDescent="0.35">
      <c r="A18">
        <v>100004642</v>
      </c>
      <c r="B18" t="s">
        <v>88</v>
      </c>
      <c r="C18">
        <v>30</v>
      </c>
      <c r="D18">
        <v>0</v>
      </c>
      <c r="E18">
        <v>30</v>
      </c>
      <c r="F18" s="2">
        <v>0</v>
      </c>
      <c r="G18" t="s">
        <v>197</v>
      </c>
      <c r="H18">
        <v>2023</v>
      </c>
      <c r="J18" s="4">
        <v>100000358</v>
      </c>
      <c r="K18">
        <v>1</v>
      </c>
    </row>
    <row r="19" spans="1:11" x14ac:dyDescent="0.35">
      <c r="A19">
        <v>100000729</v>
      </c>
      <c r="B19" t="s">
        <v>123</v>
      </c>
      <c r="C19">
        <v>10</v>
      </c>
      <c r="D19">
        <v>0</v>
      </c>
      <c r="E19">
        <v>10</v>
      </c>
      <c r="F19" s="2">
        <v>0</v>
      </c>
      <c r="G19" t="s">
        <v>197</v>
      </c>
      <c r="H19">
        <v>2023</v>
      </c>
      <c r="J19" s="4">
        <v>100000368</v>
      </c>
      <c r="K19">
        <v>5</v>
      </c>
    </row>
    <row r="20" spans="1:11" x14ac:dyDescent="0.35">
      <c r="A20">
        <v>100002361</v>
      </c>
      <c r="B20" t="s">
        <v>158</v>
      </c>
      <c r="C20">
        <v>20</v>
      </c>
      <c r="D20">
        <v>0</v>
      </c>
      <c r="E20">
        <v>20</v>
      </c>
      <c r="F20" s="2">
        <v>0</v>
      </c>
      <c r="G20" t="s">
        <v>197</v>
      </c>
      <c r="H20">
        <v>2023</v>
      </c>
      <c r="J20" s="4">
        <v>100000379</v>
      </c>
      <c r="K20">
        <v>1</v>
      </c>
    </row>
    <row r="21" spans="1:11" x14ac:dyDescent="0.35">
      <c r="A21">
        <v>100000735</v>
      </c>
      <c r="B21" t="s">
        <v>222</v>
      </c>
      <c r="C21">
        <v>130</v>
      </c>
      <c r="D21">
        <v>0</v>
      </c>
      <c r="E21">
        <v>130</v>
      </c>
      <c r="F21" s="2">
        <v>0</v>
      </c>
      <c r="G21" t="s">
        <v>197</v>
      </c>
      <c r="H21">
        <v>2023</v>
      </c>
      <c r="J21" s="4">
        <v>100000381</v>
      </c>
      <c r="K21">
        <v>5</v>
      </c>
    </row>
    <row r="22" spans="1:11" x14ac:dyDescent="0.35">
      <c r="A22">
        <v>100000735</v>
      </c>
      <c r="B22" t="s">
        <v>222</v>
      </c>
      <c r="C22">
        <v>120</v>
      </c>
      <c r="D22">
        <v>0</v>
      </c>
      <c r="E22">
        <v>120</v>
      </c>
      <c r="F22" s="2">
        <v>0</v>
      </c>
      <c r="G22" t="s">
        <v>197</v>
      </c>
      <c r="H22">
        <v>2023</v>
      </c>
      <c r="J22" s="4">
        <v>100000388</v>
      </c>
      <c r="K22">
        <v>10</v>
      </c>
    </row>
    <row r="23" spans="1:11" x14ac:dyDescent="0.35">
      <c r="A23">
        <v>100000733</v>
      </c>
      <c r="B23" t="s">
        <v>152</v>
      </c>
      <c r="C23">
        <v>60</v>
      </c>
      <c r="D23">
        <v>0</v>
      </c>
      <c r="E23">
        <v>60</v>
      </c>
      <c r="F23" s="2">
        <v>0</v>
      </c>
      <c r="G23" t="s">
        <v>197</v>
      </c>
      <c r="H23">
        <v>2023</v>
      </c>
      <c r="J23" s="4">
        <v>100000389</v>
      </c>
      <c r="K23">
        <v>1</v>
      </c>
    </row>
    <row r="24" spans="1:11" x14ac:dyDescent="0.35">
      <c r="A24">
        <v>100003979</v>
      </c>
      <c r="B24" t="s">
        <v>146</v>
      </c>
      <c r="C24">
        <v>10</v>
      </c>
      <c r="D24">
        <v>0</v>
      </c>
      <c r="E24">
        <v>10</v>
      </c>
      <c r="F24" s="2">
        <v>0</v>
      </c>
      <c r="G24" t="s">
        <v>197</v>
      </c>
      <c r="H24">
        <v>2023</v>
      </c>
      <c r="J24" s="4">
        <v>100000486</v>
      </c>
      <c r="K24">
        <v>1</v>
      </c>
    </row>
    <row r="25" spans="1:11" x14ac:dyDescent="0.35">
      <c r="A25">
        <v>100004982</v>
      </c>
      <c r="B25" t="s">
        <v>4</v>
      </c>
      <c r="C25">
        <v>56</v>
      </c>
      <c r="D25">
        <v>0</v>
      </c>
      <c r="E25">
        <v>56</v>
      </c>
      <c r="F25" s="2">
        <v>0</v>
      </c>
      <c r="G25" t="s">
        <v>198</v>
      </c>
      <c r="H25">
        <v>2023</v>
      </c>
      <c r="J25" s="4">
        <v>100000498</v>
      </c>
      <c r="K25">
        <v>1</v>
      </c>
    </row>
    <row r="26" spans="1:11" x14ac:dyDescent="0.35">
      <c r="A26">
        <v>100000128</v>
      </c>
      <c r="B26" t="s">
        <v>223</v>
      </c>
      <c r="C26">
        <v>150</v>
      </c>
      <c r="D26">
        <v>0</v>
      </c>
      <c r="E26">
        <v>150</v>
      </c>
      <c r="F26" s="2">
        <v>0</v>
      </c>
      <c r="G26" t="s">
        <v>198</v>
      </c>
      <c r="H26">
        <v>2023</v>
      </c>
      <c r="J26" s="4">
        <v>100000529</v>
      </c>
      <c r="K26">
        <v>2</v>
      </c>
    </row>
    <row r="27" spans="1:11" x14ac:dyDescent="0.35">
      <c r="A27">
        <v>100000582</v>
      </c>
      <c r="B27" t="s">
        <v>117</v>
      </c>
      <c r="C27">
        <v>20</v>
      </c>
      <c r="D27">
        <v>0</v>
      </c>
      <c r="E27">
        <v>20</v>
      </c>
      <c r="F27" s="2">
        <v>0</v>
      </c>
      <c r="G27" t="s">
        <v>198</v>
      </c>
      <c r="H27">
        <v>2023</v>
      </c>
      <c r="J27" s="4">
        <v>100000535</v>
      </c>
      <c r="K27">
        <v>4</v>
      </c>
    </row>
    <row r="28" spans="1:11" x14ac:dyDescent="0.35">
      <c r="A28">
        <v>100000629</v>
      </c>
      <c r="B28" t="s">
        <v>157</v>
      </c>
      <c r="C28">
        <v>800</v>
      </c>
      <c r="D28">
        <v>0</v>
      </c>
      <c r="E28">
        <v>800</v>
      </c>
      <c r="F28" s="2">
        <v>0</v>
      </c>
      <c r="G28" t="s">
        <v>198</v>
      </c>
      <c r="H28">
        <v>2023</v>
      </c>
      <c r="J28" s="4">
        <v>100000551</v>
      </c>
      <c r="K28">
        <v>1</v>
      </c>
    </row>
    <row r="29" spans="1:11" x14ac:dyDescent="0.35">
      <c r="A29">
        <v>100000730</v>
      </c>
      <c r="B29" t="s">
        <v>196</v>
      </c>
      <c r="C29">
        <v>100</v>
      </c>
      <c r="D29">
        <v>0</v>
      </c>
      <c r="E29">
        <v>100</v>
      </c>
      <c r="F29" s="2">
        <v>0</v>
      </c>
      <c r="G29" t="s">
        <v>198</v>
      </c>
      <c r="H29">
        <v>2023</v>
      </c>
      <c r="J29" s="4">
        <v>100000553</v>
      </c>
      <c r="K29">
        <v>3</v>
      </c>
    </row>
    <row r="30" spans="1:11" x14ac:dyDescent="0.35">
      <c r="A30">
        <v>100000733</v>
      </c>
      <c r="B30" t="s">
        <v>152</v>
      </c>
      <c r="C30">
        <v>60</v>
      </c>
      <c r="D30">
        <v>0</v>
      </c>
      <c r="E30">
        <v>60</v>
      </c>
      <c r="F30" s="2">
        <v>0</v>
      </c>
      <c r="G30" t="s">
        <v>198</v>
      </c>
      <c r="H30">
        <v>2023</v>
      </c>
      <c r="J30" s="4">
        <v>100000582</v>
      </c>
      <c r="K30">
        <v>2</v>
      </c>
    </row>
    <row r="31" spans="1:11" x14ac:dyDescent="0.35">
      <c r="A31">
        <v>100000824</v>
      </c>
      <c r="B31" t="s">
        <v>162</v>
      </c>
      <c r="C31">
        <v>10</v>
      </c>
      <c r="D31">
        <v>0</v>
      </c>
      <c r="E31">
        <v>10</v>
      </c>
      <c r="F31" s="2">
        <v>0</v>
      </c>
      <c r="G31" t="s">
        <v>198</v>
      </c>
      <c r="H31">
        <v>2023</v>
      </c>
      <c r="J31" s="4">
        <v>100000585</v>
      </c>
      <c r="K31">
        <v>2</v>
      </c>
    </row>
    <row r="32" spans="1:11" x14ac:dyDescent="0.35">
      <c r="A32">
        <v>100000983</v>
      </c>
      <c r="B32" t="s">
        <v>166</v>
      </c>
      <c r="C32">
        <v>20</v>
      </c>
      <c r="D32">
        <v>0</v>
      </c>
      <c r="E32">
        <v>20</v>
      </c>
      <c r="F32" s="2">
        <v>0</v>
      </c>
      <c r="G32" t="s">
        <v>198</v>
      </c>
      <c r="H32">
        <v>2023</v>
      </c>
      <c r="J32" s="4">
        <v>100000621</v>
      </c>
      <c r="K32">
        <v>1</v>
      </c>
    </row>
    <row r="33" spans="1:11" x14ac:dyDescent="0.35">
      <c r="A33">
        <v>100001012</v>
      </c>
      <c r="B33" t="s">
        <v>220</v>
      </c>
      <c r="C33">
        <v>50</v>
      </c>
      <c r="D33">
        <v>0</v>
      </c>
      <c r="E33">
        <v>50</v>
      </c>
      <c r="F33" s="2">
        <v>0</v>
      </c>
      <c r="G33" t="s">
        <v>198</v>
      </c>
      <c r="H33">
        <v>2023</v>
      </c>
      <c r="J33" s="4">
        <v>100000629</v>
      </c>
      <c r="K33">
        <v>1</v>
      </c>
    </row>
    <row r="34" spans="1:11" x14ac:dyDescent="0.35">
      <c r="A34">
        <v>100001021</v>
      </c>
      <c r="B34" t="s">
        <v>224</v>
      </c>
      <c r="C34">
        <v>4200</v>
      </c>
      <c r="D34">
        <v>0</v>
      </c>
      <c r="E34">
        <v>4200</v>
      </c>
      <c r="F34" s="2">
        <v>0</v>
      </c>
      <c r="G34" t="s">
        <v>198</v>
      </c>
      <c r="H34">
        <v>2023</v>
      </c>
      <c r="J34" s="4">
        <v>100000649</v>
      </c>
      <c r="K34">
        <v>2</v>
      </c>
    </row>
    <row r="35" spans="1:11" x14ac:dyDescent="0.35">
      <c r="A35">
        <v>100003231</v>
      </c>
      <c r="B35" t="s">
        <v>54</v>
      </c>
      <c r="C35">
        <v>2220</v>
      </c>
      <c r="D35">
        <v>0</v>
      </c>
      <c r="E35">
        <v>2220</v>
      </c>
      <c r="F35" s="2">
        <v>0</v>
      </c>
      <c r="G35" t="s">
        <v>198</v>
      </c>
      <c r="H35">
        <v>2023</v>
      </c>
      <c r="J35" s="4">
        <v>100000688</v>
      </c>
      <c r="K35">
        <v>1</v>
      </c>
    </row>
    <row r="36" spans="1:11" x14ac:dyDescent="0.35">
      <c r="A36">
        <v>100001243</v>
      </c>
      <c r="B36" t="s">
        <v>69</v>
      </c>
      <c r="C36">
        <v>15</v>
      </c>
      <c r="D36">
        <v>0</v>
      </c>
      <c r="E36">
        <v>15</v>
      </c>
      <c r="F36" s="2">
        <v>0</v>
      </c>
      <c r="G36" t="s">
        <v>198</v>
      </c>
      <c r="H36">
        <v>2023</v>
      </c>
      <c r="J36" s="4">
        <v>100000693</v>
      </c>
      <c r="K36">
        <v>1</v>
      </c>
    </row>
    <row r="37" spans="1:11" x14ac:dyDescent="0.35">
      <c r="A37">
        <v>100001309</v>
      </c>
      <c r="B37" t="s">
        <v>225</v>
      </c>
      <c r="C37">
        <v>10300</v>
      </c>
      <c r="D37">
        <v>0</v>
      </c>
      <c r="E37">
        <v>10300</v>
      </c>
      <c r="F37" s="2">
        <v>0</v>
      </c>
      <c r="G37" t="s">
        <v>198</v>
      </c>
      <c r="H37">
        <v>2023</v>
      </c>
      <c r="J37" s="4">
        <v>100000697</v>
      </c>
      <c r="K37">
        <v>1</v>
      </c>
    </row>
    <row r="38" spans="1:11" x14ac:dyDescent="0.35">
      <c r="A38">
        <v>100005314</v>
      </c>
      <c r="B38" t="s">
        <v>145</v>
      </c>
      <c r="C38">
        <v>25</v>
      </c>
      <c r="D38">
        <v>0</v>
      </c>
      <c r="E38">
        <v>25</v>
      </c>
      <c r="F38" s="2">
        <v>0</v>
      </c>
      <c r="G38" t="s">
        <v>198</v>
      </c>
      <c r="H38">
        <v>2023</v>
      </c>
      <c r="J38" s="4">
        <v>100000698</v>
      </c>
      <c r="K38">
        <v>2</v>
      </c>
    </row>
    <row r="39" spans="1:11" x14ac:dyDescent="0.35">
      <c r="A39">
        <v>100000388</v>
      </c>
      <c r="B39" t="s">
        <v>151</v>
      </c>
      <c r="C39">
        <v>50</v>
      </c>
      <c r="D39">
        <v>0</v>
      </c>
      <c r="E39">
        <v>50</v>
      </c>
      <c r="F39" s="2">
        <v>0</v>
      </c>
      <c r="G39" t="s">
        <v>227</v>
      </c>
      <c r="H39">
        <v>2023</v>
      </c>
      <c r="J39" s="4">
        <v>100000715</v>
      </c>
      <c r="K39">
        <v>2</v>
      </c>
    </row>
    <row r="40" spans="1:11" x14ac:dyDescent="0.35">
      <c r="A40">
        <v>100003905</v>
      </c>
      <c r="B40" t="s">
        <v>191</v>
      </c>
      <c r="C40">
        <v>10</v>
      </c>
      <c r="D40">
        <v>0</v>
      </c>
      <c r="E40">
        <v>10</v>
      </c>
      <c r="F40" s="2">
        <v>0</v>
      </c>
      <c r="G40" t="s">
        <v>227</v>
      </c>
      <c r="H40">
        <v>2023</v>
      </c>
      <c r="J40" s="4">
        <v>100000721</v>
      </c>
      <c r="K40">
        <v>1</v>
      </c>
    </row>
    <row r="41" spans="1:11" x14ac:dyDescent="0.35">
      <c r="A41">
        <v>100000585</v>
      </c>
      <c r="B41" t="s">
        <v>118</v>
      </c>
      <c r="C41">
        <v>1000</v>
      </c>
      <c r="D41">
        <v>0</v>
      </c>
      <c r="E41">
        <v>1000</v>
      </c>
      <c r="F41" s="2">
        <v>0</v>
      </c>
      <c r="G41" t="s">
        <v>227</v>
      </c>
      <c r="H41">
        <v>2023</v>
      </c>
      <c r="J41" s="4">
        <v>100000729</v>
      </c>
      <c r="K41">
        <v>1</v>
      </c>
    </row>
    <row r="42" spans="1:11" x14ac:dyDescent="0.35">
      <c r="A42">
        <v>100000766</v>
      </c>
      <c r="B42" t="s">
        <v>35</v>
      </c>
      <c r="C42">
        <v>100</v>
      </c>
      <c r="D42">
        <v>0</v>
      </c>
      <c r="E42">
        <v>100</v>
      </c>
      <c r="F42" s="2">
        <v>0</v>
      </c>
      <c r="G42" t="s">
        <v>227</v>
      </c>
      <c r="H42">
        <v>2023</v>
      </c>
      <c r="J42" s="4">
        <v>100000730</v>
      </c>
      <c r="K42">
        <v>4</v>
      </c>
    </row>
    <row r="43" spans="1:11" x14ac:dyDescent="0.35">
      <c r="A43">
        <v>100004906</v>
      </c>
      <c r="B43" t="s">
        <v>63</v>
      </c>
      <c r="C43">
        <v>120</v>
      </c>
      <c r="D43">
        <v>0</v>
      </c>
      <c r="E43">
        <v>120</v>
      </c>
      <c r="F43" s="2">
        <v>0</v>
      </c>
      <c r="G43" t="s">
        <v>227</v>
      </c>
      <c r="H43">
        <v>2023</v>
      </c>
      <c r="J43" s="4">
        <v>100000733</v>
      </c>
      <c r="K43">
        <v>3</v>
      </c>
    </row>
    <row r="44" spans="1:11" x14ac:dyDescent="0.35">
      <c r="A44">
        <v>100003903</v>
      </c>
      <c r="B44" t="s">
        <v>64</v>
      </c>
      <c r="C44">
        <v>450</v>
      </c>
      <c r="D44">
        <v>0</v>
      </c>
      <c r="E44">
        <v>450</v>
      </c>
      <c r="F44" s="2">
        <v>0</v>
      </c>
      <c r="G44" t="s">
        <v>227</v>
      </c>
      <c r="H44">
        <v>2023</v>
      </c>
      <c r="J44" s="4">
        <v>100000735</v>
      </c>
      <c r="K44">
        <v>4</v>
      </c>
    </row>
    <row r="45" spans="1:11" x14ac:dyDescent="0.35">
      <c r="A45">
        <v>100001295</v>
      </c>
      <c r="B45" t="s">
        <v>140</v>
      </c>
      <c r="C45">
        <v>24</v>
      </c>
      <c r="D45">
        <v>0</v>
      </c>
      <c r="E45">
        <v>24</v>
      </c>
      <c r="F45" s="2">
        <v>0</v>
      </c>
      <c r="G45" t="s">
        <v>227</v>
      </c>
      <c r="H45">
        <v>2023</v>
      </c>
      <c r="J45" s="4">
        <v>100000763</v>
      </c>
      <c r="K45">
        <v>4</v>
      </c>
    </row>
    <row r="46" spans="1:11" x14ac:dyDescent="0.35">
      <c r="A46">
        <v>100001470</v>
      </c>
      <c r="B46" t="s">
        <v>226</v>
      </c>
      <c r="C46">
        <v>900</v>
      </c>
      <c r="D46">
        <v>0</v>
      </c>
      <c r="E46">
        <v>900</v>
      </c>
      <c r="F46" s="2">
        <v>0</v>
      </c>
      <c r="G46" t="s">
        <v>227</v>
      </c>
      <c r="H46">
        <v>2023</v>
      </c>
      <c r="J46" s="4">
        <v>100000766</v>
      </c>
      <c r="K46">
        <v>1</v>
      </c>
    </row>
    <row r="47" spans="1:11" x14ac:dyDescent="0.35">
      <c r="A47">
        <v>100000194</v>
      </c>
      <c r="B47" t="s">
        <v>105</v>
      </c>
      <c r="C47">
        <v>200</v>
      </c>
      <c r="D47">
        <v>0</v>
      </c>
      <c r="E47">
        <v>200</v>
      </c>
      <c r="F47" s="2">
        <v>0</v>
      </c>
      <c r="G47" t="s">
        <v>228</v>
      </c>
      <c r="H47">
        <v>2023</v>
      </c>
      <c r="J47" s="4">
        <v>100000771</v>
      </c>
      <c r="K47">
        <v>2</v>
      </c>
    </row>
    <row r="48" spans="1:11" x14ac:dyDescent="0.35">
      <c r="A48">
        <v>100000353</v>
      </c>
      <c r="B48" t="s">
        <v>19</v>
      </c>
      <c r="C48">
        <v>500</v>
      </c>
      <c r="D48">
        <v>0</v>
      </c>
      <c r="E48">
        <v>500</v>
      </c>
      <c r="F48" s="2">
        <v>0</v>
      </c>
      <c r="G48" t="s">
        <v>228</v>
      </c>
      <c r="H48">
        <v>2023</v>
      </c>
      <c r="J48" s="4">
        <v>100000772</v>
      </c>
      <c r="K48">
        <v>4</v>
      </c>
    </row>
    <row r="49" spans="1:11" x14ac:dyDescent="0.35">
      <c r="A49">
        <v>100000388</v>
      </c>
      <c r="B49" t="s">
        <v>151</v>
      </c>
      <c r="C49">
        <v>50</v>
      </c>
      <c r="D49">
        <v>0</v>
      </c>
      <c r="E49">
        <v>50</v>
      </c>
      <c r="F49" s="2">
        <v>0</v>
      </c>
      <c r="G49" t="s">
        <v>228</v>
      </c>
      <c r="H49">
        <v>2023</v>
      </c>
      <c r="J49" s="4">
        <v>100000776</v>
      </c>
      <c r="K49">
        <v>1</v>
      </c>
    </row>
    <row r="50" spans="1:11" x14ac:dyDescent="0.35">
      <c r="A50">
        <v>100003905</v>
      </c>
      <c r="B50" t="s">
        <v>191</v>
      </c>
      <c r="C50">
        <v>10</v>
      </c>
      <c r="D50">
        <v>0</v>
      </c>
      <c r="E50">
        <v>10</v>
      </c>
      <c r="F50" s="2">
        <v>0</v>
      </c>
      <c r="G50" t="s">
        <v>228</v>
      </c>
      <c r="H50">
        <v>2023</v>
      </c>
      <c r="J50" s="4">
        <v>100000777</v>
      </c>
      <c r="K50">
        <v>1</v>
      </c>
    </row>
    <row r="51" spans="1:11" x14ac:dyDescent="0.35">
      <c r="A51">
        <v>100000498</v>
      </c>
      <c r="B51" t="s">
        <v>114</v>
      </c>
      <c r="C51">
        <v>3000</v>
      </c>
      <c r="D51">
        <v>0</v>
      </c>
      <c r="E51">
        <v>3000</v>
      </c>
      <c r="F51" s="2">
        <v>0</v>
      </c>
      <c r="G51" t="s">
        <v>228</v>
      </c>
      <c r="H51">
        <v>2023</v>
      </c>
      <c r="J51" s="4">
        <v>100000809</v>
      </c>
      <c r="K51">
        <v>5</v>
      </c>
    </row>
    <row r="52" spans="1:11" x14ac:dyDescent="0.35">
      <c r="A52">
        <v>100000582</v>
      </c>
      <c r="B52" t="s">
        <v>117</v>
      </c>
      <c r="C52">
        <v>20</v>
      </c>
      <c r="D52">
        <v>0</v>
      </c>
      <c r="E52">
        <v>20</v>
      </c>
      <c r="F52" s="2">
        <v>0</v>
      </c>
      <c r="G52" t="s">
        <v>228</v>
      </c>
      <c r="H52">
        <v>2023</v>
      </c>
      <c r="J52" s="4">
        <v>100000810</v>
      </c>
      <c r="K52">
        <v>1</v>
      </c>
    </row>
    <row r="53" spans="1:11" x14ac:dyDescent="0.35">
      <c r="A53">
        <v>100000730</v>
      </c>
      <c r="B53" t="s">
        <v>196</v>
      </c>
      <c r="C53">
        <v>100</v>
      </c>
      <c r="D53">
        <v>0</v>
      </c>
      <c r="E53">
        <v>100</v>
      </c>
      <c r="F53" s="2">
        <v>0</v>
      </c>
      <c r="G53" t="s">
        <v>228</v>
      </c>
      <c r="H53">
        <v>2023</v>
      </c>
      <c r="J53" s="4">
        <v>100000824</v>
      </c>
      <c r="K53">
        <v>1</v>
      </c>
    </row>
    <row r="54" spans="1:11" x14ac:dyDescent="0.35">
      <c r="A54">
        <v>100000867</v>
      </c>
      <c r="B54" t="s">
        <v>40</v>
      </c>
      <c r="C54">
        <v>300</v>
      </c>
      <c r="D54">
        <v>0</v>
      </c>
      <c r="E54">
        <v>300</v>
      </c>
      <c r="F54" s="2">
        <v>0</v>
      </c>
      <c r="G54" t="s">
        <v>228</v>
      </c>
      <c r="H54">
        <v>2023</v>
      </c>
      <c r="J54" s="4">
        <v>100000829</v>
      </c>
      <c r="K54">
        <v>2</v>
      </c>
    </row>
    <row r="55" spans="1:11" x14ac:dyDescent="0.35">
      <c r="A55">
        <v>100000918</v>
      </c>
      <c r="B55" t="s">
        <v>46</v>
      </c>
      <c r="C55">
        <v>900</v>
      </c>
      <c r="D55">
        <v>0</v>
      </c>
      <c r="E55">
        <v>900</v>
      </c>
      <c r="F55" s="2">
        <v>0</v>
      </c>
      <c r="G55" t="s">
        <v>228</v>
      </c>
      <c r="H55">
        <v>2023</v>
      </c>
      <c r="J55" s="4">
        <v>100000867</v>
      </c>
      <c r="K55">
        <v>1</v>
      </c>
    </row>
    <row r="56" spans="1:11" x14ac:dyDescent="0.35">
      <c r="A56">
        <v>100002244</v>
      </c>
      <c r="B56" t="s">
        <v>47</v>
      </c>
      <c r="C56">
        <v>440</v>
      </c>
      <c r="D56">
        <v>0</v>
      </c>
      <c r="E56">
        <v>440</v>
      </c>
      <c r="F56" s="2">
        <v>0</v>
      </c>
      <c r="G56" t="s">
        <v>228</v>
      </c>
      <c r="H56">
        <v>2023</v>
      </c>
      <c r="J56" s="4">
        <v>100000894</v>
      </c>
      <c r="K56">
        <v>3</v>
      </c>
    </row>
    <row r="57" spans="1:11" x14ac:dyDescent="0.35">
      <c r="A57">
        <v>100000983</v>
      </c>
      <c r="B57" t="s">
        <v>166</v>
      </c>
      <c r="C57">
        <v>20</v>
      </c>
      <c r="D57">
        <v>0</v>
      </c>
      <c r="E57">
        <v>20</v>
      </c>
      <c r="F57" s="2">
        <v>0</v>
      </c>
      <c r="G57" t="s">
        <v>228</v>
      </c>
      <c r="H57">
        <v>2023</v>
      </c>
      <c r="J57" s="4">
        <v>100000908</v>
      </c>
      <c r="K57">
        <v>4</v>
      </c>
    </row>
    <row r="58" spans="1:11" x14ac:dyDescent="0.35">
      <c r="A58">
        <v>100001020</v>
      </c>
      <c r="B58" t="s">
        <v>52</v>
      </c>
      <c r="C58">
        <v>10500</v>
      </c>
      <c r="D58">
        <v>0</v>
      </c>
      <c r="E58">
        <v>10500</v>
      </c>
      <c r="F58" s="2">
        <v>0</v>
      </c>
      <c r="G58" t="s">
        <v>228</v>
      </c>
      <c r="H58">
        <v>2023</v>
      </c>
      <c r="J58" s="4">
        <v>100000918</v>
      </c>
      <c r="K58">
        <v>6</v>
      </c>
    </row>
    <row r="59" spans="1:11" x14ac:dyDescent="0.35">
      <c r="A59">
        <v>100005482</v>
      </c>
      <c r="B59" t="s">
        <v>135</v>
      </c>
      <c r="C59">
        <v>120</v>
      </c>
      <c r="D59">
        <v>0</v>
      </c>
      <c r="E59">
        <v>120</v>
      </c>
      <c r="F59" s="2">
        <v>0</v>
      </c>
      <c r="G59" t="s">
        <v>228</v>
      </c>
      <c r="H59">
        <v>2023</v>
      </c>
      <c r="J59" s="4">
        <v>100000921</v>
      </c>
      <c r="K59">
        <v>1</v>
      </c>
    </row>
    <row r="60" spans="1:11" x14ac:dyDescent="0.35">
      <c r="A60">
        <v>100003413</v>
      </c>
      <c r="B60" t="s">
        <v>138</v>
      </c>
      <c r="C60">
        <v>80</v>
      </c>
      <c r="D60">
        <v>0</v>
      </c>
      <c r="E60">
        <v>80</v>
      </c>
      <c r="F60" s="2">
        <v>0</v>
      </c>
      <c r="G60" t="s">
        <v>228</v>
      </c>
      <c r="H60">
        <v>2023</v>
      </c>
      <c r="J60" s="4">
        <v>100000938</v>
      </c>
      <c r="K60">
        <v>2</v>
      </c>
    </row>
    <row r="61" spans="1:11" x14ac:dyDescent="0.35">
      <c r="A61">
        <v>100001306</v>
      </c>
      <c r="B61" t="s">
        <v>141</v>
      </c>
      <c r="C61">
        <v>400</v>
      </c>
      <c r="D61">
        <v>0</v>
      </c>
      <c r="E61">
        <v>400</v>
      </c>
      <c r="F61" s="2">
        <v>0</v>
      </c>
      <c r="G61" t="s">
        <v>228</v>
      </c>
      <c r="H61">
        <v>2023</v>
      </c>
      <c r="J61" s="4">
        <v>100000944</v>
      </c>
      <c r="K61">
        <v>1</v>
      </c>
    </row>
    <row r="62" spans="1:11" x14ac:dyDescent="0.35">
      <c r="A62">
        <v>100001306</v>
      </c>
      <c r="B62" t="s">
        <v>141</v>
      </c>
      <c r="C62">
        <v>600</v>
      </c>
      <c r="D62">
        <v>0</v>
      </c>
      <c r="E62">
        <v>600</v>
      </c>
      <c r="F62" s="2">
        <v>0</v>
      </c>
      <c r="G62" t="s">
        <v>228</v>
      </c>
      <c r="H62">
        <v>2023</v>
      </c>
      <c r="J62" s="4">
        <v>100000964</v>
      </c>
      <c r="K62">
        <v>1</v>
      </c>
    </row>
    <row r="63" spans="1:11" x14ac:dyDescent="0.35">
      <c r="A63">
        <v>100000044</v>
      </c>
      <c r="B63" t="s">
        <v>5</v>
      </c>
      <c r="C63">
        <v>320</v>
      </c>
      <c r="D63">
        <v>0</v>
      </c>
      <c r="E63">
        <v>320</v>
      </c>
      <c r="F63" s="2">
        <v>0</v>
      </c>
      <c r="G63" t="s">
        <v>231</v>
      </c>
      <c r="H63">
        <v>2023</v>
      </c>
      <c r="J63" s="4">
        <v>100000983</v>
      </c>
      <c r="K63">
        <v>3</v>
      </c>
    </row>
    <row r="64" spans="1:11" x14ac:dyDescent="0.35">
      <c r="A64">
        <v>100000046</v>
      </c>
      <c r="B64" t="s">
        <v>6</v>
      </c>
      <c r="C64">
        <v>1000</v>
      </c>
      <c r="D64">
        <v>0</v>
      </c>
      <c r="E64">
        <v>1000</v>
      </c>
      <c r="F64" s="2">
        <v>0</v>
      </c>
      <c r="G64" t="s">
        <v>231</v>
      </c>
      <c r="H64">
        <v>2023</v>
      </c>
      <c r="J64" s="4">
        <v>100001010</v>
      </c>
      <c r="K64">
        <v>1</v>
      </c>
    </row>
    <row r="65" spans="1:11" x14ac:dyDescent="0.35">
      <c r="A65">
        <v>100000388</v>
      </c>
      <c r="B65" t="s">
        <v>151</v>
      </c>
      <c r="C65">
        <v>50</v>
      </c>
      <c r="D65">
        <v>0</v>
      </c>
      <c r="E65">
        <v>50</v>
      </c>
      <c r="F65" s="2">
        <v>0</v>
      </c>
      <c r="G65" t="s">
        <v>231</v>
      </c>
      <c r="H65">
        <v>2023</v>
      </c>
      <c r="J65" s="4">
        <v>100001012</v>
      </c>
      <c r="K65">
        <v>2</v>
      </c>
    </row>
    <row r="66" spans="1:11" x14ac:dyDescent="0.35">
      <c r="A66">
        <v>100000649</v>
      </c>
      <c r="B66" t="s">
        <v>31</v>
      </c>
      <c r="C66">
        <v>30</v>
      </c>
      <c r="D66">
        <v>0</v>
      </c>
      <c r="E66">
        <v>30</v>
      </c>
      <c r="F66" s="2">
        <v>0</v>
      </c>
      <c r="G66" t="s">
        <v>231</v>
      </c>
      <c r="H66">
        <v>2023</v>
      </c>
      <c r="J66" s="4">
        <v>100001016</v>
      </c>
      <c r="K66">
        <v>2</v>
      </c>
    </row>
    <row r="67" spans="1:11" x14ac:dyDescent="0.35">
      <c r="A67">
        <v>100002361</v>
      </c>
      <c r="B67" t="s">
        <v>158</v>
      </c>
      <c r="C67">
        <v>20</v>
      </c>
      <c r="D67">
        <v>0</v>
      </c>
      <c r="E67">
        <v>20</v>
      </c>
      <c r="F67" s="2">
        <v>0</v>
      </c>
      <c r="G67" t="s">
        <v>231</v>
      </c>
      <c r="H67">
        <v>2023</v>
      </c>
      <c r="J67" s="4">
        <v>100001018</v>
      </c>
      <c r="K67">
        <v>1</v>
      </c>
    </row>
    <row r="68" spans="1:11" x14ac:dyDescent="0.35">
      <c r="A68">
        <v>100000730</v>
      </c>
      <c r="B68" t="s">
        <v>196</v>
      </c>
      <c r="C68">
        <v>200</v>
      </c>
      <c r="D68">
        <v>0</v>
      </c>
      <c r="E68">
        <v>200</v>
      </c>
      <c r="F68" s="2">
        <v>0</v>
      </c>
      <c r="G68" t="s">
        <v>231</v>
      </c>
      <c r="H68">
        <v>2023</v>
      </c>
      <c r="J68" s="4">
        <v>100001020</v>
      </c>
      <c r="K68">
        <v>1</v>
      </c>
    </row>
    <row r="69" spans="1:11" x14ac:dyDescent="0.35">
      <c r="A69">
        <v>100000735</v>
      </c>
      <c r="B69" t="s">
        <v>222</v>
      </c>
      <c r="C69">
        <v>130</v>
      </c>
      <c r="D69">
        <v>0</v>
      </c>
      <c r="E69">
        <v>130</v>
      </c>
      <c r="F69" s="2">
        <v>0</v>
      </c>
      <c r="G69" t="s">
        <v>231</v>
      </c>
      <c r="H69">
        <v>2023</v>
      </c>
      <c r="J69" s="4">
        <v>100001021</v>
      </c>
      <c r="K69">
        <v>1</v>
      </c>
    </row>
    <row r="70" spans="1:11" x14ac:dyDescent="0.35">
      <c r="A70">
        <v>100000735</v>
      </c>
      <c r="B70" t="s">
        <v>222</v>
      </c>
      <c r="C70">
        <v>120</v>
      </c>
      <c r="D70">
        <v>0</v>
      </c>
      <c r="E70">
        <v>120</v>
      </c>
      <c r="F70" s="2">
        <v>0</v>
      </c>
      <c r="G70" t="s">
        <v>231</v>
      </c>
      <c r="H70">
        <v>2023</v>
      </c>
      <c r="J70" s="4">
        <v>100001037</v>
      </c>
      <c r="K70">
        <v>1</v>
      </c>
    </row>
    <row r="71" spans="1:11" x14ac:dyDescent="0.35">
      <c r="A71">
        <v>100000894</v>
      </c>
      <c r="B71" t="s">
        <v>41</v>
      </c>
      <c r="C71">
        <v>720</v>
      </c>
      <c r="D71">
        <v>0</v>
      </c>
      <c r="E71">
        <v>720</v>
      </c>
      <c r="F71" s="2">
        <v>0</v>
      </c>
      <c r="G71" t="s">
        <v>231</v>
      </c>
      <c r="H71">
        <v>2023</v>
      </c>
      <c r="J71" s="4">
        <v>100001041</v>
      </c>
      <c r="K71">
        <v>2</v>
      </c>
    </row>
    <row r="72" spans="1:11" x14ac:dyDescent="0.35">
      <c r="A72">
        <v>100003431</v>
      </c>
      <c r="B72" t="s">
        <v>42</v>
      </c>
      <c r="C72">
        <v>42</v>
      </c>
      <c r="D72">
        <v>0</v>
      </c>
      <c r="E72">
        <v>42</v>
      </c>
      <c r="F72" s="2">
        <v>0</v>
      </c>
      <c r="G72" t="s">
        <v>231</v>
      </c>
      <c r="H72">
        <v>2023</v>
      </c>
      <c r="J72" s="4">
        <v>100001042</v>
      </c>
      <c r="K72">
        <v>1</v>
      </c>
    </row>
    <row r="73" spans="1:11" x14ac:dyDescent="0.35">
      <c r="A73">
        <v>100000918</v>
      </c>
      <c r="B73" t="s">
        <v>46</v>
      </c>
      <c r="C73">
        <v>1200</v>
      </c>
      <c r="D73">
        <v>0</v>
      </c>
      <c r="E73">
        <v>1200</v>
      </c>
      <c r="F73" s="2">
        <v>0</v>
      </c>
      <c r="G73" t="s">
        <v>231</v>
      </c>
      <c r="H73">
        <v>2023</v>
      </c>
      <c r="J73" s="4">
        <v>100001047</v>
      </c>
      <c r="K73">
        <v>3</v>
      </c>
    </row>
    <row r="74" spans="1:11" x14ac:dyDescent="0.35">
      <c r="A74">
        <v>100001010</v>
      </c>
      <c r="B74" t="s">
        <v>163</v>
      </c>
      <c r="C74">
        <v>50</v>
      </c>
      <c r="D74">
        <v>0</v>
      </c>
      <c r="E74">
        <v>50</v>
      </c>
      <c r="F74" s="2">
        <v>0</v>
      </c>
      <c r="G74" t="s">
        <v>231</v>
      </c>
      <c r="H74">
        <v>2023</v>
      </c>
      <c r="J74" s="4">
        <v>100001052</v>
      </c>
      <c r="K74">
        <v>2</v>
      </c>
    </row>
    <row r="75" spans="1:11" x14ac:dyDescent="0.35">
      <c r="A75">
        <v>100002581</v>
      </c>
      <c r="B75" t="s">
        <v>229</v>
      </c>
      <c r="C75">
        <v>120</v>
      </c>
      <c r="D75">
        <v>0</v>
      </c>
      <c r="E75">
        <v>120</v>
      </c>
      <c r="F75" s="2">
        <v>0</v>
      </c>
      <c r="G75" t="s">
        <v>231</v>
      </c>
      <c r="H75">
        <v>2023</v>
      </c>
      <c r="J75" s="4">
        <v>100001053</v>
      </c>
      <c r="K75">
        <v>1</v>
      </c>
    </row>
    <row r="76" spans="1:11" x14ac:dyDescent="0.35">
      <c r="A76">
        <v>100001063</v>
      </c>
      <c r="B76" t="s">
        <v>131</v>
      </c>
      <c r="C76">
        <v>10</v>
      </c>
      <c r="D76">
        <v>0</v>
      </c>
      <c r="E76">
        <v>10</v>
      </c>
      <c r="F76" s="2">
        <v>0</v>
      </c>
      <c r="G76" t="s">
        <v>231</v>
      </c>
      <c r="H76">
        <v>2023</v>
      </c>
      <c r="J76" s="4">
        <v>100001063</v>
      </c>
      <c r="K76">
        <v>2</v>
      </c>
    </row>
    <row r="77" spans="1:11" x14ac:dyDescent="0.35">
      <c r="A77">
        <v>100001243</v>
      </c>
      <c r="B77" t="s">
        <v>69</v>
      </c>
      <c r="C77">
        <v>15</v>
      </c>
      <c r="D77">
        <v>0</v>
      </c>
      <c r="E77">
        <v>15</v>
      </c>
      <c r="F77" s="2">
        <v>0</v>
      </c>
      <c r="G77" t="s">
        <v>231</v>
      </c>
      <c r="H77">
        <v>2023</v>
      </c>
      <c r="J77" s="4">
        <v>100001068</v>
      </c>
      <c r="K77">
        <v>1</v>
      </c>
    </row>
    <row r="78" spans="1:11" x14ac:dyDescent="0.35">
      <c r="A78">
        <v>100001308</v>
      </c>
      <c r="B78" t="s">
        <v>142</v>
      </c>
      <c r="C78">
        <v>260</v>
      </c>
      <c r="D78">
        <v>0</v>
      </c>
      <c r="E78">
        <v>260</v>
      </c>
      <c r="F78" s="2">
        <v>0</v>
      </c>
      <c r="G78" t="s">
        <v>231</v>
      </c>
      <c r="H78">
        <v>2023</v>
      </c>
      <c r="J78" s="4">
        <v>100001084</v>
      </c>
      <c r="K78">
        <v>4</v>
      </c>
    </row>
    <row r="79" spans="1:11" x14ac:dyDescent="0.35">
      <c r="A79">
        <v>100001308</v>
      </c>
      <c r="B79" t="s">
        <v>142</v>
      </c>
      <c r="C79">
        <v>300</v>
      </c>
      <c r="D79">
        <v>0</v>
      </c>
      <c r="E79">
        <v>300</v>
      </c>
      <c r="F79" s="2">
        <v>0</v>
      </c>
      <c r="G79" t="s">
        <v>231</v>
      </c>
      <c r="H79">
        <v>2023</v>
      </c>
      <c r="J79" s="4">
        <v>100001105</v>
      </c>
      <c r="K79">
        <v>1</v>
      </c>
    </row>
    <row r="80" spans="1:11" x14ac:dyDescent="0.35">
      <c r="A80">
        <v>100001310</v>
      </c>
      <c r="B80" t="s">
        <v>76</v>
      </c>
      <c r="C80">
        <v>10200</v>
      </c>
      <c r="D80">
        <v>0</v>
      </c>
      <c r="E80">
        <v>10200</v>
      </c>
      <c r="F80" s="2">
        <v>0</v>
      </c>
      <c r="G80" t="s">
        <v>231</v>
      </c>
      <c r="H80">
        <v>2023</v>
      </c>
      <c r="J80" s="4">
        <v>100001116</v>
      </c>
      <c r="K80">
        <v>1</v>
      </c>
    </row>
    <row r="81" spans="1:11" x14ac:dyDescent="0.35">
      <c r="A81">
        <v>100002561</v>
      </c>
      <c r="B81" t="s">
        <v>170</v>
      </c>
      <c r="C81">
        <v>200</v>
      </c>
      <c r="D81">
        <v>0</v>
      </c>
      <c r="E81">
        <v>200</v>
      </c>
      <c r="F81" s="2">
        <v>0</v>
      </c>
      <c r="G81" t="s">
        <v>231</v>
      </c>
      <c r="H81">
        <v>2023</v>
      </c>
      <c r="J81" s="4">
        <v>100001124</v>
      </c>
      <c r="K81">
        <v>3</v>
      </c>
    </row>
    <row r="82" spans="1:11" x14ac:dyDescent="0.35">
      <c r="A82">
        <v>100002131</v>
      </c>
      <c r="B82" t="s">
        <v>230</v>
      </c>
      <c r="C82">
        <v>4</v>
      </c>
      <c r="D82">
        <v>0</v>
      </c>
      <c r="E82">
        <v>4</v>
      </c>
      <c r="F82" s="2">
        <v>0</v>
      </c>
      <c r="G82" t="s">
        <v>231</v>
      </c>
      <c r="H82">
        <v>2023</v>
      </c>
      <c r="J82" s="4">
        <v>100001143</v>
      </c>
      <c r="K82">
        <v>1</v>
      </c>
    </row>
    <row r="83" spans="1:11" x14ac:dyDescent="0.35">
      <c r="A83">
        <v>100001466</v>
      </c>
      <c r="B83" t="s">
        <v>84</v>
      </c>
      <c r="C83">
        <v>3900</v>
      </c>
      <c r="D83">
        <v>0</v>
      </c>
      <c r="E83">
        <v>3900</v>
      </c>
      <c r="F83" s="2">
        <v>0</v>
      </c>
      <c r="G83" t="s">
        <v>231</v>
      </c>
      <c r="H83">
        <v>2023</v>
      </c>
      <c r="J83" s="4">
        <v>100001184</v>
      </c>
      <c r="K83">
        <v>1</v>
      </c>
    </row>
    <row r="84" spans="1:11" x14ac:dyDescent="0.35">
      <c r="A84">
        <v>100000044</v>
      </c>
      <c r="B84" t="s">
        <v>5</v>
      </c>
      <c r="C84">
        <v>240</v>
      </c>
      <c r="D84">
        <v>0</v>
      </c>
      <c r="E84">
        <v>240</v>
      </c>
      <c r="F84" s="2">
        <v>0</v>
      </c>
      <c r="G84" t="s">
        <v>173</v>
      </c>
      <c r="H84">
        <v>2023</v>
      </c>
      <c r="J84" s="4">
        <v>100001199</v>
      </c>
      <c r="K84">
        <v>4</v>
      </c>
    </row>
    <row r="85" spans="1:11" x14ac:dyDescent="0.35">
      <c r="A85">
        <v>100003907</v>
      </c>
      <c r="B85" t="s">
        <v>232</v>
      </c>
      <c r="C85">
        <v>28</v>
      </c>
      <c r="D85">
        <v>0</v>
      </c>
      <c r="E85">
        <v>28</v>
      </c>
      <c r="F85" s="2">
        <v>0</v>
      </c>
      <c r="G85" t="s">
        <v>173</v>
      </c>
      <c r="H85">
        <v>2023</v>
      </c>
      <c r="J85" s="4">
        <v>100001222</v>
      </c>
      <c r="K85">
        <v>1</v>
      </c>
    </row>
    <row r="86" spans="1:11" x14ac:dyDescent="0.35">
      <c r="A86">
        <v>100000388</v>
      </c>
      <c r="B86" t="s">
        <v>151</v>
      </c>
      <c r="C86">
        <v>50</v>
      </c>
      <c r="D86">
        <v>0</v>
      </c>
      <c r="E86">
        <v>50</v>
      </c>
      <c r="F86" s="2">
        <v>0</v>
      </c>
      <c r="G86" t="s">
        <v>173</v>
      </c>
      <c r="H86">
        <v>2023</v>
      </c>
      <c r="J86" s="4">
        <v>100001232</v>
      </c>
      <c r="K86">
        <v>2</v>
      </c>
    </row>
    <row r="87" spans="1:11" x14ac:dyDescent="0.35">
      <c r="A87">
        <v>100000698</v>
      </c>
      <c r="B87" t="s">
        <v>233</v>
      </c>
      <c r="C87">
        <v>1620</v>
      </c>
      <c r="D87">
        <v>0</v>
      </c>
      <c r="E87">
        <v>1620</v>
      </c>
      <c r="F87" s="2">
        <v>0</v>
      </c>
      <c r="G87" t="s">
        <v>173</v>
      </c>
      <c r="H87">
        <v>2023</v>
      </c>
      <c r="J87" s="4">
        <v>100001243</v>
      </c>
      <c r="K87">
        <v>2</v>
      </c>
    </row>
    <row r="88" spans="1:11" x14ac:dyDescent="0.35">
      <c r="A88">
        <v>100001047</v>
      </c>
      <c r="B88" t="s">
        <v>129</v>
      </c>
      <c r="C88">
        <v>100</v>
      </c>
      <c r="D88">
        <v>0</v>
      </c>
      <c r="E88">
        <v>100</v>
      </c>
      <c r="F88" s="2">
        <v>0</v>
      </c>
      <c r="G88" t="s">
        <v>173</v>
      </c>
      <c r="H88">
        <v>2023</v>
      </c>
      <c r="J88" s="4">
        <v>100001260</v>
      </c>
      <c r="K88">
        <v>2</v>
      </c>
    </row>
    <row r="89" spans="1:11" x14ac:dyDescent="0.35">
      <c r="A89">
        <v>100001199</v>
      </c>
      <c r="B89" t="s">
        <v>164</v>
      </c>
      <c r="C89">
        <v>500</v>
      </c>
      <c r="D89">
        <v>0</v>
      </c>
      <c r="E89">
        <v>500</v>
      </c>
      <c r="F89" s="2">
        <v>0</v>
      </c>
      <c r="G89" t="s">
        <v>173</v>
      </c>
      <c r="H89">
        <v>2023</v>
      </c>
      <c r="J89" s="4">
        <v>100001295</v>
      </c>
      <c r="K89">
        <v>1</v>
      </c>
    </row>
    <row r="90" spans="1:11" x14ac:dyDescent="0.35">
      <c r="A90">
        <v>100001367</v>
      </c>
      <c r="B90" t="s">
        <v>185</v>
      </c>
      <c r="C90">
        <v>30</v>
      </c>
      <c r="D90">
        <v>0</v>
      </c>
      <c r="E90">
        <v>30</v>
      </c>
      <c r="F90" s="2">
        <v>0</v>
      </c>
      <c r="G90" t="s">
        <v>173</v>
      </c>
      <c r="H90">
        <v>2023</v>
      </c>
      <c r="J90" s="4">
        <v>100001306</v>
      </c>
      <c r="K90">
        <v>3</v>
      </c>
    </row>
    <row r="91" spans="1:11" x14ac:dyDescent="0.35">
      <c r="A91">
        <v>100001466</v>
      </c>
      <c r="B91" t="s">
        <v>84</v>
      </c>
      <c r="C91">
        <v>3900</v>
      </c>
      <c r="D91">
        <v>0</v>
      </c>
      <c r="E91">
        <v>3900</v>
      </c>
      <c r="F91" s="2">
        <v>0</v>
      </c>
      <c r="G91" t="s">
        <v>173</v>
      </c>
      <c r="H91">
        <v>2023</v>
      </c>
      <c r="J91" s="4">
        <v>100001308</v>
      </c>
      <c r="K91">
        <v>2</v>
      </c>
    </row>
    <row r="92" spans="1:11" x14ac:dyDescent="0.35">
      <c r="A92">
        <v>100000044</v>
      </c>
      <c r="B92" t="s">
        <v>5</v>
      </c>
      <c r="C92">
        <v>20</v>
      </c>
      <c r="D92">
        <v>0</v>
      </c>
      <c r="E92">
        <v>20</v>
      </c>
      <c r="F92" s="2">
        <v>0</v>
      </c>
      <c r="G92" t="s">
        <v>236</v>
      </c>
      <c r="H92">
        <v>2023</v>
      </c>
      <c r="J92" s="4">
        <v>100001309</v>
      </c>
      <c r="K92">
        <v>1</v>
      </c>
    </row>
    <row r="93" spans="1:11" x14ac:dyDescent="0.35">
      <c r="A93">
        <v>100002190</v>
      </c>
      <c r="B93" t="s">
        <v>234</v>
      </c>
      <c r="C93">
        <v>840</v>
      </c>
      <c r="D93">
        <v>0</v>
      </c>
      <c r="E93">
        <v>840</v>
      </c>
      <c r="F93" s="2">
        <v>0</v>
      </c>
      <c r="G93" t="s">
        <v>236</v>
      </c>
      <c r="H93">
        <v>2023</v>
      </c>
      <c r="J93" s="4">
        <v>100001310</v>
      </c>
      <c r="K93">
        <v>7</v>
      </c>
    </row>
    <row r="94" spans="1:11" x14ac:dyDescent="0.35">
      <c r="A94">
        <v>100002347</v>
      </c>
      <c r="B94" t="s">
        <v>17</v>
      </c>
      <c r="C94">
        <v>80</v>
      </c>
      <c r="D94">
        <v>0</v>
      </c>
      <c r="E94">
        <v>80</v>
      </c>
      <c r="F94" s="2">
        <v>0</v>
      </c>
      <c r="G94" t="s">
        <v>236</v>
      </c>
      <c r="H94">
        <v>2023</v>
      </c>
      <c r="J94" s="4">
        <v>100001358</v>
      </c>
      <c r="K94">
        <v>2</v>
      </c>
    </row>
    <row r="95" spans="1:11" x14ac:dyDescent="0.35">
      <c r="A95">
        <v>100000388</v>
      </c>
      <c r="B95" t="s">
        <v>151</v>
      </c>
      <c r="C95">
        <v>50</v>
      </c>
      <c r="D95">
        <v>0</v>
      </c>
      <c r="E95">
        <v>50</v>
      </c>
      <c r="F95" s="2">
        <v>0</v>
      </c>
      <c r="G95" t="s">
        <v>236</v>
      </c>
      <c r="H95">
        <v>2023</v>
      </c>
      <c r="J95" s="4">
        <v>100001367</v>
      </c>
      <c r="K95">
        <v>3</v>
      </c>
    </row>
    <row r="96" spans="1:11" x14ac:dyDescent="0.35">
      <c r="A96">
        <v>100000585</v>
      </c>
      <c r="B96" t="s">
        <v>118</v>
      </c>
      <c r="C96">
        <v>1000</v>
      </c>
      <c r="D96">
        <v>0</v>
      </c>
      <c r="E96">
        <v>1000</v>
      </c>
      <c r="F96" s="2">
        <v>0</v>
      </c>
      <c r="G96" t="s">
        <v>236</v>
      </c>
      <c r="H96">
        <v>2023</v>
      </c>
      <c r="J96" s="4">
        <v>100001463</v>
      </c>
      <c r="K96">
        <v>1</v>
      </c>
    </row>
    <row r="97" spans="1:11" x14ac:dyDescent="0.35">
      <c r="A97">
        <v>100000698</v>
      </c>
      <c r="B97" t="s">
        <v>233</v>
      </c>
      <c r="C97">
        <v>1620</v>
      </c>
      <c r="D97">
        <v>0</v>
      </c>
      <c r="E97">
        <v>1620</v>
      </c>
      <c r="F97" s="2">
        <v>0</v>
      </c>
      <c r="G97" t="s">
        <v>236</v>
      </c>
      <c r="H97">
        <v>2023</v>
      </c>
      <c r="J97" s="4">
        <v>100001466</v>
      </c>
      <c r="K97">
        <v>6</v>
      </c>
    </row>
    <row r="98" spans="1:11" x14ac:dyDescent="0.35">
      <c r="A98">
        <v>100001116</v>
      </c>
      <c r="B98" t="s">
        <v>194</v>
      </c>
      <c r="C98">
        <v>100</v>
      </c>
      <c r="D98">
        <v>0</v>
      </c>
      <c r="E98">
        <v>100</v>
      </c>
      <c r="F98" s="2">
        <v>0</v>
      </c>
      <c r="G98" t="s">
        <v>236</v>
      </c>
      <c r="H98">
        <v>2023</v>
      </c>
      <c r="J98" s="4">
        <v>100001470</v>
      </c>
      <c r="K98">
        <v>2</v>
      </c>
    </row>
    <row r="99" spans="1:11" x14ac:dyDescent="0.35">
      <c r="A99">
        <v>100002314</v>
      </c>
      <c r="B99" t="s">
        <v>74</v>
      </c>
      <c r="C99">
        <v>15</v>
      </c>
      <c r="D99">
        <v>0</v>
      </c>
      <c r="E99">
        <v>15</v>
      </c>
      <c r="F99" s="2">
        <v>0</v>
      </c>
      <c r="G99" t="s">
        <v>236</v>
      </c>
      <c r="H99">
        <v>2023</v>
      </c>
      <c r="J99" s="4">
        <v>100001547</v>
      </c>
      <c r="K99">
        <v>1</v>
      </c>
    </row>
    <row r="100" spans="1:11" x14ac:dyDescent="0.35">
      <c r="A100">
        <v>100002561</v>
      </c>
      <c r="B100" t="s">
        <v>170</v>
      </c>
      <c r="C100">
        <v>200</v>
      </c>
      <c r="D100">
        <v>0</v>
      </c>
      <c r="E100">
        <v>200</v>
      </c>
      <c r="F100" s="2">
        <v>0</v>
      </c>
      <c r="G100" t="s">
        <v>236</v>
      </c>
      <c r="H100">
        <v>2023</v>
      </c>
      <c r="J100" s="4">
        <v>100001551</v>
      </c>
      <c r="K100">
        <v>1</v>
      </c>
    </row>
    <row r="101" spans="1:11" x14ac:dyDescent="0.35">
      <c r="A101">
        <v>100005325</v>
      </c>
      <c r="B101" t="s">
        <v>103</v>
      </c>
      <c r="C101">
        <v>1120</v>
      </c>
      <c r="D101">
        <v>0</v>
      </c>
      <c r="E101">
        <v>1120</v>
      </c>
      <c r="F101" s="2">
        <v>0</v>
      </c>
      <c r="G101" t="s">
        <v>177</v>
      </c>
      <c r="H101">
        <v>2023</v>
      </c>
      <c r="J101" s="4">
        <v>100001568</v>
      </c>
      <c r="K101">
        <v>4</v>
      </c>
    </row>
    <row r="102" spans="1:11" x14ac:dyDescent="0.35">
      <c r="A102">
        <v>100000388</v>
      </c>
      <c r="B102" t="s">
        <v>151</v>
      </c>
      <c r="C102">
        <v>50</v>
      </c>
      <c r="D102">
        <v>0</v>
      </c>
      <c r="E102">
        <v>50</v>
      </c>
      <c r="F102" s="2">
        <v>0</v>
      </c>
      <c r="G102" t="s">
        <v>177</v>
      </c>
      <c r="H102">
        <v>2023</v>
      </c>
      <c r="J102" s="4">
        <v>100001603</v>
      </c>
      <c r="K102">
        <v>1</v>
      </c>
    </row>
    <row r="103" spans="1:11" x14ac:dyDescent="0.35">
      <c r="A103">
        <v>100002164</v>
      </c>
      <c r="B103" t="s">
        <v>30</v>
      </c>
      <c r="C103">
        <v>200</v>
      </c>
      <c r="D103">
        <v>0</v>
      </c>
      <c r="E103">
        <v>200</v>
      </c>
      <c r="F103" s="2">
        <v>0</v>
      </c>
      <c r="G103" t="s">
        <v>177</v>
      </c>
      <c r="H103">
        <v>2023</v>
      </c>
      <c r="J103" s="4">
        <v>100001826</v>
      </c>
      <c r="K103">
        <v>1</v>
      </c>
    </row>
    <row r="104" spans="1:11" x14ac:dyDescent="0.35">
      <c r="A104">
        <v>100004642</v>
      </c>
      <c r="B104" t="s">
        <v>88</v>
      </c>
      <c r="C104">
        <v>60</v>
      </c>
      <c r="D104">
        <v>0</v>
      </c>
      <c r="E104">
        <v>60</v>
      </c>
      <c r="F104" s="2">
        <v>0</v>
      </c>
      <c r="G104" t="s">
        <v>177</v>
      </c>
      <c r="H104">
        <v>2023</v>
      </c>
      <c r="J104" s="4">
        <v>100001902</v>
      </c>
      <c r="K104">
        <v>1</v>
      </c>
    </row>
    <row r="105" spans="1:11" x14ac:dyDescent="0.35">
      <c r="A105">
        <v>100000983</v>
      </c>
      <c r="B105" t="s">
        <v>166</v>
      </c>
      <c r="C105">
        <v>20</v>
      </c>
      <c r="D105">
        <v>0</v>
      </c>
      <c r="E105">
        <v>20</v>
      </c>
      <c r="F105" s="2">
        <v>0</v>
      </c>
      <c r="G105" t="s">
        <v>177</v>
      </c>
      <c r="H105">
        <v>2023</v>
      </c>
      <c r="J105" s="4">
        <v>100001903</v>
      </c>
      <c r="K105">
        <v>2</v>
      </c>
    </row>
    <row r="106" spans="1:11" x14ac:dyDescent="0.35">
      <c r="A106">
        <v>100002581</v>
      </c>
      <c r="B106" t="s">
        <v>229</v>
      </c>
      <c r="C106">
        <v>120</v>
      </c>
      <c r="D106">
        <v>0</v>
      </c>
      <c r="E106">
        <v>120</v>
      </c>
      <c r="F106" s="2">
        <v>0</v>
      </c>
      <c r="G106" t="s">
        <v>177</v>
      </c>
      <c r="H106">
        <v>2023</v>
      </c>
      <c r="J106" s="4">
        <v>100001916</v>
      </c>
      <c r="K106">
        <v>2</v>
      </c>
    </row>
    <row r="107" spans="1:11" x14ac:dyDescent="0.35">
      <c r="A107">
        <v>100001047</v>
      </c>
      <c r="B107" t="s">
        <v>129</v>
      </c>
      <c r="C107">
        <v>100</v>
      </c>
      <c r="D107">
        <v>0</v>
      </c>
      <c r="E107">
        <v>100</v>
      </c>
      <c r="F107" s="2">
        <v>0</v>
      </c>
      <c r="G107" t="s">
        <v>177</v>
      </c>
      <c r="H107">
        <v>2023</v>
      </c>
      <c r="J107" s="4">
        <v>100002000</v>
      </c>
      <c r="K107">
        <v>1</v>
      </c>
    </row>
    <row r="108" spans="1:11" x14ac:dyDescent="0.35">
      <c r="A108">
        <v>100005299</v>
      </c>
      <c r="B108" t="s">
        <v>55</v>
      </c>
      <c r="C108">
        <v>10</v>
      </c>
      <c r="D108">
        <v>0</v>
      </c>
      <c r="E108">
        <v>10</v>
      </c>
      <c r="F108" s="2">
        <v>0</v>
      </c>
      <c r="G108" t="s">
        <v>177</v>
      </c>
      <c r="H108">
        <v>2023</v>
      </c>
      <c r="J108" s="4">
        <v>100002004</v>
      </c>
      <c r="K108">
        <v>1</v>
      </c>
    </row>
    <row r="109" spans="1:11" x14ac:dyDescent="0.35">
      <c r="A109">
        <v>100001063</v>
      </c>
      <c r="B109" t="s">
        <v>131</v>
      </c>
      <c r="C109">
        <v>10</v>
      </c>
      <c r="D109">
        <v>0</v>
      </c>
      <c r="E109">
        <v>10</v>
      </c>
      <c r="F109" s="2">
        <v>0</v>
      </c>
      <c r="G109" t="s">
        <v>177</v>
      </c>
      <c r="H109">
        <v>2023</v>
      </c>
      <c r="J109" s="4">
        <v>100002037</v>
      </c>
      <c r="K109">
        <v>5</v>
      </c>
    </row>
    <row r="110" spans="1:11" x14ac:dyDescent="0.35">
      <c r="A110">
        <v>100001358</v>
      </c>
      <c r="B110" t="s">
        <v>144</v>
      </c>
      <c r="C110">
        <v>8</v>
      </c>
      <c r="D110">
        <v>0</v>
      </c>
      <c r="E110">
        <v>8</v>
      </c>
      <c r="F110" s="2">
        <v>0</v>
      </c>
      <c r="G110" t="s">
        <v>177</v>
      </c>
      <c r="H110">
        <v>2023</v>
      </c>
      <c r="J110" s="4">
        <v>100002040</v>
      </c>
      <c r="K110">
        <v>1</v>
      </c>
    </row>
    <row r="111" spans="1:11" x14ac:dyDescent="0.35">
      <c r="A111">
        <v>100000388</v>
      </c>
      <c r="B111" t="s">
        <v>151</v>
      </c>
      <c r="C111">
        <v>50</v>
      </c>
      <c r="D111">
        <v>0</v>
      </c>
      <c r="E111">
        <v>50</v>
      </c>
      <c r="F111" s="2">
        <v>0</v>
      </c>
      <c r="G111" t="s">
        <v>184</v>
      </c>
      <c r="H111">
        <v>2023</v>
      </c>
      <c r="J111" s="4">
        <v>100002047</v>
      </c>
      <c r="K111">
        <v>2</v>
      </c>
    </row>
    <row r="112" spans="1:11" x14ac:dyDescent="0.35">
      <c r="A112">
        <v>100002164</v>
      </c>
      <c r="B112" t="s">
        <v>30</v>
      </c>
      <c r="C112">
        <v>200</v>
      </c>
      <c r="D112">
        <v>0</v>
      </c>
      <c r="E112">
        <v>200</v>
      </c>
      <c r="F112" s="2">
        <v>0</v>
      </c>
      <c r="G112" t="s">
        <v>184</v>
      </c>
      <c r="H112">
        <v>2023</v>
      </c>
      <c r="J112" s="4">
        <v>100002074</v>
      </c>
      <c r="K112">
        <v>3</v>
      </c>
    </row>
    <row r="113" spans="1:11" x14ac:dyDescent="0.35">
      <c r="A113">
        <v>100002361</v>
      </c>
      <c r="B113" t="s">
        <v>158</v>
      </c>
      <c r="C113">
        <v>20</v>
      </c>
      <c r="D113">
        <v>0</v>
      </c>
      <c r="E113">
        <v>20</v>
      </c>
      <c r="F113" s="2">
        <v>0</v>
      </c>
      <c r="G113" t="s">
        <v>184</v>
      </c>
      <c r="H113">
        <v>2023</v>
      </c>
      <c r="J113" s="4">
        <v>100002092</v>
      </c>
      <c r="K113">
        <v>3</v>
      </c>
    </row>
    <row r="114" spans="1:11" x14ac:dyDescent="0.35">
      <c r="A114">
        <v>100002337</v>
      </c>
      <c r="B114" t="s">
        <v>34</v>
      </c>
      <c r="C114">
        <v>60</v>
      </c>
      <c r="D114">
        <v>0</v>
      </c>
      <c r="E114">
        <v>60</v>
      </c>
      <c r="F114" s="2">
        <v>0</v>
      </c>
      <c r="G114" t="s">
        <v>184</v>
      </c>
      <c r="H114">
        <v>2023</v>
      </c>
      <c r="J114" s="4">
        <v>100002131</v>
      </c>
      <c r="K114">
        <v>1</v>
      </c>
    </row>
    <row r="115" spans="1:11" x14ac:dyDescent="0.35">
      <c r="A115">
        <v>100000776</v>
      </c>
      <c r="B115" t="s">
        <v>159</v>
      </c>
      <c r="C115">
        <v>100</v>
      </c>
      <c r="D115">
        <v>0</v>
      </c>
      <c r="E115">
        <v>100</v>
      </c>
      <c r="F115" s="2">
        <v>0</v>
      </c>
      <c r="G115" t="s">
        <v>184</v>
      </c>
      <c r="H115">
        <v>2023</v>
      </c>
      <c r="J115" s="4">
        <v>100002164</v>
      </c>
      <c r="K115">
        <v>2</v>
      </c>
    </row>
    <row r="116" spans="1:11" x14ac:dyDescent="0.35">
      <c r="A116">
        <v>100002047</v>
      </c>
      <c r="B116" t="s">
        <v>38</v>
      </c>
      <c r="C116">
        <v>810</v>
      </c>
      <c r="D116">
        <v>0</v>
      </c>
      <c r="E116">
        <v>810</v>
      </c>
      <c r="F116" s="2">
        <v>0</v>
      </c>
      <c r="G116" t="s">
        <v>184</v>
      </c>
      <c r="H116">
        <v>2023</v>
      </c>
      <c r="J116" s="4">
        <v>100002190</v>
      </c>
      <c r="K116">
        <v>1</v>
      </c>
    </row>
    <row r="117" spans="1:11" x14ac:dyDescent="0.35">
      <c r="A117">
        <v>100000829</v>
      </c>
      <c r="B117" t="s">
        <v>180</v>
      </c>
      <c r="C117">
        <v>30</v>
      </c>
      <c r="D117">
        <v>0</v>
      </c>
      <c r="E117">
        <v>30</v>
      </c>
      <c r="F117" s="2">
        <v>0</v>
      </c>
      <c r="G117" t="s">
        <v>184</v>
      </c>
      <c r="H117">
        <v>2023</v>
      </c>
      <c r="J117" s="4">
        <v>100002208</v>
      </c>
      <c r="K117">
        <v>3</v>
      </c>
    </row>
    <row r="118" spans="1:11" x14ac:dyDescent="0.35">
      <c r="A118">
        <v>100000894</v>
      </c>
      <c r="B118" t="s">
        <v>41</v>
      </c>
      <c r="C118">
        <v>960</v>
      </c>
      <c r="D118">
        <v>0</v>
      </c>
      <c r="E118">
        <v>960</v>
      </c>
      <c r="F118" s="2">
        <v>0</v>
      </c>
      <c r="G118" t="s">
        <v>184</v>
      </c>
      <c r="H118">
        <v>2023</v>
      </c>
      <c r="J118" s="4">
        <v>100002241</v>
      </c>
      <c r="K118">
        <v>2</v>
      </c>
    </row>
    <row r="119" spans="1:11" x14ac:dyDescent="0.35">
      <c r="A119">
        <v>100001826</v>
      </c>
      <c r="B119" t="s">
        <v>45</v>
      </c>
      <c r="C119">
        <v>5</v>
      </c>
      <c r="D119">
        <v>0</v>
      </c>
      <c r="E119">
        <v>5</v>
      </c>
      <c r="F119" s="2">
        <v>0</v>
      </c>
      <c r="G119" t="s">
        <v>184</v>
      </c>
      <c r="H119">
        <v>2023</v>
      </c>
      <c r="J119" s="4">
        <v>100002244</v>
      </c>
      <c r="K119">
        <v>2</v>
      </c>
    </row>
    <row r="120" spans="1:11" x14ac:dyDescent="0.35">
      <c r="A120">
        <v>100001047</v>
      </c>
      <c r="B120" t="s">
        <v>129</v>
      </c>
      <c r="C120">
        <v>100</v>
      </c>
      <c r="D120">
        <v>0</v>
      </c>
      <c r="E120">
        <v>100</v>
      </c>
      <c r="F120" s="2">
        <v>0</v>
      </c>
      <c r="G120" t="s">
        <v>184</v>
      </c>
      <c r="H120">
        <v>2023</v>
      </c>
      <c r="J120" s="4">
        <v>100002254</v>
      </c>
      <c r="K120">
        <v>5</v>
      </c>
    </row>
    <row r="121" spans="1:11" x14ac:dyDescent="0.35">
      <c r="A121">
        <v>100005302</v>
      </c>
      <c r="B121" t="s">
        <v>58</v>
      </c>
      <c r="C121">
        <v>50</v>
      </c>
      <c r="D121">
        <v>0</v>
      </c>
      <c r="E121">
        <v>50</v>
      </c>
      <c r="F121" s="2">
        <v>0</v>
      </c>
      <c r="G121" t="s">
        <v>184</v>
      </c>
      <c r="H121">
        <v>2023</v>
      </c>
      <c r="J121" s="4">
        <v>100002261</v>
      </c>
      <c r="K121">
        <v>1</v>
      </c>
    </row>
    <row r="122" spans="1:11" x14ac:dyDescent="0.35">
      <c r="A122">
        <v>100004670</v>
      </c>
      <c r="B122" t="s">
        <v>65</v>
      </c>
      <c r="C122">
        <v>25</v>
      </c>
      <c r="D122">
        <v>0</v>
      </c>
      <c r="E122">
        <v>25</v>
      </c>
      <c r="F122" s="2">
        <v>0</v>
      </c>
      <c r="G122" t="s">
        <v>184</v>
      </c>
      <c r="H122">
        <v>2023</v>
      </c>
      <c r="J122" s="4">
        <v>100002269</v>
      </c>
      <c r="K122">
        <v>2</v>
      </c>
    </row>
    <row r="123" spans="1:11" x14ac:dyDescent="0.35">
      <c r="A123">
        <v>100002919</v>
      </c>
      <c r="B123" t="s">
        <v>75</v>
      </c>
      <c r="C123">
        <v>2200</v>
      </c>
      <c r="D123">
        <v>0</v>
      </c>
      <c r="E123">
        <v>2200</v>
      </c>
      <c r="F123" s="2">
        <v>0</v>
      </c>
      <c r="G123" t="s">
        <v>184</v>
      </c>
      <c r="H123">
        <v>2023</v>
      </c>
      <c r="J123" s="4">
        <v>100002295</v>
      </c>
      <c r="K123">
        <v>3</v>
      </c>
    </row>
    <row r="124" spans="1:11" x14ac:dyDescent="0.35">
      <c r="A124">
        <v>100002919</v>
      </c>
      <c r="B124" t="s">
        <v>75</v>
      </c>
      <c r="C124">
        <v>2200</v>
      </c>
      <c r="D124">
        <v>0</v>
      </c>
      <c r="E124">
        <v>2200</v>
      </c>
      <c r="F124" s="2">
        <v>0</v>
      </c>
      <c r="G124" t="s">
        <v>184</v>
      </c>
      <c r="H124">
        <v>2023</v>
      </c>
      <c r="J124" s="4">
        <v>100002308</v>
      </c>
      <c r="K124">
        <v>5</v>
      </c>
    </row>
    <row r="125" spans="1:11" x14ac:dyDescent="0.35">
      <c r="A125">
        <v>100002561</v>
      </c>
      <c r="B125" t="s">
        <v>170</v>
      </c>
      <c r="C125">
        <v>200</v>
      </c>
      <c r="D125">
        <v>0</v>
      </c>
      <c r="E125">
        <v>200</v>
      </c>
      <c r="F125" s="2">
        <v>0</v>
      </c>
      <c r="G125" t="s">
        <v>184</v>
      </c>
      <c r="H125">
        <v>2023</v>
      </c>
      <c r="J125" s="4">
        <v>100002314</v>
      </c>
      <c r="K125">
        <v>4</v>
      </c>
    </row>
    <row r="126" spans="1:11" x14ac:dyDescent="0.35">
      <c r="A126">
        <v>100000170</v>
      </c>
      <c r="B126" t="s">
        <v>10</v>
      </c>
      <c r="C126">
        <v>200</v>
      </c>
      <c r="D126">
        <v>0</v>
      </c>
      <c r="E126">
        <v>200</v>
      </c>
      <c r="F126" s="2">
        <v>0</v>
      </c>
      <c r="G126" t="s">
        <v>202</v>
      </c>
      <c r="H126">
        <v>2023</v>
      </c>
      <c r="J126" s="4">
        <v>100002337</v>
      </c>
      <c r="K126">
        <v>1</v>
      </c>
    </row>
    <row r="127" spans="1:11" x14ac:dyDescent="0.35">
      <c r="A127">
        <v>100000388</v>
      </c>
      <c r="B127" t="s">
        <v>151</v>
      </c>
      <c r="C127">
        <v>50</v>
      </c>
      <c r="D127">
        <v>0</v>
      </c>
      <c r="E127">
        <v>50</v>
      </c>
      <c r="F127" s="2">
        <v>0</v>
      </c>
      <c r="G127" t="s">
        <v>202</v>
      </c>
      <c r="H127">
        <v>2023</v>
      </c>
      <c r="J127" s="4">
        <v>100002347</v>
      </c>
      <c r="K127">
        <v>1</v>
      </c>
    </row>
    <row r="128" spans="1:11" x14ac:dyDescent="0.35">
      <c r="A128">
        <v>100000529</v>
      </c>
      <c r="B128" t="s">
        <v>25</v>
      </c>
      <c r="C128">
        <v>50</v>
      </c>
      <c r="D128">
        <v>0</v>
      </c>
      <c r="E128">
        <v>50</v>
      </c>
      <c r="F128" s="2">
        <v>0</v>
      </c>
      <c r="G128" t="s">
        <v>202</v>
      </c>
      <c r="H128">
        <v>2023</v>
      </c>
      <c r="J128" s="4">
        <v>100002361</v>
      </c>
      <c r="K128">
        <v>4</v>
      </c>
    </row>
    <row r="129" spans="1:11" x14ac:dyDescent="0.35">
      <c r="A129">
        <v>100000894</v>
      </c>
      <c r="B129" t="s">
        <v>41</v>
      </c>
      <c r="C129">
        <v>960</v>
      </c>
      <c r="D129">
        <v>0</v>
      </c>
      <c r="E129">
        <v>960</v>
      </c>
      <c r="F129" s="2">
        <v>0</v>
      </c>
      <c r="G129" t="s">
        <v>202</v>
      </c>
      <c r="H129">
        <v>2023</v>
      </c>
      <c r="J129" s="4">
        <v>100002561</v>
      </c>
      <c r="K129">
        <v>8</v>
      </c>
    </row>
    <row r="130" spans="1:11" x14ac:dyDescent="0.35">
      <c r="A130">
        <v>100000938</v>
      </c>
      <c r="B130" t="s">
        <v>128</v>
      </c>
      <c r="C130">
        <v>12000</v>
      </c>
      <c r="D130">
        <v>0</v>
      </c>
      <c r="E130">
        <v>12000</v>
      </c>
      <c r="F130" s="2">
        <v>0</v>
      </c>
      <c r="G130" t="s">
        <v>202</v>
      </c>
      <c r="H130">
        <v>2023</v>
      </c>
      <c r="J130" s="4">
        <v>100002567</v>
      </c>
      <c r="K130">
        <v>1</v>
      </c>
    </row>
    <row r="131" spans="1:11" x14ac:dyDescent="0.35">
      <c r="A131">
        <v>100001052</v>
      </c>
      <c r="B131" t="s">
        <v>56</v>
      </c>
      <c r="C131">
        <v>800</v>
      </c>
      <c r="D131">
        <v>0</v>
      </c>
      <c r="E131">
        <v>800</v>
      </c>
      <c r="F131" s="2">
        <v>0</v>
      </c>
      <c r="G131" t="s">
        <v>202</v>
      </c>
      <c r="H131">
        <v>2023</v>
      </c>
      <c r="J131" s="4">
        <v>100002581</v>
      </c>
      <c r="K131">
        <v>2</v>
      </c>
    </row>
    <row r="132" spans="1:11" x14ac:dyDescent="0.35">
      <c r="A132">
        <v>100002921</v>
      </c>
      <c r="B132" t="s">
        <v>136</v>
      </c>
      <c r="C132">
        <v>1200</v>
      </c>
      <c r="D132">
        <v>0</v>
      </c>
      <c r="E132">
        <v>1200</v>
      </c>
      <c r="F132" s="2">
        <v>0</v>
      </c>
      <c r="G132" t="s">
        <v>202</v>
      </c>
      <c r="H132">
        <v>2023</v>
      </c>
      <c r="J132" s="4">
        <v>100002903</v>
      </c>
      <c r="K132">
        <v>6</v>
      </c>
    </row>
    <row r="133" spans="1:11" x14ac:dyDescent="0.35">
      <c r="A133">
        <v>100002919</v>
      </c>
      <c r="B133" t="s">
        <v>75</v>
      </c>
      <c r="C133">
        <v>2200</v>
      </c>
      <c r="D133">
        <v>0</v>
      </c>
      <c r="E133">
        <v>2200</v>
      </c>
      <c r="F133" s="2">
        <v>0</v>
      </c>
      <c r="G133" t="s">
        <v>202</v>
      </c>
      <c r="H133">
        <v>2023</v>
      </c>
      <c r="J133" s="4">
        <v>100002906</v>
      </c>
      <c r="K133">
        <v>1</v>
      </c>
    </row>
    <row r="134" spans="1:11" x14ac:dyDescent="0.35">
      <c r="A134">
        <v>100002919</v>
      </c>
      <c r="B134" t="s">
        <v>75</v>
      </c>
      <c r="C134">
        <v>2200</v>
      </c>
      <c r="D134">
        <v>0</v>
      </c>
      <c r="E134">
        <v>2200</v>
      </c>
      <c r="F134" s="2">
        <v>0</v>
      </c>
      <c r="G134" t="s">
        <v>202</v>
      </c>
      <c r="H134">
        <v>2023</v>
      </c>
      <c r="J134" s="4">
        <v>100002919</v>
      </c>
      <c r="K134">
        <v>6</v>
      </c>
    </row>
    <row r="135" spans="1:11" x14ac:dyDescent="0.35">
      <c r="A135">
        <v>100001310</v>
      </c>
      <c r="B135" t="s">
        <v>76</v>
      </c>
      <c r="C135">
        <v>10200</v>
      </c>
      <c r="D135">
        <v>0</v>
      </c>
      <c r="E135">
        <v>10200</v>
      </c>
      <c r="F135" s="2">
        <v>0</v>
      </c>
      <c r="G135" t="s">
        <v>202</v>
      </c>
      <c r="H135">
        <v>2023</v>
      </c>
      <c r="J135" s="4">
        <v>100002921</v>
      </c>
      <c r="K135">
        <v>4</v>
      </c>
    </row>
    <row r="136" spans="1:11" x14ac:dyDescent="0.35">
      <c r="A136">
        <v>100002561</v>
      </c>
      <c r="B136" t="s">
        <v>170</v>
      </c>
      <c r="C136">
        <v>200</v>
      </c>
      <c r="D136">
        <v>0</v>
      </c>
      <c r="E136">
        <v>200</v>
      </c>
      <c r="F136" s="2">
        <v>0</v>
      </c>
      <c r="G136" t="s">
        <v>202</v>
      </c>
      <c r="H136">
        <v>2023</v>
      </c>
      <c r="J136" s="4">
        <v>100003221</v>
      </c>
      <c r="K136">
        <v>1</v>
      </c>
    </row>
    <row r="137" spans="1:11" x14ac:dyDescent="0.35">
      <c r="A137">
        <v>100002567</v>
      </c>
      <c r="B137" t="s">
        <v>149</v>
      </c>
      <c r="C137">
        <v>1500</v>
      </c>
      <c r="D137">
        <v>0</v>
      </c>
      <c r="E137">
        <v>1500</v>
      </c>
      <c r="F137" s="2">
        <v>0</v>
      </c>
      <c r="G137" t="s">
        <v>202</v>
      </c>
      <c r="H137">
        <v>2023</v>
      </c>
      <c r="J137" s="4">
        <v>100003231</v>
      </c>
      <c r="K137">
        <v>1</v>
      </c>
    </row>
    <row r="138" spans="1:11" x14ac:dyDescent="0.35">
      <c r="A138">
        <v>100000036</v>
      </c>
      <c r="B138" t="s">
        <v>3</v>
      </c>
      <c r="C138">
        <v>70</v>
      </c>
      <c r="D138">
        <v>0</v>
      </c>
      <c r="E138">
        <v>70</v>
      </c>
      <c r="F138" s="2">
        <v>0</v>
      </c>
      <c r="G138" t="s">
        <v>237</v>
      </c>
      <c r="H138">
        <v>2023</v>
      </c>
      <c r="J138" s="4">
        <v>100003406</v>
      </c>
      <c r="K138">
        <v>1</v>
      </c>
    </row>
    <row r="139" spans="1:11" x14ac:dyDescent="0.35">
      <c r="A139">
        <v>100000194</v>
      </c>
      <c r="B139" t="s">
        <v>105</v>
      </c>
      <c r="C139">
        <v>200</v>
      </c>
      <c r="D139">
        <v>0</v>
      </c>
      <c r="E139">
        <v>200</v>
      </c>
      <c r="F139" s="2">
        <v>0</v>
      </c>
      <c r="G139" t="s">
        <v>237</v>
      </c>
      <c r="H139">
        <v>2023</v>
      </c>
      <c r="J139" s="4">
        <v>100003413</v>
      </c>
      <c r="K139">
        <v>4</v>
      </c>
    </row>
    <row r="140" spans="1:11" x14ac:dyDescent="0.35">
      <c r="A140">
        <v>100000388</v>
      </c>
      <c r="B140" t="s">
        <v>151</v>
      </c>
      <c r="C140">
        <v>50</v>
      </c>
      <c r="D140">
        <v>0</v>
      </c>
      <c r="E140">
        <v>50</v>
      </c>
      <c r="F140" s="2">
        <v>0</v>
      </c>
      <c r="G140" t="s">
        <v>237</v>
      </c>
      <c r="H140">
        <v>2023</v>
      </c>
      <c r="J140" s="4">
        <v>100003422</v>
      </c>
      <c r="K140">
        <v>3</v>
      </c>
    </row>
    <row r="141" spans="1:11" x14ac:dyDescent="0.35">
      <c r="A141">
        <v>100000621</v>
      </c>
      <c r="B141" t="s">
        <v>119</v>
      </c>
      <c r="C141">
        <v>120</v>
      </c>
      <c r="D141">
        <v>0</v>
      </c>
      <c r="E141">
        <v>120</v>
      </c>
      <c r="F141" s="2">
        <v>0</v>
      </c>
      <c r="G141" t="s">
        <v>237</v>
      </c>
      <c r="H141">
        <v>2023</v>
      </c>
      <c r="J141" s="4">
        <v>100003423</v>
      </c>
      <c r="K141">
        <v>4</v>
      </c>
    </row>
    <row r="142" spans="1:11" x14ac:dyDescent="0.35">
      <c r="A142">
        <v>100000771</v>
      </c>
      <c r="B142" t="s">
        <v>125</v>
      </c>
      <c r="C142">
        <v>10</v>
      </c>
      <c r="D142">
        <v>0</v>
      </c>
      <c r="E142">
        <v>10</v>
      </c>
      <c r="F142" s="2">
        <v>0</v>
      </c>
      <c r="G142" t="s">
        <v>237</v>
      </c>
      <c r="H142">
        <v>2023</v>
      </c>
      <c r="J142" s="4">
        <v>100003431</v>
      </c>
      <c r="K142">
        <v>3</v>
      </c>
    </row>
    <row r="143" spans="1:11" x14ac:dyDescent="0.35">
      <c r="A143">
        <v>100002244</v>
      </c>
      <c r="B143" t="s">
        <v>47</v>
      </c>
      <c r="C143">
        <v>500</v>
      </c>
      <c r="D143">
        <v>0</v>
      </c>
      <c r="E143">
        <v>500</v>
      </c>
      <c r="F143" s="2">
        <v>0</v>
      </c>
      <c r="G143" t="s">
        <v>237</v>
      </c>
      <c r="H143">
        <v>2023</v>
      </c>
      <c r="J143" s="4">
        <v>100003439</v>
      </c>
      <c r="K143">
        <v>2</v>
      </c>
    </row>
    <row r="144" spans="1:11" x14ac:dyDescent="0.35">
      <c r="A144">
        <v>100000938</v>
      </c>
      <c r="B144" t="s">
        <v>128</v>
      </c>
      <c r="C144">
        <v>12000</v>
      </c>
      <c r="D144">
        <v>0</v>
      </c>
      <c r="E144">
        <v>12000</v>
      </c>
      <c r="F144" s="2">
        <v>0</v>
      </c>
      <c r="G144" t="s">
        <v>237</v>
      </c>
      <c r="H144">
        <v>2023</v>
      </c>
      <c r="J144" s="4">
        <v>100003448</v>
      </c>
      <c r="K144">
        <v>1</v>
      </c>
    </row>
    <row r="145" spans="1:11" x14ac:dyDescent="0.35">
      <c r="A145">
        <v>100002921</v>
      </c>
      <c r="B145" t="s">
        <v>136</v>
      </c>
      <c r="C145">
        <v>1200</v>
      </c>
      <c r="D145">
        <v>0</v>
      </c>
      <c r="E145">
        <v>1200</v>
      </c>
      <c r="F145" s="2">
        <v>0</v>
      </c>
      <c r="G145" t="s">
        <v>237</v>
      </c>
      <c r="H145">
        <v>2023</v>
      </c>
      <c r="J145" s="4">
        <v>100003840</v>
      </c>
      <c r="K145">
        <v>1</v>
      </c>
    </row>
    <row r="146" spans="1:11" x14ac:dyDescent="0.35">
      <c r="A146">
        <v>100005313</v>
      </c>
      <c r="B146" t="s">
        <v>80</v>
      </c>
      <c r="C146">
        <v>10</v>
      </c>
      <c r="D146">
        <v>0</v>
      </c>
      <c r="E146">
        <v>10</v>
      </c>
      <c r="F146" s="2">
        <v>0</v>
      </c>
      <c r="G146" t="s">
        <v>237</v>
      </c>
      <c r="H146">
        <v>2023</v>
      </c>
      <c r="J146" s="4">
        <v>100003903</v>
      </c>
      <c r="K146">
        <v>2</v>
      </c>
    </row>
    <row r="147" spans="1:11" x14ac:dyDescent="0.35">
      <c r="A147">
        <v>100000046</v>
      </c>
      <c r="B147" t="s">
        <v>6</v>
      </c>
      <c r="C147">
        <v>600</v>
      </c>
      <c r="D147">
        <v>0</v>
      </c>
      <c r="E147">
        <v>600</v>
      </c>
      <c r="F147" s="2">
        <v>0</v>
      </c>
      <c r="G147" t="s">
        <v>201</v>
      </c>
      <c r="H147">
        <v>2024</v>
      </c>
      <c r="J147" s="4">
        <v>100003904</v>
      </c>
      <c r="K147">
        <v>1</v>
      </c>
    </row>
    <row r="148" spans="1:11" x14ac:dyDescent="0.35">
      <c r="A148">
        <v>100002074</v>
      </c>
      <c r="B148" t="s">
        <v>9</v>
      </c>
      <c r="C148">
        <v>240</v>
      </c>
      <c r="D148">
        <v>0</v>
      </c>
      <c r="E148">
        <v>240</v>
      </c>
      <c r="F148" s="2">
        <v>0</v>
      </c>
      <c r="G148" t="s">
        <v>201</v>
      </c>
      <c r="H148">
        <v>2024</v>
      </c>
      <c r="J148" s="4">
        <v>100003905</v>
      </c>
      <c r="K148">
        <v>5</v>
      </c>
    </row>
    <row r="149" spans="1:11" x14ac:dyDescent="0.35">
      <c r="A149">
        <v>100004356</v>
      </c>
      <c r="B149" t="s">
        <v>156</v>
      </c>
      <c r="C149">
        <v>2</v>
      </c>
      <c r="D149">
        <v>0</v>
      </c>
      <c r="E149">
        <v>2</v>
      </c>
      <c r="F149" s="2">
        <v>0</v>
      </c>
      <c r="G149" t="s">
        <v>201</v>
      </c>
      <c r="H149">
        <v>2024</v>
      </c>
      <c r="J149" s="4">
        <v>100003907</v>
      </c>
      <c r="K149">
        <v>1</v>
      </c>
    </row>
    <row r="150" spans="1:11" x14ac:dyDescent="0.35">
      <c r="A150">
        <v>100004355</v>
      </c>
      <c r="B150" t="s">
        <v>23</v>
      </c>
      <c r="C150">
        <v>25</v>
      </c>
      <c r="D150">
        <v>0</v>
      </c>
      <c r="E150">
        <v>25</v>
      </c>
      <c r="F150" s="2">
        <v>0</v>
      </c>
      <c r="G150" t="s">
        <v>201</v>
      </c>
      <c r="H150">
        <v>2024</v>
      </c>
      <c r="J150" s="4">
        <v>100003979</v>
      </c>
      <c r="K150">
        <v>1</v>
      </c>
    </row>
    <row r="151" spans="1:11" x14ac:dyDescent="0.35">
      <c r="A151">
        <v>100000535</v>
      </c>
      <c r="B151" t="s">
        <v>182</v>
      </c>
      <c r="C151">
        <v>200</v>
      </c>
      <c r="D151">
        <v>0</v>
      </c>
      <c r="E151">
        <v>200</v>
      </c>
      <c r="F151" s="2">
        <v>0</v>
      </c>
      <c r="G151" t="s">
        <v>201</v>
      </c>
      <c r="H151">
        <v>2024</v>
      </c>
      <c r="J151" s="4">
        <v>100004000</v>
      </c>
      <c r="K151">
        <v>1</v>
      </c>
    </row>
    <row r="152" spans="1:11" x14ac:dyDescent="0.35">
      <c r="A152">
        <v>100000730</v>
      </c>
      <c r="B152" t="s">
        <v>196</v>
      </c>
      <c r="C152">
        <v>100</v>
      </c>
      <c r="D152">
        <v>0</v>
      </c>
      <c r="E152">
        <v>100</v>
      </c>
      <c r="F152" s="2">
        <v>0</v>
      </c>
      <c r="G152" t="s">
        <v>201</v>
      </c>
      <c r="H152">
        <v>2024</v>
      </c>
      <c r="J152" s="4">
        <v>100004001</v>
      </c>
      <c r="K152">
        <v>2</v>
      </c>
    </row>
    <row r="153" spans="1:11" x14ac:dyDescent="0.35">
      <c r="A153">
        <v>100000771</v>
      </c>
      <c r="B153" t="s">
        <v>125</v>
      </c>
      <c r="C153">
        <v>7</v>
      </c>
      <c r="D153">
        <v>0</v>
      </c>
      <c r="E153">
        <v>7</v>
      </c>
      <c r="F153" s="2">
        <v>0</v>
      </c>
      <c r="G153" t="s">
        <v>201</v>
      </c>
      <c r="H153">
        <v>2024</v>
      </c>
      <c r="J153" s="4">
        <v>100004006</v>
      </c>
      <c r="K153">
        <v>1</v>
      </c>
    </row>
    <row r="154" spans="1:11" x14ac:dyDescent="0.35">
      <c r="A154">
        <v>100003431</v>
      </c>
      <c r="B154" t="s">
        <v>42</v>
      </c>
      <c r="C154">
        <v>780</v>
      </c>
      <c r="D154">
        <v>0</v>
      </c>
      <c r="E154">
        <v>780</v>
      </c>
      <c r="F154" s="2">
        <v>0</v>
      </c>
      <c r="G154" t="s">
        <v>201</v>
      </c>
      <c r="H154">
        <v>2024</v>
      </c>
      <c r="J154" s="4">
        <v>100004066</v>
      </c>
      <c r="K154">
        <v>2</v>
      </c>
    </row>
    <row r="155" spans="1:11" x14ac:dyDescent="0.35">
      <c r="A155">
        <v>100000918</v>
      </c>
      <c r="B155" t="s">
        <v>46</v>
      </c>
      <c r="C155">
        <v>1000</v>
      </c>
      <c r="D155">
        <v>0</v>
      </c>
      <c r="E155">
        <v>1000</v>
      </c>
      <c r="F155" s="2">
        <v>0</v>
      </c>
      <c r="G155" t="s">
        <v>201</v>
      </c>
      <c r="H155">
        <v>2024</v>
      </c>
      <c r="J155" s="4">
        <v>100004116</v>
      </c>
      <c r="K155">
        <v>1</v>
      </c>
    </row>
    <row r="156" spans="1:11" x14ac:dyDescent="0.35">
      <c r="A156">
        <v>100001105</v>
      </c>
      <c r="B156" t="s">
        <v>167</v>
      </c>
      <c r="C156">
        <v>1500</v>
      </c>
      <c r="D156">
        <v>0</v>
      </c>
      <c r="E156">
        <v>1500</v>
      </c>
      <c r="F156" s="2">
        <v>0</v>
      </c>
      <c r="G156" t="s">
        <v>201</v>
      </c>
      <c r="H156">
        <v>2024</v>
      </c>
      <c r="J156" s="4">
        <v>100004354</v>
      </c>
      <c r="K156">
        <v>1</v>
      </c>
    </row>
    <row r="157" spans="1:11" x14ac:dyDescent="0.35">
      <c r="A157">
        <v>100005482</v>
      </c>
      <c r="B157" t="s">
        <v>135</v>
      </c>
      <c r="C157">
        <v>170</v>
      </c>
      <c r="D157">
        <v>0</v>
      </c>
      <c r="E157">
        <v>170</v>
      </c>
      <c r="F157" s="2">
        <v>0</v>
      </c>
      <c r="G157" t="s">
        <v>201</v>
      </c>
      <c r="H157">
        <v>2024</v>
      </c>
      <c r="J157" s="4">
        <v>100004355</v>
      </c>
      <c r="K157">
        <v>1</v>
      </c>
    </row>
    <row r="158" spans="1:11" x14ac:dyDescent="0.35">
      <c r="A158">
        <v>100001310</v>
      </c>
      <c r="B158" t="s">
        <v>76</v>
      </c>
      <c r="C158">
        <v>10600</v>
      </c>
      <c r="D158">
        <v>0</v>
      </c>
      <c r="E158">
        <v>10600</v>
      </c>
      <c r="F158" s="2">
        <v>0</v>
      </c>
      <c r="G158" t="s">
        <v>201</v>
      </c>
      <c r="H158">
        <v>2024</v>
      </c>
      <c r="J158" s="4">
        <v>100004356</v>
      </c>
      <c r="K158">
        <v>1</v>
      </c>
    </row>
    <row r="159" spans="1:11" x14ac:dyDescent="0.35">
      <c r="A159">
        <v>100002561</v>
      </c>
      <c r="B159" t="s">
        <v>170</v>
      </c>
      <c r="C159">
        <v>200</v>
      </c>
      <c r="D159">
        <v>0</v>
      </c>
      <c r="E159">
        <v>200</v>
      </c>
      <c r="F159" s="2">
        <v>0</v>
      </c>
      <c r="G159" t="s">
        <v>201</v>
      </c>
      <c r="H159">
        <v>2024</v>
      </c>
      <c r="J159" s="4">
        <v>100004493</v>
      </c>
      <c r="K159">
        <v>2</v>
      </c>
    </row>
    <row r="160" spans="1:11" x14ac:dyDescent="0.35">
      <c r="A160">
        <v>100001367</v>
      </c>
      <c r="B160" t="s">
        <v>185</v>
      </c>
      <c r="C160">
        <v>10</v>
      </c>
      <c r="D160">
        <v>0</v>
      </c>
      <c r="E160">
        <v>10</v>
      </c>
      <c r="F160" s="2">
        <v>0</v>
      </c>
      <c r="G160" t="s">
        <v>201</v>
      </c>
      <c r="H160">
        <v>2024</v>
      </c>
      <c r="J160" s="4">
        <v>100004632</v>
      </c>
      <c r="K160">
        <v>1</v>
      </c>
    </row>
    <row r="161" spans="1:11" x14ac:dyDescent="0.35">
      <c r="A161">
        <v>100006806</v>
      </c>
      <c r="B161" t="s">
        <v>112</v>
      </c>
      <c r="C161">
        <v>10</v>
      </c>
      <c r="D161">
        <v>0</v>
      </c>
      <c r="E161">
        <v>10</v>
      </c>
      <c r="F161" s="2">
        <v>0</v>
      </c>
      <c r="G161" t="s">
        <v>197</v>
      </c>
      <c r="H161">
        <v>2024</v>
      </c>
      <c r="J161" s="4">
        <v>100004642</v>
      </c>
      <c r="K161">
        <v>4</v>
      </c>
    </row>
    <row r="162" spans="1:11" x14ac:dyDescent="0.35">
      <c r="A162">
        <v>100002903</v>
      </c>
      <c r="B162" t="s">
        <v>192</v>
      </c>
      <c r="C162">
        <v>25</v>
      </c>
      <c r="D162">
        <v>0</v>
      </c>
      <c r="E162">
        <v>25</v>
      </c>
      <c r="F162" s="2">
        <v>0</v>
      </c>
      <c r="G162" t="s">
        <v>197</v>
      </c>
      <c r="H162">
        <v>2024</v>
      </c>
      <c r="J162" s="4">
        <v>100004645</v>
      </c>
      <c r="K162">
        <v>1</v>
      </c>
    </row>
    <row r="163" spans="1:11" x14ac:dyDescent="0.35">
      <c r="A163">
        <v>100000772</v>
      </c>
      <c r="B163" t="s">
        <v>36</v>
      </c>
      <c r="C163">
        <v>100</v>
      </c>
      <c r="D163">
        <v>0</v>
      </c>
      <c r="E163">
        <v>100</v>
      </c>
      <c r="F163" s="2">
        <v>0</v>
      </c>
      <c r="G163" t="s">
        <v>197</v>
      </c>
      <c r="H163">
        <v>2024</v>
      </c>
      <c r="J163" s="4">
        <v>100004670</v>
      </c>
      <c r="K163">
        <v>1</v>
      </c>
    </row>
    <row r="164" spans="1:11" x14ac:dyDescent="0.35">
      <c r="A164">
        <v>100000918</v>
      </c>
      <c r="B164" t="s">
        <v>46</v>
      </c>
      <c r="C164">
        <v>1000</v>
      </c>
      <c r="D164">
        <v>0</v>
      </c>
      <c r="E164">
        <v>1000</v>
      </c>
      <c r="F164" s="2">
        <v>0</v>
      </c>
      <c r="G164" t="s">
        <v>197</v>
      </c>
      <c r="H164">
        <v>2024</v>
      </c>
      <c r="J164" s="4">
        <v>100004675</v>
      </c>
      <c r="K164">
        <v>2</v>
      </c>
    </row>
    <row r="165" spans="1:11" x14ac:dyDescent="0.35">
      <c r="A165">
        <v>100001018</v>
      </c>
      <c r="B165" t="s">
        <v>51</v>
      </c>
      <c r="C165">
        <v>700</v>
      </c>
      <c r="D165">
        <v>0</v>
      </c>
      <c r="E165">
        <v>700</v>
      </c>
      <c r="F165" s="2">
        <v>0</v>
      </c>
      <c r="G165" t="s">
        <v>197</v>
      </c>
      <c r="H165">
        <v>2024</v>
      </c>
      <c r="J165" s="4">
        <v>100004677</v>
      </c>
      <c r="K165">
        <v>1</v>
      </c>
    </row>
    <row r="166" spans="1:11" x14ac:dyDescent="0.35">
      <c r="A166">
        <v>100001143</v>
      </c>
      <c r="B166" t="s">
        <v>137</v>
      </c>
      <c r="C166">
        <v>80000</v>
      </c>
      <c r="D166">
        <v>0</v>
      </c>
      <c r="E166">
        <v>80000</v>
      </c>
      <c r="F166" s="2">
        <v>0</v>
      </c>
      <c r="G166" t="s">
        <v>197</v>
      </c>
      <c r="H166">
        <v>2024</v>
      </c>
      <c r="J166" s="4">
        <v>100004702</v>
      </c>
      <c r="K166">
        <v>1</v>
      </c>
    </row>
    <row r="167" spans="1:11" x14ac:dyDescent="0.35">
      <c r="A167">
        <v>100001199</v>
      </c>
      <c r="B167" t="s">
        <v>164</v>
      </c>
      <c r="C167">
        <v>2000</v>
      </c>
      <c r="D167">
        <v>0</v>
      </c>
      <c r="E167">
        <v>2000</v>
      </c>
      <c r="F167" s="2">
        <v>0</v>
      </c>
      <c r="G167" t="s">
        <v>197</v>
      </c>
      <c r="H167">
        <v>2024</v>
      </c>
      <c r="J167" s="4">
        <v>100004906</v>
      </c>
      <c r="K167">
        <v>1</v>
      </c>
    </row>
    <row r="168" spans="1:11" x14ac:dyDescent="0.35">
      <c r="A168">
        <v>100001310</v>
      </c>
      <c r="B168" t="s">
        <v>76</v>
      </c>
      <c r="C168">
        <v>10600</v>
      </c>
      <c r="D168">
        <v>0</v>
      </c>
      <c r="E168">
        <v>10600</v>
      </c>
      <c r="F168" s="2">
        <v>0</v>
      </c>
      <c r="G168" t="s">
        <v>197</v>
      </c>
      <c r="H168">
        <v>2024</v>
      </c>
      <c r="J168" s="4">
        <v>100004982</v>
      </c>
      <c r="K168">
        <v>1</v>
      </c>
    </row>
    <row r="169" spans="1:11" x14ac:dyDescent="0.35">
      <c r="A169">
        <v>100002561</v>
      </c>
      <c r="B169" t="s">
        <v>170</v>
      </c>
      <c r="C169">
        <v>200</v>
      </c>
      <c r="D169">
        <v>0</v>
      </c>
      <c r="E169">
        <v>200</v>
      </c>
      <c r="F169" s="2">
        <v>0</v>
      </c>
      <c r="G169" t="s">
        <v>197</v>
      </c>
      <c r="H169">
        <v>2024</v>
      </c>
      <c r="J169" s="4">
        <v>100005268</v>
      </c>
      <c r="K169">
        <v>2</v>
      </c>
    </row>
    <row r="170" spans="1:11" x14ac:dyDescent="0.35">
      <c r="A170">
        <v>100004702</v>
      </c>
      <c r="B170" t="s">
        <v>78</v>
      </c>
      <c r="C170">
        <v>650</v>
      </c>
      <c r="D170">
        <v>0</v>
      </c>
      <c r="E170">
        <v>650</v>
      </c>
      <c r="F170" s="2">
        <v>0</v>
      </c>
      <c r="G170" t="s">
        <v>197</v>
      </c>
      <c r="H170">
        <v>2024</v>
      </c>
      <c r="J170" s="4">
        <v>100005282</v>
      </c>
      <c r="K170">
        <v>3</v>
      </c>
    </row>
    <row r="171" spans="1:11" x14ac:dyDescent="0.35">
      <c r="A171">
        <v>100005313</v>
      </c>
      <c r="B171" t="s">
        <v>80</v>
      </c>
      <c r="C171">
        <v>15</v>
      </c>
      <c r="D171">
        <v>0</v>
      </c>
      <c r="E171">
        <v>15</v>
      </c>
      <c r="F171" s="2">
        <v>0</v>
      </c>
      <c r="G171" t="s">
        <v>197</v>
      </c>
      <c r="H171">
        <v>2024</v>
      </c>
      <c r="J171" s="4">
        <v>100005299</v>
      </c>
      <c r="K171">
        <v>3</v>
      </c>
    </row>
    <row r="172" spans="1:11" x14ac:dyDescent="0.35">
      <c r="A172">
        <v>100002000</v>
      </c>
      <c r="B172" t="s">
        <v>2</v>
      </c>
      <c r="C172">
        <v>220</v>
      </c>
      <c r="D172">
        <v>0</v>
      </c>
      <c r="E172">
        <v>220</v>
      </c>
      <c r="F172" s="2">
        <v>0</v>
      </c>
      <c r="G172" t="s">
        <v>198</v>
      </c>
      <c r="H172">
        <v>2024</v>
      </c>
      <c r="J172" s="4">
        <v>100005302</v>
      </c>
      <c r="K172">
        <v>2</v>
      </c>
    </row>
    <row r="173" spans="1:11" x14ac:dyDescent="0.35">
      <c r="A173">
        <v>100002074</v>
      </c>
      <c r="B173" t="s">
        <v>9</v>
      </c>
      <c r="C173">
        <v>240</v>
      </c>
      <c r="D173">
        <v>0</v>
      </c>
      <c r="E173">
        <v>240</v>
      </c>
      <c r="F173" s="2">
        <v>0</v>
      </c>
      <c r="G173" t="s">
        <v>198</v>
      </c>
      <c r="H173">
        <v>2024</v>
      </c>
      <c r="J173" s="4">
        <v>100005313</v>
      </c>
      <c r="K173">
        <v>3</v>
      </c>
    </row>
    <row r="174" spans="1:11" x14ac:dyDescent="0.35">
      <c r="A174">
        <v>100002004</v>
      </c>
      <c r="B174" t="s">
        <v>18</v>
      </c>
      <c r="C174">
        <v>210</v>
      </c>
      <c r="D174">
        <v>0</v>
      </c>
      <c r="E174">
        <v>210</v>
      </c>
      <c r="F174" s="2">
        <v>0</v>
      </c>
      <c r="G174" t="s">
        <v>198</v>
      </c>
      <c r="H174">
        <v>2024</v>
      </c>
      <c r="J174" s="4">
        <v>100005314</v>
      </c>
      <c r="K174">
        <v>2</v>
      </c>
    </row>
    <row r="175" spans="1:11" x14ac:dyDescent="0.35">
      <c r="A175">
        <v>100000551</v>
      </c>
      <c r="B175" t="s">
        <v>26</v>
      </c>
      <c r="C175">
        <v>1300</v>
      </c>
      <c r="D175">
        <v>0</v>
      </c>
      <c r="E175">
        <v>1300</v>
      </c>
      <c r="F175" s="2">
        <v>0</v>
      </c>
      <c r="G175" t="s">
        <v>198</v>
      </c>
      <c r="H175">
        <v>2024</v>
      </c>
      <c r="J175" s="4">
        <v>100005325</v>
      </c>
      <c r="K175">
        <v>2</v>
      </c>
    </row>
    <row r="176" spans="1:11" x14ac:dyDescent="0.35">
      <c r="A176">
        <v>100001916</v>
      </c>
      <c r="B176" t="s">
        <v>27</v>
      </c>
      <c r="C176">
        <v>200</v>
      </c>
      <c r="D176">
        <v>0</v>
      </c>
      <c r="E176">
        <v>200</v>
      </c>
      <c r="F176" s="2">
        <v>0</v>
      </c>
      <c r="G176" t="s">
        <v>198</v>
      </c>
      <c r="H176">
        <v>2024</v>
      </c>
      <c r="J176" s="4">
        <v>100005482</v>
      </c>
      <c r="K176">
        <v>3</v>
      </c>
    </row>
    <row r="177" spans="1:11" x14ac:dyDescent="0.35">
      <c r="A177">
        <v>100000688</v>
      </c>
      <c r="B177" t="s">
        <v>120</v>
      </c>
      <c r="C177">
        <v>3000</v>
      </c>
      <c r="D177">
        <v>0</v>
      </c>
      <c r="E177">
        <v>3000</v>
      </c>
      <c r="F177" s="2">
        <v>0</v>
      </c>
      <c r="G177" t="s">
        <v>198</v>
      </c>
      <c r="H177">
        <v>2024</v>
      </c>
      <c r="J177" s="4">
        <v>100005505</v>
      </c>
      <c r="K177">
        <v>5</v>
      </c>
    </row>
    <row r="178" spans="1:11" x14ac:dyDescent="0.35">
      <c r="A178">
        <v>100000697</v>
      </c>
      <c r="B178" t="s">
        <v>122</v>
      </c>
      <c r="C178">
        <v>360</v>
      </c>
      <c r="D178">
        <v>0</v>
      </c>
      <c r="E178">
        <v>360</v>
      </c>
      <c r="F178" s="2">
        <v>0</v>
      </c>
      <c r="G178" t="s">
        <v>198</v>
      </c>
      <c r="H178">
        <v>2024</v>
      </c>
      <c r="J178" s="4">
        <v>100005535</v>
      </c>
      <c r="K178">
        <v>1</v>
      </c>
    </row>
    <row r="179" spans="1:11" x14ac:dyDescent="0.35">
      <c r="A179">
        <v>100000772</v>
      </c>
      <c r="B179" t="s">
        <v>36</v>
      </c>
      <c r="C179">
        <v>100</v>
      </c>
      <c r="D179">
        <v>0</v>
      </c>
      <c r="E179">
        <v>100</v>
      </c>
      <c r="F179" s="2">
        <v>0</v>
      </c>
      <c r="G179" t="s">
        <v>198</v>
      </c>
      <c r="H179">
        <v>2024</v>
      </c>
      <c r="J179" s="4">
        <v>100006171</v>
      </c>
      <c r="K179">
        <v>1</v>
      </c>
    </row>
    <row r="180" spans="1:11" x14ac:dyDescent="0.35">
      <c r="A180">
        <v>100002241</v>
      </c>
      <c r="B180" t="s">
        <v>39</v>
      </c>
      <c r="C180">
        <v>60</v>
      </c>
      <c r="D180">
        <v>0</v>
      </c>
      <c r="E180">
        <v>60</v>
      </c>
      <c r="F180" s="2">
        <v>0</v>
      </c>
      <c r="G180" t="s">
        <v>198</v>
      </c>
      <c r="H180">
        <v>2024</v>
      </c>
      <c r="J180" s="4">
        <v>100006440</v>
      </c>
      <c r="K180">
        <v>1</v>
      </c>
    </row>
    <row r="181" spans="1:11" x14ac:dyDescent="0.35">
      <c r="A181">
        <v>100000918</v>
      </c>
      <c r="B181" t="s">
        <v>46</v>
      </c>
      <c r="C181">
        <v>1000</v>
      </c>
      <c r="D181">
        <v>0</v>
      </c>
      <c r="E181">
        <v>1000</v>
      </c>
      <c r="F181" s="2">
        <v>0</v>
      </c>
      <c r="G181" t="s">
        <v>198</v>
      </c>
      <c r="H181">
        <v>2024</v>
      </c>
      <c r="J181" s="4">
        <v>100006806</v>
      </c>
      <c r="K181">
        <v>1</v>
      </c>
    </row>
    <row r="182" spans="1:11" x14ac:dyDescent="0.35">
      <c r="A182">
        <v>100001016</v>
      </c>
      <c r="B182" t="s">
        <v>50</v>
      </c>
      <c r="C182">
        <v>450</v>
      </c>
      <c r="D182">
        <v>0</v>
      </c>
      <c r="E182">
        <v>450</v>
      </c>
      <c r="F182" s="2">
        <v>0</v>
      </c>
      <c r="G182" t="s">
        <v>198</v>
      </c>
      <c r="H182">
        <v>2024</v>
      </c>
      <c r="J182" s="4" t="s">
        <v>218</v>
      </c>
      <c r="K182">
        <v>387</v>
      </c>
    </row>
    <row r="183" spans="1:11" x14ac:dyDescent="0.35">
      <c r="A183">
        <v>100001310</v>
      </c>
      <c r="B183" t="s">
        <v>76</v>
      </c>
      <c r="C183">
        <v>10600</v>
      </c>
      <c r="D183">
        <v>0</v>
      </c>
      <c r="E183">
        <v>10600</v>
      </c>
      <c r="F183" s="2">
        <v>0</v>
      </c>
      <c r="G183" t="s">
        <v>198</v>
      </c>
      <c r="H183">
        <v>2024</v>
      </c>
    </row>
    <row r="184" spans="1:11" x14ac:dyDescent="0.35">
      <c r="A184">
        <v>100002561</v>
      </c>
      <c r="B184" t="s">
        <v>170</v>
      </c>
      <c r="C184">
        <v>200</v>
      </c>
      <c r="D184">
        <v>0</v>
      </c>
      <c r="E184">
        <v>200</v>
      </c>
      <c r="F184" s="2">
        <v>0</v>
      </c>
      <c r="G184" t="s">
        <v>198</v>
      </c>
      <c r="H184">
        <v>2024</v>
      </c>
    </row>
    <row r="185" spans="1:11" x14ac:dyDescent="0.35">
      <c r="A185">
        <v>100001367</v>
      </c>
      <c r="B185" t="s">
        <v>185</v>
      </c>
      <c r="C185">
        <v>10</v>
      </c>
      <c r="D185">
        <v>0</v>
      </c>
      <c r="E185">
        <v>10</v>
      </c>
      <c r="F185" s="2">
        <v>0</v>
      </c>
      <c r="G185" t="s">
        <v>198</v>
      </c>
      <c r="H185">
        <v>2024</v>
      </c>
    </row>
    <row r="186" spans="1:11" x14ac:dyDescent="0.35">
      <c r="A186">
        <v>100005313</v>
      </c>
      <c r="B186" t="s">
        <v>80</v>
      </c>
      <c r="C186">
        <v>15</v>
      </c>
      <c r="D186">
        <v>0</v>
      </c>
      <c r="E186">
        <v>15</v>
      </c>
      <c r="F186" s="2">
        <v>0</v>
      </c>
      <c r="G186" t="s">
        <v>198</v>
      </c>
      <c r="H186">
        <v>2024</v>
      </c>
    </row>
    <row r="187" spans="1:11" x14ac:dyDescent="0.35">
      <c r="A187">
        <v>100005314</v>
      </c>
      <c r="B187" t="s">
        <v>145</v>
      </c>
      <c r="C187">
        <v>45</v>
      </c>
      <c r="D187">
        <v>0</v>
      </c>
      <c r="E187">
        <v>45</v>
      </c>
      <c r="F187" s="2">
        <v>0</v>
      </c>
      <c r="G187" t="s">
        <v>198</v>
      </c>
      <c r="H187">
        <v>2024</v>
      </c>
    </row>
    <row r="188" spans="1:11" x14ac:dyDescent="0.35">
      <c r="A188">
        <v>100004677</v>
      </c>
      <c r="B188" t="s">
        <v>148</v>
      </c>
      <c r="C188">
        <v>10</v>
      </c>
      <c r="D188">
        <v>0</v>
      </c>
      <c r="E188">
        <v>10</v>
      </c>
      <c r="F188" s="2">
        <v>0</v>
      </c>
      <c r="G188" t="s">
        <v>198</v>
      </c>
      <c r="H188">
        <v>2024</v>
      </c>
    </row>
    <row r="189" spans="1:11" x14ac:dyDescent="0.35">
      <c r="A189">
        <v>100002074</v>
      </c>
      <c r="B189" t="s">
        <v>9</v>
      </c>
      <c r="C189">
        <v>240</v>
      </c>
      <c r="D189">
        <v>0</v>
      </c>
      <c r="E189">
        <v>240</v>
      </c>
      <c r="F189" s="2">
        <v>0</v>
      </c>
      <c r="G189" t="s">
        <v>91</v>
      </c>
      <c r="H189">
        <v>2024</v>
      </c>
    </row>
    <row r="190" spans="1:11" x14ac:dyDescent="0.35">
      <c r="A190">
        <v>100000388</v>
      </c>
      <c r="B190" t="s">
        <v>151</v>
      </c>
      <c r="C190">
        <v>100</v>
      </c>
      <c r="D190">
        <v>0</v>
      </c>
      <c r="E190">
        <v>100</v>
      </c>
      <c r="F190" s="2">
        <v>0</v>
      </c>
      <c r="G190" t="s">
        <v>91</v>
      </c>
      <c r="H190">
        <v>2024</v>
      </c>
    </row>
    <row r="191" spans="1:11" x14ac:dyDescent="0.35">
      <c r="A191">
        <v>100001916</v>
      </c>
      <c r="B191" t="s">
        <v>27</v>
      </c>
      <c r="C191">
        <v>100</v>
      </c>
      <c r="D191">
        <v>0</v>
      </c>
      <c r="E191">
        <v>100</v>
      </c>
      <c r="F191" s="2">
        <v>0</v>
      </c>
      <c r="G191" t="s">
        <v>91</v>
      </c>
      <c r="H191">
        <v>2024</v>
      </c>
    </row>
    <row r="192" spans="1:11" x14ac:dyDescent="0.35">
      <c r="A192">
        <v>100000733</v>
      </c>
      <c r="B192" t="s">
        <v>152</v>
      </c>
      <c r="C192">
        <v>80</v>
      </c>
      <c r="D192">
        <v>0</v>
      </c>
      <c r="E192">
        <v>80</v>
      </c>
      <c r="F192" s="2">
        <v>0</v>
      </c>
      <c r="G192" t="s">
        <v>91</v>
      </c>
      <c r="H192">
        <v>2024</v>
      </c>
    </row>
    <row r="193" spans="1:8" x14ac:dyDescent="0.35">
      <c r="A193">
        <v>100003221</v>
      </c>
      <c r="B193" t="s">
        <v>153</v>
      </c>
      <c r="C193">
        <v>600</v>
      </c>
      <c r="D193">
        <v>0</v>
      </c>
      <c r="E193">
        <v>600</v>
      </c>
      <c r="F193" s="2">
        <v>0</v>
      </c>
      <c r="G193" t="s">
        <v>91</v>
      </c>
      <c r="H193">
        <v>2024</v>
      </c>
    </row>
    <row r="194" spans="1:8" x14ac:dyDescent="0.35">
      <c r="A194">
        <v>100001041</v>
      </c>
      <c r="B194" t="s">
        <v>53</v>
      </c>
      <c r="C194">
        <v>400</v>
      </c>
      <c r="D194">
        <v>0</v>
      </c>
      <c r="E194">
        <v>400</v>
      </c>
      <c r="F194" s="2">
        <v>0</v>
      </c>
      <c r="G194" t="s">
        <v>91</v>
      </c>
      <c r="H194">
        <v>2024</v>
      </c>
    </row>
    <row r="195" spans="1:8" x14ac:dyDescent="0.35">
      <c r="A195">
        <v>100001042</v>
      </c>
      <c r="B195" t="s">
        <v>154</v>
      </c>
      <c r="C195">
        <v>100</v>
      </c>
      <c r="D195">
        <v>0</v>
      </c>
      <c r="E195">
        <v>100</v>
      </c>
      <c r="F195" s="2">
        <v>0</v>
      </c>
      <c r="G195" t="s">
        <v>91</v>
      </c>
      <c r="H195">
        <v>2024</v>
      </c>
    </row>
    <row r="196" spans="1:8" x14ac:dyDescent="0.35">
      <c r="A196">
        <v>100003840</v>
      </c>
      <c r="B196" t="s">
        <v>61</v>
      </c>
      <c r="C196">
        <v>300</v>
      </c>
      <c r="D196">
        <v>0</v>
      </c>
      <c r="E196">
        <v>300</v>
      </c>
      <c r="F196" s="2">
        <v>0</v>
      </c>
      <c r="G196" t="s">
        <v>91</v>
      </c>
      <c r="H196">
        <v>2024</v>
      </c>
    </row>
    <row r="197" spans="1:8" x14ac:dyDescent="0.35">
      <c r="A197">
        <v>100002906</v>
      </c>
      <c r="B197" t="s">
        <v>67</v>
      </c>
      <c r="C197">
        <v>765</v>
      </c>
      <c r="D197">
        <v>0</v>
      </c>
      <c r="E197">
        <v>765</v>
      </c>
      <c r="F197" s="2">
        <v>0</v>
      </c>
      <c r="G197" t="s">
        <v>91</v>
      </c>
      <c r="H197">
        <v>2024</v>
      </c>
    </row>
    <row r="198" spans="1:8" x14ac:dyDescent="0.35">
      <c r="A198">
        <v>100001310</v>
      </c>
      <c r="B198" t="s">
        <v>76</v>
      </c>
      <c r="C198">
        <v>13000</v>
      </c>
      <c r="D198">
        <v>0</v>
      </c>
      <c r="E198">
        <v>13000</v>
      </c>
      <c r="F198" s="2">
        <v>0</v>
      </c>
      <c r="G198" t="s">
        <v>91</v>
      </c>
      <c r="H198">
        <v>2024</v>
      </c>
    </row>
    <row r="199" spans="1:8" x14ac:dyDescent="0.35">
      <c r="A199">
        <v>100004645</v>
      </c>
      <c r="B199" t="s">
        <v>79</v>
      </c>
      <c r="C199">
        <v>95</v>
      </c>
      <c r="D199">
        <v>0</v>
      </c>
      <c r="E199">
        <v>95</v>
      </c>
      <c r="F199" s="2">
        <v>0</v>
      </c>
      <c r="G199" t="s">
        <v>91</v>
      </c>
      <c r="H199">
        <v>2024</v>
      </c>
    </row>
    <row r="200" spans="1:8" x14ac:dyDescent="0.35">
      <c r="A200">
        <v>100000046</v>
      </c>
      <c r="B200" t="s">
        <v>6</v>
      </c>
      <c r="C200">
        <v>600</v>
      </c>
      <c r="D200">
        <v>0</v>
      </c>
      <c r="E200">
        <v>600</v>
      </c>
      <c r="F200" s="2">
        <v>0</v>
      </c>
      <c r="G200" t="s">
        <v>92</v>
      </c>
      <c r="H200">
        <v>2024</v>
      </c>
    </row>
    <row r="201" spans="1:8" x14ac:dyDescent="0.35">
      <c r="A201">
        <v>100002092</v>
      </c>
      <c r="B201" t="s">
        <v>12</v>
      </c>
      <c r="C201">
        <v>60</v>
      </c>
      <c r="D201">
        <v>0</v>
      </c>
      <c r="E201">
        <v>60</v>
      </c>
      <c r="F201" s="2">
        <v>0</v>
      </c>
      <c r="G201" t="s">
        <v>92</v>
      </c>
      <c r="H201">
        <v>2024</v>
      </c>
    </row>
    <row r="202" spans="1:8" x14ac:dyDescent="0.35">
      <c r="A202">
        <v>100000244</v>
      </c>
      <c r="B202" t="s">
        <v>13</v>
      </c>
      <c r="C202">
        <v>500</v>
      </c>
      <c r="D202">
        <v>0</v>
      </c>
      <c r="E202">
        <v>500</v>
      </c>
      <c r="F202" s="2">
        <v>0</v>
      </c>
      <c r="G202" t="s">
        <v>92</v>
      </c>
      <c r="H202">
        <v>2024</v>
      </c>
    </row>
    <row r="203" spans="1:8" x14ac:dyDescent="0.35">
      <c r="A203">
        <v>100004000</v>
      </c>
      <c r="B203" t="s">
        <v>172</v>
      </c>
      <c r="C203">
        <v>10</v>
      </c>
      <c r="D203">
        <v>0</v>
      </c>
      <c r="E203">
        <v>10</v>
      </c>
      <c r="F203" s="2">
        <v>0</v>
      </c>
      <c r="G203" t="s">
        <v>92</v>
      </c>
      <c r="H203">
        <v>2024</v>
      </c>
    </row>
    <row r="204" spans="1:8" x14ac:dyDescent="0.35">
      <c r="A204">
        <v>100004001</v>
      </c>
      <c r="B204" t="s">
        <v>22</v>
      </c>
      <c r="C204">
        <v>16</v>
      </c>
      <c r="D204">
        <v>0</v>
      </c>
      <c r="E204">
        <v>16</v>
      </c>
      <c r="F204" s="2">
        <v>0</v>
      </c>
      <c r="G204" t="s">
        <v>92</v>
      </c>
      <c r="H204">
        <v>2024</v>
      </c>
    </row>
    <row r="205" spans="1:8" x14ac:dyDescent="0.35">
      <c r="A205">
        <v>100000529</v>
      </c>
      <c r="B205" t="s">
        <v>25</v>
      </c>
      <c r="C205">
        <v>100</v>
      </c>
      <c r="D205">
        <v>0</v>
      </c>
      <c r="E205">
        <v>100</v>
      </c>
      <c r="F205" s="2">
        <v>0</v>
      </c>
      <c r="G205" t="s">
        <v>92</v>
      </c>
      <c r="H205">
        <v>2024</v>
      </c>
    </row>
    <row r="206" spans="1:8" x14ac:dyDescent="0.35">
      <c r="A206">
        <v>100003448</v>
      </c>
      <c r="B206" t="s">
        <v>32</v>
      </c>
      <c r="C206">
        <v>230</v>
      </c>
      <c r="D206">
        <v>0</v>
      </c>
      <c r="E206">
        <v>230</v>
      </c>
      <c r="F206" s="2">
        <v>0</v>
      </c>
      <c r="G206" t="s">
        <v>92</v>
      </c>
      <c r="H206">
        <v>2024</v>
      </c>
    </row>
    <row r="207" spans="1:8" x14ac:dyDescent="0.35">
      <c r="A207">
        <v>100000721</v>
      </c>
      <c r="B207" t="s">
        <v>124</v>
      </c>
      <c r="C207">
        <v>120</v>
      </c>
      <c r="D207">
        <v>0</v>
      </c>
      <c r="E207">
        <v>120</v>
      </c>
      <c r="F207" s="2">
        <v>0</v>
      </c>
      <c r="G207" t="s">
        <v>92</v>
      </c>
      <c r="H207">
        <v>2024</v>
      </c>
    </row>
    <row r="208" spans="1:8" x14ac:dyDescent="0.35">
      <c r="A208">
        <v>100000918</v>
      </c>
      <c r="B208" t="s">
        <v>46</v>
      </c>
      <c r="C208">
        <v>1000</v>
      </c>
      <c r="D208">
        <v>0</v>
      </c>
      <c r="E208">
        <v>1000</v>
      </c>
      <c r="F208" s="2">
        <v>0</v>
      </c>
      <c r="G208" t="s">
        <v>92</v>
      </c>
      <c r="H208">
        <v>2024</v>
      </c>
    </row>
    <row r="209" spans="1:8" x14ac:dyDescent="0.35">
      <c r="A209">
        <v>100001016</v>
      </c>
      <c r="B209" t="s">
        <v>50</v>
      </c>
      <c r="C209">
        <v>450</v>
      </c>
      <c r="D209">
        <v>0</v>
      </c>
      <c r="E209">
        <v>450</v>
      </c>
      <c r="F209" s="2">
        <v>0</v>
      </c>
      <c r="G209" t="s">
        <v>92</v>
      </c>
      <c r="H209">
        <v>2024</v>
      </c>
    </row>
    <row r="210" spans="1:8" x14ac:dyDescent="0.35">
      <c r="A210">
        <v>100001041</v>
      </c>
      <c r="B210" t="s">
        <v>53</v>
      </c>
      <c r="C210">
        <v>400</v>
      </c>
      <c r="D210">
        <v>0</v>
      </c>
      <c r="E210">
        <v>400</v>
      </c>
      <c r="F210" s="2">
        <v>0</v>
      </c>
      <c r="G210" t="s">
        <v>92</v>
      </c>
      <c r="H210">
        <v>2024</v>
      </c>
    </row>
    <row r="211" spans="1:8" x14ac:dyDescent="0.35">
      <c r="A211">
        <v>100001052</v>
      </c>
      <c r="B211" t="s">
        <v>56</v>
      </c>
      <c r="C211">
        <v>800</v>
      </c>
      <c r="D211">
        <v>0</v>
      </c>
      <c r="E211">
        <v>800</v>
      </c>
      <c r="F211" s="2">
        <v>0</v>
      </c>
      <c r="G211" t="s">
        <v>92</v>
      </c>
      <c r="H211">
        <v>2024</v>
      </c>
    </row>
    <row r="212" spans="1:8" x14ac:dyDescent="0.35">
      <c r="A212">
        <v>100002254</v>
      </c>
      <c r="B212" t="s">
        <v>60</v>
      </c>
      <c r="C212">
        <v>20</v>
      </c>
      <c r="D212">
        <v>0</v>
      </c>
      <c r="E212">
        <v>20</v>
      </c>
      <c r="F212" s="2">
        <v>0</v>
      </c>
      <c r="G212" t="s">
        <v>92</v>
      </c>
      <c r="H212">
        <v>2024</v>
      </c>
    </row>
    <row r="213" spans="1:8" x14ac:dyDescent="0.35">
      <c r="A213">
        <v>100005482</v>
      </c>
      <c r="B213" t="s">
        <v>135</v>
      </c>
      <c r="C213">
        <v>170</v>
      </c>
      <c r="D213">
        <v>0</v>
      </c>
      <c r="E213">
        <v>170</v>
      </c>
      <c r="F213" s="2">
        <v>0</v>
      </c>
      <c r="G213" t="s">
        <v>92</v>
      </c>
      <c r="H213">
        <v>2024</v>
      </c>
    </row>
    <row r="214" spans="1:8" x14ac:dyDescent="0.35">
      <c r="A214">
        <v>100001199</v>
      </c>
      <c r="B214" t="s">
        <v>164</v>
      </c>
      <c r="C214">
        <v>2000</v>
      </c>
      <c r="D214">
        <v>0</v>
      </c>
      <c r="E214">
        <v>2000</v>
      </c>
      <c r="F214" s="2">
        <v>0</v>
      </c>
      <c r="G214" t="s">
        <v>92</v>
      </c>
      <c r="H214">
        <v>2024</v>
      </c>
    </row>
    <row r="215" spans="1:8" x14ac:dyDescent="0.35">
      <c r="A215">
        <v>100002261</v>
      </c>
      <c r="B215" t="s">
        <v>139</v>
      </c>
      <c r="C215">
        <v>15840</v>
      </c>
      <c r="D215">
        <v>0</v>
      </c>
      <c r="E215">
        <v>15840</v>
      </c>
      <c r="F215" s="2">
        <v>0</v>
      </c>
      <c r="G215" t="s">
        <v>92</v>
      </c>
      <c r="H215">
        <v>2024</v>
      </c>
    </row>
    <row r="216" spans="1:8" x14ac:dyDescent="0.35">
      <c r="A216">
        <v>100001260</v>
      </c>
      <c r="B216" t="s">
        <v>73</v>
      </c>
      <c r="C216">
        <v>160</v>
      </c>
      <c r="D216">
        <v>0</v>
      </c>
      <c r="E216">
        <v>160</v>
      </c>
      <c r="F216" s="2">
        <v>0</v>
      </c>
      <c r="G216" t="s">
        <v>92</v>
      </c>
      <c r="H216">
        <v>2024</v>
      </c>
    </row>
    <row r="217" spans="1:8" x14ac:dyDescent="0.35">
      <c r="A217">
        <v>100001310</v>
      </c>
      <c r="B217" t="s">
        <v>76</v>
      </c>
      <c r="C217">
        <v>13000</v>
      </c>
      <c r="D217">
        <v>0</v>
      </c>
      <c r="E217">
        <v>13000</v>
      </c>
      <c r="F217" s="2">
        <v>0</v>
      </c>
      <c r="G217" t="s">
        <v>92</v>
      </c>
      <c r="H217">
        <v>2024</v>
      </c>
    </row>
    <row r="218" spans="1:8" x14ac:dyDescent="0.35">
      <c r="A218">
        <v>100001551</v>
      </c>
      <c r="B218" t="s">
        <v>86</v>
      </c>
      <c r="C218">
        <v>400</v>
      </c>
      <c r="D218">
        <v>0</v>
      </c>
      <c r="E218">
        <v>400</v>
      </c>
      <c r="F218" s="2">
        <v>0</v>
      </c>
      <c r="G218" t="s">
        <v>92</v>
      </c>
      <c r="H218">
        <v>2024</v>
      </c>
    </row>
    <row r="219" spans="1:8" x14ac:dyDescent="0.35">
      <c r="A219">
        <v>100005268</v>
      </c>
      <c r="B219" t="s">
        <v>11</v>
      </c>
      <c r="C219">
        <v>15</v>
      </c>
      <c r="D219">
        <v>0</v>
      </c>
      <c r="E219">
        <v>15</v>
      </c>
      <c r="F219" s="2">
        <v>0</v>
      </c>
      <c r="G219" t="s">
        <v>93</v>
      </c>
      <c r="H219">
        <v>2024</v>
      </c>
    </row>
    <row r="220" spans="1:8" x14ac:dyDescent="0.35">
      <c r="A220">
        <v>100000241</v>
      </c>
      <c r="B220" t="s">
        <v>107</v>
      </c>
      <c r="C220">
        <v>200</v>
      </c>
      <c r="D220">
        <v>0</v>
      </c>
      <c r="E220">
        <v>200</v>
      </c>
      <c r="F220" s="2">
        <v>0</v>
      </c>
      <c r="G220" t="s">
        <v>93</v>
      </c>
      <c r="H220">
        <v>2024</v>
      </c>
    </row>
    <row r="221" spans="1:8" x14ac:dyDescent="0.35">
      <c r="A221">
        <v>100000772</v>
      </c>
      <c r="B221" t="s">
        <v>36</v>
      </c>
      <c r="C221">
        <v>100</v>
      </c>
      <c r="D221">
        <v>0</v>
      </c>
      <c r="E221">
        <v>100</v>
      </c>
      <c r="F221" s="2">
        <v>0</v>
      </c>
      <c r="G221" t="s">
        <v>93</v>
      </c>
      <c r="H221">
        <v>2024</v>
      </c>
    </row>
    <row r="222" spans="1:8" x14ac:dyDescent="0.35">
      <c r="A222">
        <v>100000809</v>
      </c>
      <c r="B222" t="s">
        <v>89</v>
      </c>
      <c r="C222">
        <v>180</v>
      </c>
      <c r="D222">
        <v>0</v>
      </c>
      <c r="E222">
        <v>180</v>
      </c>
      <c r="F222" s="2">
        <v>0</v>
      </c>
      <c r="G222" t="s">
        <v>93</v>
      </c>
      <c r="H222">
        <v>2024</v>
      </c>
    </row>
    <row r="223" spans="1:8" x14ac:dyDescent="0.35">
      <c r="A223">
        <v>100004066</v>
      </c>
      <c r="B223" t="s">
        <v>49</v>
      </c>
      <c r="C223">
        <v>2400</v>
      </c>
      <c r="D223">
        <v>0</v>
      </c>
      <c r="E223">
        <v>2400</v>
      </c>
      <c r="F223" s="2">
        <v>0</v>
      </c>
      <c r="G223" t="s">
        <v>93</v>
      </c>
      <c r="H223">
        <v>2024</v>
      </c>
    </row>
    <row r="224" spans="1:8" x14ac:dyDescent="0.35">
      <c r="A224">
        <v>100001222</v>
      </c>
      <c r="B224" t="s">
        <v>169</v>
      </c>
      <c r="C224">
        <v>100</v>
      </c>
      <c r="D224">
        <v>0</v>
      </c>
      <c r="E224">
        <v>100</v>
      </c>
      <c r="F224" s="2">
        <v>0</v>
      </c>
      <c r="G224" t="s">
        <v>93</v>
      </c>
      <c r="H224">
        <v>2024</v>
      </c>
    </row>
    <row r="225" spans="1:8" x14ac:dyDescent="0.35">
      <c r="A225">
        <v>100002561</v>
      </c>
      <c r="B225" t="s">
        <v>170</v>
      </c>
      <c r="C225">
        <v>200</v>
      </c>
      <c r="D225">
        <v>0</v>
      </c>
      <c r="E225">
        <v>200</v>
      </c>
      <c r="F225" s="2">
        <v>0</v>
      </c>
      <c r="G225" t="s">
        <v>93</v>
      </c>
      <c r="H225">
        <v>2024</v>
      </c>
    </row>
    <row r="226" spans="1:8" x14ac:dyDescent="0.35">
      <c r="A226">
        <v>100004116</v>
      </c>
      <c r="B226" t="s">
        <v>81</v>
      </c>
      <c r="C226">
        <v>19</v>
      </c>
      <c r="D226">
        <v>0</v>
      </c>
      <c r="E226">
        <v>19</v>
      </c>
      <c r="F226" s="2">
        <v>0</v>
      </c>
      <c r="G226" t="s">
        <v>93</v>
      </c>
      <c r="H226">
        <v>2024</v>
      </c>
    </row>
    <row r="227" spans="1:8" x14ac:dyDescent="0.35">
      <c r="A227">
        <v>100000308</v>
      </c>
      <c r="B227" t="s">
        <v>174</v>
      </c>
      <c r="C227">
        <v>560</v>
      </c>
      <c r="D227">
        <v>0</v>
      </c>
      <c r="E227">
        <v>560</v>
      </c>
      <c r="F227" s="2">
        <v>0</v>
      </c>
      <c r="G227" t="s">
        <v>173</v>
      </c>
      <c r="H227">
        <v>2024</v>
      </c>
    </row>
    <row r="228" spans="1:8" x14ac:dyDescent="0.35">
      <c r="A228">
        <v>100000381</v>
      </c>
      <c r="B228" t="s">
        <v>87</v>
      </c>
      <c r="C228">
        <v>180</v>
      </c>
      <c r="D228">
        <v>0</v>
      </c>
      <c r="E228">
        <v>180</v>
      </c>
      <c r="F228" s="2">
        <v>0</v>
      </c>
      <c r="G228" t="s">
        <v>173</v>
      </c>
      <c r="H228">
        <v>2024</v>
      </c>
    </row>
    <row r="229" spans="1:8" x14ac:dyDescent="0.35">
      <c r="A229">
        <v>100004001</v>
      </c>
      <c r="B229" t="s">
        <v>22</v>
      </c>
      <c r="C229">
        <v>16</v>
      </c>
      <c r="D229">
        <v>0</v>
      </c>
      <c r="E229">
        <v>16</v>
      </c>
      <c r="F229" s="2">
        <v>0</v>
      </c>
      <c r="G229" t="s">
        <v>173</v>
      </c>
      <c r="H229">
        <v>2024</v>
      </c>
    </row>
    <row r="230" spans="1:8" x14ac:dyDescent="0.35">
      <c r="A230">
        <v>100000649</v>
      </c>
      <c r="B230" t="s">
        <v>31</v>
      </c>
      <c r="C230">
        <v>10</v>
      </c>
      <c r="D230">
        <v>0</v>
      </c>
      <c r="E230">
        <v>10</v>
      </c>
      <c r="F230" s="2">
        <v>0</v>
      </c>
      <c r="G230" t="s">
        <v>173</v>
      </c>
      <c r="H230">
        <v>2024</v>
      </c>
    </row>
    <row r="231" spans="1:8" x14ac:dyDescent="0.35">
      <c r="A231">
        <v>100000809</v>
      </c>
      <c r="B231" t="s">
        <v>89</v>
      </c>
      <c r="C231">
        <v>180</v>
      </c>
      <c r="D231">
        <v>0</v>
      </c>
      <c r="E231">
        <v>180</v>
      </c>
      <c r="F231" s="2">
        <v>0</v>
      </c>
      <c r="G231" t="s">
        <v>173</v>
      </c>
      <c r="H231">
        <v>2024</v>
      </c>
    </row>
    <row r="232" spans="1:8" x14ac:dyDescent="0.35">
      <c r="A232">
        <v>100002921</v>
      </c>
      <c r="B232" t="s">
        <v>136</v>
      </c>
      <c r="C232">
        <v>1200</v>
      </c>
      <c r="D232">
        <v>0</v>
      </c>
      <c r="E232">
        <v>1200</v>
      </c>
      <c r="F232" s="2">
        <v>0</v>
      </c>
      <c r="G232" t="s">
        <v>173</v>
      </c>
      <c r="H232">
        <v>2024</v>
      </c>
    </row>
    <row r="233" spans="1:8" x14ac:dyDescent="0.35">
      <c r="A233">
        <v>100003413</v>
      </c>
      <c r="B233" t="s">
        <v>138</v>
      </c>
      <c r="C233">
        <v>24</v>
      </c>
      <c r="D233">
        <v>0</v>
      </c>
      <c r="E233">
        <v>24</v>
      </c>
      <c r="F233" s="2">
        <v>0</v>
      </c>
      <c r="G233" t="s">
        <v>173</v>
      </c>
      <c r="H233">
        <v>2024</v>
      </c>
    </row>
    <row r="234" spans="1:8" x14ac:dyDescent="0.35">
      <c r="A234">
        <v>100001232</v>
      </c>
      <c r="B234" t="s">
        <v>68</v>
      </c>
      <c r="C234">
        <v>5000</v>
      </c>
      <c r="D234">
        <v>0</v>
      </c>
      <c r="E234">
        <v>5000</v>
      </c>
      <c r="F234" s="2">
        <v>0</v>
      </c>
      <c r="G234" t="s">
        <v>173</v>
      </c>
      <c r="H234">
        <v>2024</v>
      </c>
    </row>
    <row r="235" spans="1:8" x14ac:dyDescent="0.35">
      <c r="A235">
        <v>100002269</v>
      </c>
      <c r="B235" t="s">
        <v>82</v>
      </c>
      <c r="C235">
        <v>8</v>
      </c>
      <c r="D235">
        <v>0</v>
      </c>
      <c r="E235">
        <v>8</v>
      </c>
      <c r="F235" s="2">
        <v>0</v>
      </c>
      <c r="G235" t="s">
        <v>173</v>
      </c>
      <c r="H235">
        <v>2024</v>
      </c>
    </row>
    <row r="236" spans="1:8" x14ac:dyDescent="0.35">
      <c r="A236">
        <v>100004675</v>
      </c>
      <c r="B236" t="s">
        <v>83</v>
      </c>
      <c r="C236">
        <v>4</v>
      </c>
      <c r="D236">
        <v>0</v>
      </c>
      <c r="E236">
        <v>4</v>
      </c>
      <c r="F236" s="2">
        <v>0</v>
      </c>
      <c r="G236" t="s">
        <v>173</v>
      </c>
      <c r="H236">
        <v>2024</v>
      </c>
    </row>
    <row r="237" spans="1:8" x14ac:dyDescent="0.35">
      <c r="A237">
        <v>100000381</v>
      </c>
      <c r="B237" t="s">
        <v>87</v>
      </c>
      <c r="C237">
        <v>180</v>
      </c>
      <c r="D237">
        <v>0</v>
      </c>
      <c r="E237">
        <v>180</v>
      </c>
      <c r="F237" s="2">
        <v>0</v>
      </c>
      <c r="G237" t="s">
        <v>94</v>
      </c>
      <c r="H237">
        <v>2024</v>
      </c>
    </row>
    <row r="238" spans="1:8" x14ac:dyDescent="0.35">
      <c r="A238">
        <v>100004642</v>
      </c>
      <c r="B238" t="s">
        <v>88</v>
      </c>
      <c r="C238">
        <v>30</v>
      </c>
      <c r="D238">
        <v>0</v>
      </c>
      <c r="E238">
        <v>30</v>
      </c>
      <c r="F238" s="2">
        <v>0</v>
      </c>
      <c r="G238" t="s">
        <v>94</v>
      </c>
      <c r="H238">
        <v>2024</v>
      </c>
    </row>
    <row r="239" spans="1:8" x14ac:dyDescent="0.35">
      <c r="A239">
        <v>100000809</v>
      </c>
      <c r="B239" t="s">
        <v>89</v>
      </c>
      <c r="C239">
        <v>180</v>
      </c>
      <c r="D239">
        <v>0</v>
      </c>
      <c r="E239">
        <v>180</v>
      </c>
      <c r="F239" s="2">
        <v>0</v>
      </c>
      <c r="G239" t="s">
        <v>94</v>
      </c>
      <c r="H239">
        <v>2024</v>
      </c>
    </row>
    <row r="240" spans="1:8" x14ac:dyDescent="0.35">
      <c r="A240">
        <v>100005505</v>
      </c>
      <c r="B240" t="s">
        <v>90</v>
      </c>
      <c r="C240">
        <v>40</v>
      </c>
      <c r="D240">
        <v>0</v>
      </c>
      <c r="E240">
        <v>40</v>
      </c>
      <c r="F240" s="2">
        <v>0</v>
      </c>
      <c r="G240" t="s">
        <v>94</v>
      </c>
      <c r="H240">
        <v>2024</v>
      </c>
    </row>
    <row r="241" spans="1:8" x14ac:dyDescent="0.35">
      <c r="A241">
        <v>100005302</v>
      </c>
      <c r="B241" t="s">
        <v>58</v>
      </c>
      <c r="C241">
        <v>40</v>
      </c>
      <c r="D241">
        <v>0</v>
      </c>
      <c r="E241">
        <v>40</v>
      </c>
      <c r="F241" s="2">
        <v>0</v>
      </c>
      <c r="G241" t="s">
        <v>94</v>
      </c>
      <c r="H241">
        <v>2024</v>
      </c>
    </row>
    <row r="242" spans="1:8" x14ac:dyDescent="0.35">
      <c r="A242">
        <v>100004632</v>
      </c>
      <c r="B242" t="s">
        <v>59</v>
      </c>
      <c r="C242">
        <v>40</v>
      </c>
      <c r="D242">
        <v>0</v>
      </c>
      <c r="E242">
        <v>40</v>
      </c>
      <c r="F242" s="2">
        <v>0</v>
      </c>
      <c r="G242" t="s">
        <v>94</v>
      </c>
      <c r="H242">
        <v>2024</v>
      </c>
    </row>
    <row r="243" spans="1:8" x14ac:dyDescent="0.35">
      <c r="A243">
        <v>100001902</v>
      </c>
      <c r="B243" t="s">
        <v>15</v>
      </c>
      <c r="C243">
        <v>50000</v>
      </c>
      <c r="D243">
        <v>0</v>
      </c>
      <c r="E243">
        <v>50000</v>
      </c>
      <c r="F243" s="2">
        <v>0</v>
      </c>
      <c r="G243" t="s">
        <v>177</v>
      </c>
      <c r="H243">
        <v>2024</v>
      </c>
    </row>
    <row r="244" spans="1:8" x14ac:dyDescent="0.35">
      <c r="A244">
        <v>100003422</v>
      </c>
      <c r="B244" t="s">
        <v>108</v>
      </c>
      <c r="C244">
        <v>1200</v>
      </c>
      <c r="D244">
        <v>0</v>
      </c>
      <c r="E244">
        <v>1200</v>
      </c>
      <c r="F244" s="2">
        <v>0</v>
      </c>
      <c r="G244" t="s">
        <v>177</v>
      </c>
      <c r="H244">
        <v>2024</v>
      </c>
    </row>
    <row r="245" spans="1:8" x14ac:dyDescent="0.35">
      <c r="A245">
        <v>100000381</v>
      </c>
      <c r="B245" t="s">
        <v>87</v>
      </c>
      <c r="C245">
        <v>180</v>
      </c>
      <c r="D245">
        <v>0</v>
      </c>
      <c r="E245">
        <v>180</v>
      </c>
      <c r="F245" s="2">
        <v>0</v>
      </c>
      <c r="G245" t="s">
        <v>177</v>
      </c>
      <c r="H245">
        <v>2024</v>
      </c>
    </row>
    <row r="246" spans="1:8" x14ac:dyDescent="0.35">
      <c r="A246">
        <v>100001903</v>
      </c>
      <c r="B246" t="s">
        <v>155</v>
      </c>
      <c r="C246">
        <v>10</v>
      </c>
      <c r="D246">
        <v>0</v>
      </c>
      <c r="E246">
        <v>10</v>
      </c>
      <c r="F246" s="2">
        <v>0</v>
      </c>
      <c r="G246" t="s">
        <v>177</v>
      </c>
      <c r="H246">
        <v>2024</v>
      </c>
    </row>
    <row r="247" spans="1:8" x14ac:dyDescent="0.35">
      <c r="A247">
        <v>100000535</v>
      </c>
      <c r="B247" t="s">
        <v>182</v>
      </c>
      <c r="C247">
        <v>300</v>
      </c>
      <c r="D247">
        <v>0</v>
      </c>
      <c r="E247">
        <v>300</v>
      </c>
      <c r="F247" s="2">
        <v>0</v>
      </c>
      <c r="G247" t="s">
        <v>177</v>
      </c>
      <c r="H247">
        <v>2024</v>
      </c>
    </row>
    <row r="248" spans="1:8" x14ac:dyDescent="0.35">
      <c r="A248">
        <v>100000908</v>
      </c>
      <c r="B248" t="s">
        <v>43</v>
      </c>
      <c r="C248">
        <v>10380</v>
      </c>
      <c r="D248">
        <v>0</v>
      </c>
      <c r="E248">
        <v>10380</v>
      </c>
      <c r="F248" s="2">
        <v>0</v>
      </c>
      <c r="G248" t="s">
        <v>177</v>
      </c>
      <c r="H248">
        <v>2024</v>
      </c>
    </row>
    <row r="249" spans="1:8" x14ac:dyDescent="0.35">
      <c r="A249">
        <v>100005505</v>
      </c>
      <c r="B249" t="s">
        <v>90</v>
      </c>
      <c r="C249">
        <v>40</v>
      </c>
      <c r="D249">
        <v>0</v>
      </c>
      <c r="E249">
        <v>40</v>
      </c>
      <c r="F249" s="2">
        <v>0</v>
      </c>
      <c r="G249" t="s">
        <v>177</v>
      </c>
      <c r="H249">
        <v>2024</v>
      </c>
    </row>
    <row r="250" spans="1:8" x14ac:dyDescent="0.35">
      <c r="A250">
        <v>100004066</v>
      </c>
      <c r="B250" t="s">
        <v>49</v>
      </c>
      <c r="C250">
        <v>3600</v>
      </c>
      <c r="D250">
        <v>0</v>
      </c>
      <c r="E250">
        <v>3600</v>
      </c>
      <c r="F250" s="2">
        <v>0</v>
      </c>
      <c r="G250" t="s">
        <v>177</v>
      </c>
      <c r="H250">
        <v>2024</v>
      </c>
    </row>
    <row r="251" spans="1:8" x14ac:dyDescent="0.35">
      <c r="A251">
        <v>100002921</v>
      </c>
      <c r="B251" t="s">
        <v>136</v>
      </c>
      <c r="C251">
        <v>1200</v>
      </c>
      <c r="D251">
        <v>0</v>
      </c>
      <c r="E251">
        <v>1200</v>
      </c>
      <c r="F251" s="2">
        <v>0</v>
      </c>
      <c r="G251" t="s">
        <v>177</v>
      </c>
      <c r="H251">
        <v>2024</v>
      </c>
    </row>
    <row r="252" spans="1:8" x14ac:dyDescent="0.35">
      <c r="A252">
        <v>100001260</v>
      </c>
      <c r="B252" t="s">
        <v>73</v>
      </c>
      <c r="C252">
        <v>160</v>
      </c>
      <c r="D252">
        <v>0</v>
      </c>
      <c r="E252">
        <v>160</v>
      </c>
      <c r="F252" s="2">
        <v>0</v>
      </c>
      <c r="G252" t="s">
        <v>177</v>
      </c>
      <c r="H252">
        <v>2024</v>
      </c>
    </row>
    <row r="253" spans="1:8" x14ac:dyDescent="0.35">
      <c r="A253">
        <v>100002314</v>
      </c>
      <c r="B253" t="s">
        <v>74</v>
      </c>
      <c r="C253">
        <v>8</v>
      </c>
      <c r="D253">
        <v>0</v>
      </c>
      <c r="E253">
        <v>8</v>
      </c>
      <c r="F253" s="2">
        <v>0</v>
      </c>
      <c r="G253" t="s">
        <v>177</v>
      </c>
      <c r="H253">
        <v>2024</v>
      </c>
    </row>
    <row r="254" spans="1:8" x14ac:dyDescent="0.35">
      <c r="A254">
        <v>100001463</v>
      </c>
      <c r="B254" t="s">
        <v>183</v>
      </c>
      <c r="C254">
        <v>660</v>
      </c>
      <c r="D254">
        <v>0</v>
      </c>
      <c r="E254">
        <v>660</v>
      </c>
      <c r="F254" s="2">
        <v>0</v>
      </c>
      <c r="G254" t="s">
        <v>177</v>
      </c>
      <c r="H254">
        <v>2024</v>
      </c>
    </row>
    <row r="255" spans="1:8" x14ac:dyDescent="0.35">
      <c r="A255">
        <v>100000368</v>
      </c>
      <c r="B255" t="s">
        <v>110</v>
      </c>
      <c r="C255">
        <v>100</v>
      </c>
      <c r="D255">
        <v>0</v>
      </c>
      <c r="E255">
        <v>100</v>
      </c>
      <c r="F255" s="2">
        <v>0</v>
      </c>
      <c r="G255" t="s">
        <v>177</v>
      </c>
      <c r="H255">
        <v>2024</v>
      </c>
    </row>
    <row r="256" spans="1:8" x14ac:dyDescent="0.35">
      <c r="A256">
        <v>100000486</v>
      </c>
      <c r="B256" t="s">
        <v>205</v>
      </c>
      <c r="C256">
        <v>6</v>
      </c>
      <c r="D256">
        <v>0</v>
      </c>
      <c r="E256">
        <v>6</v>
      </c>
      <c r="F256" s="2">
        <v>0</v>
      </c>
      <c r="G256" t="s">
        <v>177</v>
      </c>
      <c r="H256">
        <v>2024</v>
      </c>
    </row>
    <row r="257" spans="1:8" x14ac:dyDescent="0.35">
      <c r="A257">
        <v>100000763</v>
      </c>
      <c r="B257" t="s">
        <v>179</v>
      </c>
      <c r="C257">
        <v>300</v>
      </c>
      <c r="D257">
        <v>0</v>
      </c>
      <c r="E257">
        <v>300</v>
      </c>
      <c r="F257" s="2">
        <v>0</v>
      </c>
      <c r="G257" t="s">
        <v>177</v>
      </c>
      <c r="H257">
        <v>2024</v>
      </c>
    </row>
    <row r="258" spans="1:8" x14ac:dyDescent="0.35">
      <c r="A258">
        <v>100000772</v>
      </c>
      <c r="B258" t="s">
        <v>36</v>
      </c>
      <c r="C258">
        <v>100</v>
      </c>
      <c r="D258">
        <v>0</v>
      </c>
      <c r="E258">
        <v>100</v>
      </c>
      <c r="F258" s="2">
        <v>0</v>
      </c>
      <c r="G258" t="s">
        <v>177</v>
      </c>
      <c r="H258">
        <v>2024</v>
      </c>
    </row>
    <row r="259" spans="1:8" x14ac:dyDescent="0.35">
      <c r="A259">
        <v>100001068</v>
      </c>
      <c r="B259" t="s">
        <v>206</v>
      </c>
      <c r="C259">
        <v>100</v>
      </c>
      <c r="D259">
        <v>0</v>
      </c>
      <c r="E259">
        <v>100</v>
      </c>
      <c r="F259" s="2">
        <v>0</v>
      </c>
      <c r="G259" t="s">
        <v>177</v>
      </c>
      <c r="H259">
        <v>2024</v>
      </c>
    </row>
    <row r="260" spans="1:8" x14ac:dyDescent="0.35">
      <c r="A260">
        <v>100005268</v>
      </c>
      <c r="B260" t="s">
        <v>11</v>
      </c>
      <c r="C260">
        <v>45</v>
      </c>
      <c r="D260">
        <v>0</v>
      </c>
      <c r="E260">
        <v>45</v>
      </c>
      <c r="F260" s="2">
        <v>0</v>
      </c>
      <c r="G260" t="s">
        <v>184</v>
      </c>
      <c r="H260">
        <v>2024</v>
      </c>
    </row>
    <row r="261" spans="1:8" x14ac:dyDescent="0.35">
      <c r="A261">
        <v>100004006</v>
      </c>
      <c r="B261" t="s">
        <v>115</v>
      </c>
      <c r="C261">
        <v>810</v>
      </c>
      <c r="D261">
        <v>0</v>
      </c>
      <c r="E261">
        <v>810</v>
      </c>
      <c r="F261" s="2">
        <v>0</v>
      </c>
      <c r="G261" t="s">
        <v>184</v>
      </c>
      <c r="H261">
        <v>2024</v>
      </c>
    </row>
    <row r="262" spans="1:8" x14ac:dyDescent="0.35">
      <c r="A262">
        <v>100000535</v>
      </c>
      <c r="B262" t="s">
        <v>182</v>
      </c>
      <c r="C262">
        <v>200</v>
      </c>
      <c r="D262">
        <v>0</v>
      </c>
      <c r="E262">
        <v>200</v>
      </c>
      <c r="F262" s="2">
        <v>0</v>
      </c>
      <c r="G262" t="s">
        <v>184</v>
      </c>
      <c r="H262">
        <v>2024</v>
      </c>
    </row>
    <row r="263" spans="1:8" x14ac:dyDescent="0.35">
      <c r="A263">
        <v>100000809</v>
      </c>
      <c r="B263" t="s">
        <v>89</v>
      </c>
      <c r="C263">
        <v>180</v>
      </c>
      <c r="D263">
        <v>0</v>
      </c>
      <c r="E263">
        <v>180</v>
      </c>
      <c r="F263" s="2">
        <v>0</v>
      </c>
      <c r="G263" t="s">
        <v>184</v>
      </c>
      <c r="H263">
        <v>2024</v>
      </c>
    </row>
    <row r="264" spans="1:8" x14ac:dyDescent="0.35">
      <c r="A264">
        <v>100004354</v>
      </c>
      <c r="B264" t="s">
        <v>72</v>
      </c>
      <c r="C264">
        <v>280</v>
      </c>
      <c r="D264">
        <v>0</v>
      </c>
      <c r="E264">
        <v>280</v>
      </c>
      <c r="F264" s="2">
        <v>0</v>
      </c>
      <c r="G264" t="s">
        <v>184</v>
      </c>
      <c r="H264">
        <v>2024</v>
      </c>
    </row>
    <row r="265" spans="1:8" x14ac:dyDescent="0.35">
      <c r="A265">
        <v>100002314</v>
      </c>
      <c r="B265" t="s">
        <v>74</v>
      </c>
      <c r="C265">
        <v>8</v>
      </c>
      <c r="D265">
        <v>0</v>
      </c>
      <c r="E265">
        <v>8</v>
      </c>
      <c r="F265" s="2">
        <v>0</v>
      </c>
      <c r="G265" t="s">
        <v>184</v>
      </c>
      <c r="H265">
        <v>2024</v>
      </c>
    </row>
    <row r="266" spans="1:8" x14ac:dyDescent="0.35">
      <c r="A266">
        <v>100002919</v>
      </c>
      <c r="B266" t="s">
        <v>75</v>
      </c>
      <c r="C266">
        <v>2500</v>
      </c>
      <c r="D266">
        <v>0</v>
      </c>
      <c r="E266">
        <v>2500</v>
      </c>
      <c r="F266" s="2">
        <v>0</v>
      </c>
      <c r="G266" t="s">
        <v>184</v>
      </c>
      <c r="H266">
        <v>2024</v>
      </c>
    </row>
    <row r="267" spans="1:8" x14ac:dyDescent="0.35">
      <c r="A267">
        <v>100002919</v>
      </c>
      <c r="B267" t="s">
        <v>75</v>
      </c>
      <c r="C267">
        <v>2450</v>
      </c>
      <c r="D267">
        <v>0</v>
      </c>
      <c r="E267">
        <v>2450</v>
      </c>
      <c r="F267" s="2">
        <v>0</v>
      </c>
      <c r="G267" t="s">
        <v>184</v>
      </c>
      <c r="H267">
        <v>2024</v>
      </c>
    </row>
    <row r="268" spans="1:8" x14ac:dyDescent="0.35">
      <c r="A268">
        <v>100004675</v>
      </c>
      <c r="B268" t="s">
        <v>83</v>
      </c>
      <c r="C268">
        <v>8</v>
      </c>
      <c r="D268">
        <v>0</v>
      </c>
      <c r="E268">
        <v>8</v>
      </c>
      <c r="F268" s="2">
        <v>0</v>
      </c>
      <c r="G268" t="s">
        <v>184</v>
      </c>
      <c r="H268">
        <v>2024</v>
      </c>
    </row>
    <row r="269" spans="1:8" x14ac:dyDescent="0.35">
      <c r="A269">
        <v>100003423</v>
      </c>
      <c r="B269" t="s">
        <v>186</v>
      </c>
      <c r="C269">
        <v>270</v>
      </c>
      <c r="D269">
        <v>0</v>
      </c>
      <c r="E269">
        <v>270</v>
      </c>
      <c r="F269" s="2">
        <v>0</v>
      </c>
      <c r="G269" t="s">
        <v>202</v>
      </c>
      <c r="H269">
        <v>2024</v>
      </c>
    </row>
    <row r="270" spans="1:8" x14ac:dyDescent="0.35">
      <c r="A270">
        <v>100000046</v>
      </c>
      <c r="B270" t="s">
        <v>6</v>
      </c>
      <c r="C270">
        <v>1300</v>
      </c>
      <c r="D270">
        <v>0</v>
      </c>
      <c r="E270">
        <v>1300</v>
      </c>
      <c r="F270" s="2">
        <v>0</v>
      </c>
      <c r="G270" t="s">
        <v>202</v>
      </c>
      <c r="H270">
        <v>2024</v>
      </c>
    </row>
    <row r="271" spans="1:8" x14ac:dyDescent="0.35">
      <c r="A271">
        <v>100003422</v>
      </c>
      <c r="B271" t="s">
        <v>108</v>
      </c>
      <c r="C271">
        <v>1200</v>
      </c>
      <c r="D271">
        <v>0</v>
      </c>
      <c r="E271">
        <v>1200</v>
      </c>
      <c r="F271" s="2">
        <v>0</v>
      </c>
      <c r="G271" t="s">
        <v>202</v>
      </c>
      <c r="H271">
        <v>2024</v>
      </c>
    </row>
    <row r="272" spans="1:8" x14ac:dyDescent="0.35">
      <c r="A272">
        <v>100001903</v>
      </c>
      <c r="B272" t="s">
        <v>155</v>
      </c>
      <c r="C272">
        <v>10</v>
      </c>
      <c r="D272">
        <v>0</v>
      </c>
      <c r="E272">
        <v>10</v>
      </c>
      <c r="F272" s="2">
        <v>0</v>
      </c>
      <c r="G272" t="s">
        <v>202</v>
      </c>
      <c r="H272">
        <v>2024</v>
      </c>
    </row>
    <row r="273" spans="1:8" x14ac:dyDescent="0.35">
      <c r="A273">
        <v>100002040</v>
      </c>
      <c r="B273" t="s">
        <v>24</v>
      </c>
      <c r="C273">
        <v>250</v>
      </c>
      <c r="D273">
        <v>0</v>
      </c>
      <c r="E273">
        <v>250</v>
      </c>
      <c r="F273" s="2">
        <v>0</v>
      </c>
      <c r="G273" t="s">
        <v>202</v>
      </c>
      <c r="H273">
        <v>2024</v>
      </c>
    </row>
    <row r="274" spans="1:8" x14ac:dyDescent="0.35">
      <c r="A274">
        <v>100000908</v>
      </c>
      <c r="B274" t="s">
        <v>43</v>
      </c>
      <c r="C274">
        <v>15000</v>
      </c>
      <c r="D274">
        <v>0</v>
      </c>
      <c r="E274">
        <v>15000</v>
      </c>
      <c r="F274" s="2">
        <v>0</v>
      </c>
      <c r="G274" t="s">
        <v>202</v>
      </c>
      <c r="H274">
        <v>2024</v>
      </c>
    </row>
    <row r="275" spans="1:8" x14ac:dyDescent="0.35">
      <c r="A275">
        <v>100005505</v>
      </c>
      <c r="B275" t="s">
        <v>90</v>
      </c>
      <c r="C275">
        <v>40</v>
      </c>
      <c r="D275">
        <v>0</v>
      </c>
      <c r="E275">
        <v>40</v>
      </c>
      <c r="F275" s="2">
        <v>0</v>
      </c>
      <c r="G275" t="s">
        <v>202</v>
      </c>
      <c r="H275">
        <v>2024</v>
      </c>
    </row>
    <row r="276" spans="1:8" x14ac:dyDescent="0.35">
      <c r="A276">
        <v>100000944</v>
      </c>
      <c r="B276" t="s">
        <v>48</v>
      </c>
      <c r="C276">
        <v>510</v>
      </c>
      <c r="D276">
        <v>0</v>
      </c>
      <c r="E276">
        <v>510</v>
      </c>
      <c r="F276" s="2">
        <v>0</v>
      </c>
      <c r="G276" t="s">
        <v>202</v>
      </c>
      <c r="H276">
        <v>2024</v>
      </c>
    </row>
    <row r="277" spans="1:8" x14ac:dyDescent="0.35">
      <c r="A277">
        <v>100003413</v>
      </c>
      <c r="B277" t="s">
        <v>138</v>
      </c>
      <c r="C277">
        <v>24</v>
      </c>
      <c r="D277">
        <v>0</v>
      </c>
      <c r="E277">
        <v>24</v>
      </c>
      <c r="F277" s="2">
        <v>0</v>
      </c>
      <c r="G277" t="s">
        <v>202</v>
      </c>
      <c r="H277">
        <v>2024</v>
      </c>
    </row>
    <row r="278" spans="1:8" x14ac:dyDescent="0.35">
      <c r="A278">
        <v>100002314</v>
      </c>
      <c r="B278" t="s">
        <v>74</v>
      </c>
      <c r="C278">
        <v>8</v>
      </c>
      <c r="D278">
        <v>0</v>
      </c>
      <c r="E278">
        <v>8</v>
      </c>
      <c r="F278" s="2">
        <v>0</v>
      </c>
      <c r="G278" t="s">
        <v>202</v>
      </c>
      <c r="H278">
        <v>2024</v>
      </c>
    </row>
    <row r="279" spans="1:8" x14ac:dyDescent="0.35">
      <c r="A279">
        <v>100004493</v>
      </c>
      <c r="B279" t="s">
        <v>77</v>
      </c>
      <c r="C279">
        <v>28</v>
      </c>
      <c r="D279">
        <v>0</v>
      </c>
      <c r="E279">
        <v>28</v>
      </c>
      <c r="F279" s="2">
        <v>0</v>
      </c>
      <c r="G279" t="s">
        <v>202</v>
      </c>
      <c r="H279">
        <v>2024</v>
      </c>
    </row>
    <row r="280" spans="1:8" x14ac:dyDescent="0.35">
      <c r="A280">
        <v>100001466</v>
      </c>
      <c r="B280" t="s">
        <v>84</v>
      </c>
      <c r="C280">
        <v>4200</v>
      </c>
      <c r="D280">
        <v>0</v>
      </c>
      <c r="E280">
        <v>4200</v>
      </c>
      <c r="F280" s="2">
        <v>0</v>
      </c>
      <c r="G280" t="s">
        <v>202</v>
      </c>
      <c r="H280">
        <v>2024</v>
      </c>
    </row>
    <row r="281" spans="1:8" x14ac:dyDescent="0.35">
      <c r="A281">
        <v>100002092</v>
      </c>
      <c r="B281" t="s">
        <v>12</v>
      </c>
      <c r="C281">
        <v>60</v>
      </c>
      <c r="D281">
        <v>0</v>
      </c>
      <c r="E281">
        <v>60</v>
      </c>
      <c r="F281" s="2">
        <v>0</v>
      </c>
      <c r="G281" t="s">
        <v>187</v>
      </c>
      <c r="H281">
        <v>2024</v>
      </c>
    </row>
    <row r="282" spans="1:8" x14ac:dyDescent="0.35">
      <c r="A282">
        <v>100003422</v>
      </c>
      <c r="B282" t="s">
        <v>108</v>
      </c>
      <c r="C282">
        <v>4800</v>
      </c>
      <c r="D282">
        <v>0</v>
      </c>
      <c r="E282">
        <v>4800</v>
      </c>
      <c r="F282" s="2">
        <v>0</v>
      </c>
      <c r="G282" t="s">
        <v>187</v>
      </c>
      <c r="H282">
        <v>2024</v>
      </c>
    </row>
    <row r="283" spans="1:8" x14ac:dyDescent="0.35">
      <c r="A283">
        <v>100002037</v>
      </c>
      <c r="B283" t="s">
        <v>21</v>
      </c>
      <c r="C283">
        <v>1200</v>
      </c>
      <c r="D283">
        <v>0</v>
      </c>
      <c r="E283">
        <v>1200</v>
      </c>
      <c r="F283" s="2">
        <v>0</v>
      </c>
      <c r="G283" t="s">
        <v>187</v>
      </c>
      <c r="H283">
        <v>2024</v>
      </c>
    </row>
    <row r="284" spans="1:8" x14ac:dyDescent="0.35">
      <c r="A284">
        <v>100000535</v>
      </c>
      <c r="B284" t="s">
        <v>182</v>
      </c>
      <c r="C284">
        <v>200</v>
      </c>
      <c r="D284">
        <v>0</v>
      </c>
      <c r="E284">
        <v>200</v>
      </c>
      <c r="F284" s="2">
        <v>0</v>
      </c>
      <c r="G284" t="s">
        <v>187</v>
      </c>
      <c r="H284">
        <v>2024</v>
      </c>
    </row>
    <row r="285" spans="1:8" x14ac:dyDescent="0.35">
      <c r="A285">
        <v>100002361</v>
      </c>
      <c r="B285" t="s">
        <v>158</v>
      </c>
      <c r="C285">
        <v>20</v>
      </c>
      <c r="D285">
        <v>0</v>
      </c>
      <c r="E285">
        <v>20</v>
      </c>
      <c r="F285" s="2">
        <v>0</v>
      </c>
      <c r="G285" t="s">
        <v>187</v>
      </c>
      <c r="H285">
        <v>2024</v>
      </c>
    </row>
    <row r="286" spans="1:8" x14ac:dyDescent="0.35">
      <c r="A286">
        <v>100003431</v>
      </c>
      <c r="B286" t="s">
        <v>42</v>
      </c>
      <c r="C286">
        <v>1500</v>
      </c>
      <c r="D286">
        <v>0</v>
      </c>
      <c r="E286">
        <v>1500</v>
      </c>
      <c r="F286" s="2">
        <v>0</v>
      </c>
      <c r="G286" t="s">
        <v>187</v>
      </c>
      <c r="H286">
        <v>2024</v>
      </c>
    </row>
    <row r="287" spans="1:8" x14ac:dyDescent="0.35">
      <c r="A287">
        <v>100004493</v>
      </c>
      <c r="B287" t="s">
        <v>77</v>
      </c>
      <c r="C287">
        <v>28</v>
      </c>
      <c r="D287">
        <v>0</v>
      </c>
      <c r="E287">
        <v>28</v>
      </c>
      <c r="F287" s="2">
        <v>0</v>
      </c>
      <c r="G287" t="s">
        <v>187</v>
      </c>
      <c r="H287">
        <v>2024</v>
      </c>
    </row>
    <row r="288" spans="1:8" x14ac:dyDescent="0.35">
      <c r="A288">
        <v>100001466</v>
      </c>
      <c r="B288" t="s">
        <v>84</v>
      </c>
      <c r="C288">
        <v>4200</v>
      </c>
      <c r="D288">
        <v>0</v>
      </c>
      <c r="E288">
        <v>4200</v>
      </c>
      <c r="F288" s="2">
        <v>0</v>
      </c>
      <c r="G288" t="s">
        <v>187</v>
      </c>
      <c r="H288">
        <v>2024</v>
      </c>
    </row>
    <row r="289" spans="1:8" x14ac:dyDescent="0.35">
      <c r="A289">
        <v>100000115</v>
      </c>
      <c r="B289" t="s">
        <v>208</v>
      </c>
      <c r="C289">
        <v>100</v>
      </c>
      <c r="D289">
        <v>0</v>
      </c>
      <c r="E289">
        <v>100</v>
      </c>
      <c r="F289" s="2">
        <v>0</v>
      </c>
      <c r="G289" t="s">
        <v>201</v>
      </c>
      <c r="H289">
        <v>2025</v>
      </c>
    </row>
    <row r="290" spans="1:8" x14ac:dyDescent="0.35">
      <c r="A290">
        <v>100000170</v>
      </c>
      <c r="B290" t="s">
        <v>10</v>
      </c>
      <c r="C290">
        <v>200</v>
      </c>
      <c r="D290">
        <v>0</v>
      </c>
      <c r="E290">
        <v>200</v>
      </c>
      <c r="F290" s="2">
        <v>0</v>
      </c>
      <c r="G290" t="s">
        <v>201</v>
      </c>
      <c r="H290">
        <v>2025</v>
      </c>
    </row>
    <row r="291" spans="1:8" x14ac:dyDescent="0.35">
      <c r="A291">
        <v>100000309</v>
      </c>
      <c r="B291" t="s">
        <v>188</v>
      </c>
      <c r="C291">
        <v>1500</v>
      </c>
      <c r="D291">
        <v>0</v>
      </c>
      <c r="E291">
        <v>1500</v>
      </c>
      <c r="F291" s="2">
        <v>0</v>
      </c>
      <c r="G291" t="s">
        <v>201</v>
      </c>
      <c r="H291">
        <v>2025</v>
      </c>
    </row>
    <row r="292" spans="1:8" x14ac:dyDescent="0.35">
      <c r="A292">
        <v>100000368</v>
      </c>
      <c r="B292" t="s">
        <v>110</v>
      </c>
      <c r="C292">
        <v>100</v>
      </c>
      <c r="D292">
        <v>0</v>
      </c>
      <c r="E292">
        <v>100</v>
      </c>
      <c r="F292" s="2">
        <v>0</v>
      </c>
      <c r="G292" t="s">
        <v>201</v>
      </c>
      <c r="H292">
        <v>2025</v>
      </c>
    </row>
    <row r="293" spans="1:8" x14ac:dyDescent="0.35">
      <c r="A293">
        <v>100000389</v>
      </c>
      <c r="B293" t="s">
        <v>189</v>
      </c>
      <c r="C293">
        <v>32</v>
      </c>
      <c r="D293">
        <v>0</v>
      </c>
      <c r="E293">
        <v>32</v>
      </c>
      <c r="F293" s="2">
        <v>0</v>
      </c>
      <c r="G293" t="s">
        <v>201</v>
      </c>
      <c r="H293">
        <v>2025</v>
      </c>
    </row>
    <row r="294" spans="1:8" x14ac:dyDescent="0.35">
      <c r="A294">
        <v>100002208</v>
      </c>
      <c r="B294" t="s">
        <v>113</v>
      </c>
      <c r="C294">
        <v>50</v>
      </c>
      <c r="D294">
        <v>0</v>
      </c>
      <c r="E294">
        <v>50</v>
      </c>
      <c r="F294" s="2">
        <v>0</v>
      </c>
      <c r="G294" t="s">
        <v>201</v>
      </c>
      <c r="H294">
        <v>2025</v>
      </c>
    </row>
    <row r="295" spans="1:8" x14ac:dyDescent="0.35">
      <c r="A295">
        <v>100002308</v>
      </c>
      <c r="B295" t="s">
        <v>210</v>
      </c>
      <c r="C295">
        <v>3</v>
      </c>
      <c r="D295">
        <v>0</v>
      </c>
      <c r="E295">
        <v>3</v>
      </c>
      <c r="F295" s="2">
        <v>0</v>
      </c>
      <c r="G295" t="s">
        <v>201</v>
      </c>
      <c r="H295">
        <v>2025</v>
      </c>
    </row>
    <row r="296" spans="1:8" x14ac:dyDescent="0.35">
      <c r="A296">
        <v>100002037</v>
      </c>
      <c r="B296" t="s">
        <v>21</v>
      </c>
      <c r="C296">
        <v>720</v>
      </c>
      <c r="D296">
        <v>0</v>
      </c>
      <c r="E296">
        <v>720</v>
      </c>
      <c r="F296" s="2">
        <v>0</v>
      </c>
      <c r="G296" t="s">
        <v>201</v>
      </c>
      <c r="H296">
        <v>2025</v>
      </c>
    </row>
    <row r="297" spans="1:8" x14ac:dyDescent="0.35">
      <c r="A297">
        <v>100002903</v>
      </c>
      <c r="B297" t="s">
        <v>192</v>
      </c>
      <c r="C297">
        <v>30</v>
      </c>
      <c r="D297">
        <v>0</v>
      </c>
      <c r="E297">
        <v>30</v>
      </c>
      <c r="F297" s="2">
        <v>0</v>
      </c>
      <c r="G297" t="s">
        <v>201</v>
      </c>
      <c r="H297">
        <v>2025</v>
      </c>
    </row>
    <row r="298" spans="1:8" x14ac:dyDescent="0.35">
      <c r="A298">
        <v>100000693</v>
      </c>
      <c r="B298" t="s">
        <v>121</v>
      </c>
      <c r="C298">
        <v>100</v>
      </c>
      <c r="D298">
        <v>0</v>
      </c>
      <c r="E298">
        <v>100</v>
      </c>
      <c r="F298" s="2">
        <v>0</v>
      </c>
      <c r="G298" t="s">
        <v>201</v>
      </c>
      <c r="H298">
        <v>2025</v>
      </c>
    </row>
    <row r="299" spans="1:8" x14ac:dyDescent="0.35">
      <c r="A299">
        <v>100000763</v>
      </c>
      <c r="B299" t="s">
        <v>179</v>
      </c>
      <c r="C299">
        <v>200</v>
      </c>
      <c r="D299">
        <v>0</v>
      </c>
      <c r="E299">
        <v>200</v>
      </c>
      <c r="F299" s="2">
        <v>0</v>
      </c>
      <c r="G299" t="s">
        <v>201</v>
      </c>
      <c r="H299">
        <v>2025</v>
      </c>
    </row>
    <row r="300" spans="1:8" x14ac:dyDescent="0.35">
      <c r="A300">
        <v>100006440</v>
      </c>
      <c r="B300" t="s">
        <v>161</v>
      </c>
      <c r="C300">
        <v>1</v>
      </c>
      <c r="D300">
        <v>0</v>
      </c>
      <c r="E300">
        <v>1</v>
      </c>
      <c r="F300" s="2">
        <v>0</v>
      </c>
      <c r="G300" t="s">
        <v>201</v>
      </c>
      <c r="H300">
        <v>2025</v>
      </c>
    </row>
    <row r="301" spans="1:8" x14ac:dyDescent="0.35">
      <c r="A301">
        <v>100000908</v>
      </c>
      <c r="B301" t="s">
        <v>43</v>
      </c>
      <c r="C301">
        <v>10380</v>
      </c>
      <c r="D301">
        <v>0</v>
      </c>
      <c r="E301">
        <v>10380</v>
      </c>
      <c r="F301" s="2">
        <v>0</v>
      </c>
      <c r="G301" t="s">
        <v>201</v>
      </c>
      <c r="H301">
        <v>2025</v>
      </c>
    </row>
    <row r="302" spans="1:8" x14ac:dyDescent="0.35">
      <c r="A302">
        <v>100000964</v>
      </c>
      <c r="B302" t="s">
        <v>44</v>
      </c>
      <c r="C302">
        <v>400</v>
      </c>
      <c r="D302">
        <v>0</v>
      </c>
      <c r="E302">
        <v>400</v>
      </c>
      <c r="F302" s="2">
        <v>0</v>
      </c>
      <c r="G302" t="s">
        <v>201</v>
      </c>
      <c r="H302">
        <v>2025</v>
      </c>
    </row>
    <row r="303" spans="1:8" x14ac:dyDescent="0.35">
      <c r="A303">
        <v>100001084</v>
      </c>
      <c r="B303" t="s">
        <v>57</v>
      </c>
      <c r="C303">
        <v>180</v>
      </c>
      <c r="D303">
        <v>0</v>
      </c>
      <c r="E303">
        <v>180</v>
      </c>
      <c r="F303" s="2">
        <v>0</v>
      </c>
      <c r="G303" t="s">
        <v>201</v>
      </c>
      <c r="H303">
        <v>2025</v>
      </c>
    </row>
    <row r="304" spans="1:8" x14ac:dyDescent="0.35">
      <c r="A304">
        <v>100003413</v>
      </c>
      <c r="B304" t="s">
        <v>138</v>
      </c>
      <c r="C304">
        <v>15</v>
      </c>
      <c r="D304">
        <v>0</v>
      </c>
      <c r="E304">
        <v>15</v>
      </c>
      <c r="F304" s="2">
        <v>0</v>
      </c>
      <c r="G304" t="s">
        <v>201</v>
      </c>
      <c r="H304">
        <v>2025</v>
      </c>
    </row>
    <row r="305" spans="1:8" x14ac:dyDescent="0.35">
      <c r="A305">
        <v>100001199</v>
      </c>
      <c r="B305" t="s">
        <v>164</v>
      </c>
      <c r="C305">
        <v>500</v>
      </c>
      <c r="D305">
        <v>0</v>
      </c>
      <c r="E305">
        <v>500</v>
      </c>
      <c r="F305" s="2">
        <v>0</v>
      </c>
      <c r="G305" t="s">
        <v>201</v>
      </c>
      <c r="H305">
        <v>2025</v>
      </c>
    </row>
    <row r="306" spans="1:8" x14ac:dyDescent="0.35">
      <c r="A306">
        <v>100001358</v>
      </c>
      <c r="B306" t="s">
        <v>144</v>
      </c>
      <c r="C306">
        <v>10</v>
      </c>
      <c r="D306">
        <v>0</v>
      </c>
      <c r="E306">
        <v>10</v>
      </c>
      <c r="F306" s="2">
        <v>0</v>
      </c>
      <c r="G306" t="s">
        <v>201</v>
      </c>
      <c r="H306">
        <v>2025</v>
      </c>
    </row>
    <row r="307" spans="1:8" x14ac:dyDescent="0.35">
      <c r="A307">
        <v>100001466</v>
      </c>
      <c r="B307" t="s">
        <v>84</v>
      </c>
      <c r="C307">
        <v>3240</v>
      </c>
      <c r="D307">
        <v>0</v>
      </c>
      <c r="E307">
        <v>3240</v>
      </c>
      <c r="F307" s="2">
        <v>0</v>
      </c>
      <c r="G307" t="s">
        <v>201</v>
      </c>
      <c r="H307">
        <v>2025</v>
      </c>
    </row>
    <row r="308" spans="1:8" x14ac:dyDescent="0.35">
      <c r="A308">
        <v>100002295</v>
      </c>
      <c r="B308" t="s">
        <v>213</v>
      </c>
      <c r="C308">
        <v>800</v>
      </c>
      <c r="D308">
        <v>0</v>
      </c>
      <c r="E308">
        <v>800</v>
      </c>
      <c r="F308" s="2">
        <v>0</v>
      </c>
      <c r="G308" t="s">
        <v>201</v>
      </c>
      <c r="H308">
        <v>2025</v>
      </c>
    </row>
    <row r="309" spans="1:8" x14ac:dyDescent="0.35">
      <c r="A309">
        <v>100000809</v>
      </c>
      <c r="B309" t="s">
        <v>89</v>
      </c>
      <c r="C309">
        <v>300</v>
      </c>
      <c r="D309">
        <v>0</v>
      </c>
      <c r="E309">
        <v>300</v>
      </c>
      <c r="F309" s="2">
        <v>0</v>
      </c>
      <c r="G309" t="s">
        <v>215</v>
      </c>
      <c r="H309">
        <v>2025</v>
      </c>
    </row>
    <row r="310" spans="1:8" x14ac:dyDescent="0.35">
      <c r="A310">
        <v>100000908</v>
      </c>
      <c r="B310" t="s">
        <v>43</v>
      </c>
      <c r="C310">
        <v>10380</v>
      </c>
      <c r="D310">
        <v>0</v>
      </c>
      <c r="E310">
        <v>10380</v>
      </c>
      <c r="F310" s="2">
        <v>0</v>
      </c>
      <c r="G310" t="s">
        <v>215</v>
      </c>
      <c r="H310">
        <v>2025</v>
      </c>
    </row>
    <row r="311" spans="1:8" x14ac:dyDescent="0.35">
      <c r="A311">
        <v>100003439</v>
      </c>
      <c r="B311" t="s">
        <v>133</v>
      </c>
      <c r="C311">
        <v>1120</v>
      </c>
      <c r="D311">
        <v>0</v>
      </c>
      <c r="E311">
        <v>1120</v>
      </c>
      <c r="F311" s="2">
        <v>0</v>
      </c>
      <c r="G311" t="s">
        <v>215</v>
      </c>
      <c r="H311">
        <v>2025</v>
      </c>
    </row>
    <row r="312" spans="1:8" x14ac:dyDescent="0.35">
      <c r="A312">
        <v>100001084</v>
      </c>
      <c r="B312" t="s">
        <v>57</v>
      </c>
      <c r="C312">
        <v>180</v>
      </c>
      <c r="D312">
        <v>0</v>
      </c>
      <c r="E312">
        <v>180</v>
      </c>
      <c r="F312" s="2">
        <v>0</v>
      </c>
      <c r="G312" t="s">
        <v>215</v>
      </c>
      <c r="H312">
        <v>2025</v>
      </c>
    </row>
    <row r="313" spans="1:8" x14ac:dyDescent="0.35">
      <c r="A313">
        <v>100002254</v>
      </c>
      <c r="B313" t="s">
        <v>60</v>
      </c>
      <c r="C313">
        <v>25</v>
      </c>
      <c r="D313">
        <v>0</v>
      </c>
      <c r="E313">
        <v>25</v>
      </c>
      <c r="F313" s="2">
        <v>0</v>
      </c>
      <c r="G313" t="s">
        <v>215</v>
      </c>
      <c r="H313">
        <v>2025</v>
      </c>
    </row>
    <row r="314" spans="1:8" x14ac:dyDescent="0.35">
      <c r="A314">
        <v>100003904</v>
      </c>
      <c r="B314" t="s">
        <v>143</v>
      </c>
      <c r="C314">
        <v>30</v>
      </c>
      <c r="D314">
        <v>0</v>
      </c>
      <c r="E314">
        <v>30</v>
      </c>
      <c r="F314" s="2">
        <v>0</v>
      </c>
      <c r="G314" t="s">
        <v>215</v>
      </c>
      <c r="H314">
        <v>2025</v>
      </c>
    </row>
    <row r="315" spans="1:8" x14ac:dyDescent="0.35">
      <c r="A315">
        <v>100002269</v>
      </c>
      <c r="B315" t="s">
        <v>82</v>
      </c>
      <c r="C315">
        <v>8</v>
      </c>
      <c r="D315">
        <v>0</v>
      </c>
      <c r="E315">
        <v>8</v>
      </c>
      <c r="F315" s="2">
        <v>0</v>
      </c>
      <c r="G315" t="s">
        <v>215</v>
      </c>
      <c r="H315">
        <v>2025</v>
      </c>
    </row>
    <row r="316" spans="1:8" x14ac:dyDescent="0.35">
      <c r="A316">
        <v>100001547</v>
      </c>
      <c r="B316" t="s">
        <v>147</v>
      </c>
      <c r="C316">
        <v>120</v>
      </c>
      <c r="D316">
        <v>0</v>
      </c>
      <c r="E316">
        <v>120</v>
      </c>
      <c r="F316" s="2">
        <v>0</v>
      </c>
      <c r="G316" t="s">
        <v>215</v>
      </c>
      <c r="H316">
        <v>2025</v>
      </c>
    </row>
    <row r="317" spans="1:8" x14ac:dyDescent="0.35">
      <c r="A317">
        <v>100000194</v>
      </c>
      <c r="B317" t="s">
        <v>105</v>
      </c>
      <c r="C317">
        <v>200</v>
      </c>
      <c r="D317">
        <v>0</v>
      </c>
      <c r="E317">
        <v>200</v>
      </c>
      <c r="F317" s="2">
        <v>0</v>
      </c>
      <c r="G317" t="s">
        <v>198</v>
      </c>
      <c r="H317">
        <v>2025</v>
      </c>
    </row>
    <row r="318" spans="1:8" x14ac:dyDescent="0.35">
      <c r="A318">
        <v>100000358</v>
      </c>
      <c r="B318" t="s">
        <v>109</v>
      </c>
      <c r="C318">
        <v>300</v>
      </c>
      <c r="D318">
        <v>0</v>
      </c>
      <c r="E318">
        <v>300</v>
      </c>
      <c r="F318" s="2">
        <v>0</v>
      </c>
      <c r="G318" t="s">
        <v>198</v>
      </c>
      <c r="H318">
        <v>2025</v>
      </c>
    </row>
    <row r="319" spans="1:8" x14ac:dyDescent="0.35">
      <c r="A319">
        <v>100003905</v>
      </c>
      <c r="B319" t="s">
        <v>191</v>
      </c>
      <c r="C319">
        <v>25</v>
      </c>
      <c r="D319">
        <v>0</v>
      </c>
      <c r="E319">
        <v>25</v>
      </c>
      <c r="F319" s="2">
        <v>0</v>
      </c>
      <c r="G319" t="s">
        <v>198</v>
      </c>
      <c r="H319">
        <v>2025</v>
      </c>
    </row>
    <row r="320" spans="1:8" x14ac:dyDescent="0.35">
      <c r="A320">
        <v>100002037</v>
      </c>
      <c r="B320" t="s">
        <v>21</v>
      </c>
      <c r="C320">
        <v>720</v>
      </c>
      <c r="D320">
        <v>0</v>
      </c>
      <c r="E320">
        <v>720</v>
      </c>
      <c r="F320" s="2">
        <v>0</v>
      </c>
      <c r="G320" t="s">
        <v>198</v>
      </c>
      <c r="H320">
        <v>2025</v>
      </c>
    </row>
    <row r="321" spans="1:8" x14ac:dyDescent="0.35">
      <c r="A321">
        <v>100005505</v>
      </c>
      <c r="B321" t="s">
        <v>90</v>
      </c>
      <c r="C321">
        <v>120</v>
      </c>
      <c r="D321">
        <v>0</v>
      </c>
      <c r="E321">
        <v>120</v>
      </c>
      <c r="F321" s="2">
        <v>0</v>
      </c>
      <c r="G321" t="s">
        <v>198</v>
      </c>
      <c r="H321">
        <v>2025</v>
      </c>
    </row>
    <row r="322" spans="1:8" x14ac:dyDescent="0.35">
      <c r="A322">
        <v>100005299</v>
      </c>
      <c r="B322" t="s">
        <v>55</v>
      </c>
      <c r="C322">
        <v>5</v>
      </c>
      <c r="D322">
        <v>0</v>
      </c>
      <c r="E322">
        <v>5</v>
      </c>
      <c r="F322" s="2">
        <v>0</v>
      </c>
      <c r="G322" t="s">
        <v>198</v>
      </c>
      <c r="H322">
        <v>2025</v>
      </c>
    </row>
    <row r="323" spans="1:8" x14ac:dyDescent="0.35">
      <c r="A323">
        <v>100001084</v>
      </c>
      <c r="B323" t="s">
        <v>57</v>
      </c>
      <c r="C323">
        <v>180</v>
      </c>
      <c r="D323">
        <v>0</v>
      </c>
      <c r="E323">
        <v>180</v>
      </c>
      <c r="F323" s="2">
        <v>0</v>
      </c>
      <c r="G323" t="s">
        <v>198</v>
      </c>
      <c r="H323">
        <v>2025</v>
      </c>
    </row>
    <row r="324" spans="1:8" x14ac:dyDescent="0.35">
      <c r="A324">
        <v>100002254</v>
      </c>
      <c r="B324" t="s">
        <v>60</v>
      </c>
      <c r="C324">
        <v>25</v>
      </c>
      <c r="D324">
        <v>0</v>
      </c>
      <c r="E324">
        <v>25</v>
      </c>
      <c r="F324" s="2">
        <v>0</v>
      </c>
      <c r="G324" t="s">
        <v>198</v>
      </c>
      <c r="H324">
        <v>2025</v>
      </c>
    </row>
    <row r="325" spans="1:8" x14ac:dyDescent="0.35">
      <c r="A325">
        <v>100001124</v>
      </c>
      <c r="B325" t="s">
        <v>212</v>
      </c>
      <c r="C325">
        <v>3200</v>
      </c>
      <c r="D325">
        <v>0</v>
      </c>
      <c r="E325">
        <v>3200</v>
      </c>
      <c r="F325" s="2">
        <v>0</v>
      </c>
      <c r="G325" t="s">
        <v>198</v>
      </c>
      <c r="H325">
        <v>2025</v>
      </c>
    </row>
    <row r="326" spans="1:8" x14ac:dyDescent="0.35">
      <c r="A326">
        <v>100001466</v>
      </c>
      <c r="B326" t="s">
        <v>84</v>
      </c>
      <c r="C326">
        <v>3240</v>
      </c>
      <c r="D326">
        <v>0</v>
      </c>
      <c r="E326">
        <v>3240</v>
      </c>
      <c r="F326" s="2">
        <v>0</v>
      </c>
      <c r="G326" t="s">
        <v>198</v>
      </c>
      <c r="H326">
        <v>2025</v>
      </c>
    </row>
    <row r="327" spans="1:8" x14ac:dyDescent="0.35">
      <c r="A327">
        <v>100001603</v>
      </c>
      <c r="B327" t="s">
        <v>181</v>
      </c>
      <c r="C327">
        <v>20</v>
      </c>
      <c r="D327">
        <v>0</v>
      </c>
      <c r="E327">
        <v>20</v>
      </c>
      <c r="F327" s="2">
        <v>0</v>
      </c>
      <c r="G327" t="s">
        <v>198</v>
      </c>
      <c r="H327">
        <v>2025</v>
      </c>
    </row>
    <row r="328" spans="1:8" x14ac:dyDescent="0.35">
      <c r="A328">
        <v>100003423</v>
      </c>
      <c r="B328" t="s">
        <v>186</v>
      </c>
      <c r="C328">
        <v>300</v>
      </c>
      <c r="D328">
        <v>0</v>
      </c>
      <c r="E328">
        <v>300</v>
      </c>
      <c r="F328" s="2">
        <v>0</v>
      </c>
      <c r="G328" t="s">
        <v>198</v>
      </c>
      <c r="H328">
        <v>2025</v>
      </c>
    </row>
    <row r="329" spans="1:8" x14ac:dyDescent="0.35">
      <c r="A329">
        <v>100000368</v>
      </c>
      <c r="B329" t="s">
        <v>110</v>
      </c>
      <c r="C329">
        <v>100</v>
      </c>
      <c r="D329">
        <v>0</v>
      </c>
      <c r="E329">
        <v>100</v>
      </c>
      <c r="F329" s="2">
        <v>0</v>
      </c>
      <c r="G329" t="s">
        <v>198</v>
      </c>
      <c r="H329">
        <v>2025</v>
      </c>
    </row>
    <row r="330" spans="1:8" x14ac:dyDescent="0.35">
      <c r="A330">
        <v>100002208</v>
      </c>
      <c r="B330" t="s">
        <v>113</v>
      </c>
      <c r="C330">
        <v>50</v>
      </c>
      <c r="D330">
        <v>0</v>
      </c>
      <c r="E330">
        <v>50</v>
      </c>
      <c r="F330" s="2">
        <v>0</v>
      </c>
      <c r="G330" t="s">
        <v>198</v>
      </c>
      <c r="H330">
        <v>2025</v>
      </c>
    </row>
    <row r="331" spans="1:8" x14ac:dyDescent="0.35">
      <c r="A331">
        <v>100000553</v>
      </c>
      <c r="B331" t="s">
        <v>116</v>
      </c>
      <c r="C331">
        <v>50</v>
      </c>
      <c r="D331">
        <v>0</v>
      </c>
      <c r="E331">
        <v>50</v>
      </c>
      <c r="F331" s="2">
        <v>0</v>
      </c>
      <c r="G331" t="s">
        <v>198</v>
      </c>
      <c r="H331">
        <v>2025</v>
      </c>
    </row>
    <row r="332" spans="1:8" x14ac:dyDescent="0.35">
      <c r="A332">
        <v>100002903</v>
      </c>
      <c r="B332" t="s">
        <v>192</v>
      </c>
      <c r="C332">
        <v>30</v>
      </c>
      <c r="D332">
        <v>0</v>
      </c>
      <c r="E332">
        <v>30</v>
      </c>
      <c r="F332" s="2">
        <v>0</v>
      </c>
      <c r="G332" t="s">
        <v>198</v>
      </c>
      <c r="H332">
        <v>2025</v>
      </c>
    </row>
    <row r="333" spans="1:8" x14ac:dyDescent="0.35">
      <c r="A333">
        <v>100001184</v>
      </c>
      <c r="B333" t="s">
        <v>168</v>
      </c>
      <c r="C333">
        <v>100</v>
      </c>
      <c r="D333">
        <v>0</v>
      </c>
      <c r="E333">
        <v>100</v>
      </c>
      <c r="F333" s="2">
        <v>0</v>
      </c>
      <c r="G333" t="s">
        <v>198</v>
      </c>
      <c r="H333">
        <v>2025</v>
      </c>
    </row>
    <row r="334" spans="1:8" x14ac:dyDescent="0.35">
      <c r="A334">
        <v>100002295</v>
      </c>
      <c r="B334" t="s">
        <v>213</v>
      </c>
      <c r="C334">
        <v>800</v>
      </c>
      <c r="D334">
        <v>0</v>
      </c>
      <c r="E334">
        <v>800</v>
      </c>
      <c r="F334" s="2">
        <v>0</v>
      </c>
      <c r="G334" t="s">
        <v>198</v>
      </c>
      <c r="H334">
        <v>2025</v>
      </c>
    </row>
    <row r="335" spans="1:8" x14ac:dyDescent="0.35">
      <c r="A335">
        <v>100001568</v>
      </c>
      <c r="B335" t="s">
        <v>150</v>
      </c>
      <c r="C335">
        <v>59</v>
      </c>
      <c r="D335">
        <v>0</v>
      </c>
      <c r="E335">
        <v>59</v>
      </c>
      <c r="F335" s="2">
        <v>0</v>
      </c>
      <c r="G335" t="s">
        <v>198</v>
      </c>
      <c r="H335">
        <v>2025</v>
      </c>
    </row>
    <row r="336" spans="1:8" x14ac:dyDescent="0.35">
      <c r="A336">
        <v>100003423</v>
      </c>
      <c r="B336" t="s">
        <v>186</v>
      </c>
      <c r="C336">
        <v>300</v>
      </c>
      <c r="D336">
        <v>0</v>
      </c>
      <c r="E336">
        <v>300</v>
      </c>
      <c r="F336" s="2">
        <v>0</v>
      </c>
      <c r="G336" t="s">
        <v>91</v>
      </c>
      <c r="H336">
        <v>2025</v>
      </c>
    </row>
    <row r="337" spans="1:8" x14ac:dyDescent="0.35">
      <c r="A337">
        <v>100000085</v>
      </c>
      <c r="B337" t="s">
        <v>7</v>
      </c>
      <c r="C337">
        <v>110</v>
      </c>
      <c r="D337">
        <v>0</v>
      </c>
      <c r="E337">
        <v>110</v>
      </c>
      <c r="F337" s="2">
        <v>0</v>
      </c>
      <c r="G337" t="s">
        <v>91</v>
      </c>
      <c r="H337">
        <v>2025</v>
      </c>
    </row>
    <row r="338" spans="1:8" x14ac:dyDescent="0.35">
      <c r="A338">
        <v>100005325</v>
      </c>
      <c r="B338" t="s">
        <v>103</v>
      </c>
      <c r="C338">
        <v>896</v>
      </c>
      <c r="D338">
        <v>0</v>
      </c>
      <c r="E338">
        <v>896</v>
      </c>
      <c r="F338" s="2">
        <v>0</v>
      </c>
      <c r="G338" t="s">
        <v>91</v>
      </c>
      <c r="H338">
        <v>2025</v>
      </c>
    </row>
    <row r="339" spans="1:8" x14ac:dyDescent="0.35">
      <c r="A339">
        <v>100000115</v>
      </c>
      <c r="B339" t="s">
        <v>208</v>
      </c>
      <c r="C339">
        <v>100</v>
      </c>
      <c r="D339">
        <v>0</v>
      </c>
      <c r="E339">
        <v>100</v>
      </c>
      <c r="F339" s="2">
        <v>0</v>
      </c>
      <c r="G339" t="s">
        <v>91</v>
      </c>
      <c r="H339">
        <v>2025</v>
      </c>
    </row>
    <row r="340" spans="1:8" x14ac:dyDescent="0.35">
      <c r="A340">
        <v>100000126</v>
      </c>
      <c r="B340" t="s">
        <v>8</v>
      </c>
      <c r="C340">
        <v>1000</v>
      </c>
      <c r="D340">
        <v>0</v>
      </c>
      <c r="E340">
        <v>1000</v>
      </c>
      <c r="F340" s="2">
        <v>0</v>
      </c>
      <c r="G340" t="s">
        <v>91</v>
      </c>
      <c r="H340">
        <v>2025</v>
      </c>
    </row>
    <row r="341" spans="1:8" x14ac:dyDescent="0.35">
      <c r="A341">
        <v>100003406</v>
      </c>
      <c r="B341" t="s">
        <v>209</v>
      </c>
      <c r="C341">
        <v>5</v>
      </c>
      <c r="D341">
        <v>0</v>
      </c>
      <c r="E341">
        <v>5</v>
      </c>
      <c r="F341" s="2">
        <v>0</v>
      </c>
      <c r="G341" t="s">
        <v>91</v>
      </c>
      <c r="H341">
        <v>2025</v>
      </c>
    </row>
    <row r="342" spans="1:8" x14ac:dyDescent="0.35">
      <c r="A342">
        <v>100005282</v>
      </c>
      <c r="B342" t="s">
        <v>178</v>
      </c>
      <c r="C342">
        <v>40</v>
      </c>
      <c r="D342">
        <v>0</v>
      </c>
      <c r="E342">
        <v>40</v>
      </c>
      <c r="F342" s="2">
        <v>0</v>
      </c>
      <c r="G342" t="s">
        <v>91</v>
      </c>
      <c r="H342">
        <v>2025</v>
      </c>
    </row>
    <row r="343" spans="1:8" x14ac:dyDescent="0.35">
      <c r="A343">
        <v>100005535</v>
      </c>
      <c r="B343" t="s">
        <v>165</v>
      </c>
      <c r="C343">
        <v>50</v>
      </c>
      <c r="D343">
        <v>0</v>
      </c>
      <c r="E343">
        <v>50</v>
      </c>
      <c r="F343" s="2">
        <v>0</v>
      </c>
      <c r="G343" t="s">
        <v>91</v>
      </c>
      <c r="H343">
        <v>2025</v>
      </c>
    </row>
    <row r="344" spans="1:8" x14ac:dyDescent="0.35">
      <c r="A344">
        <v>100000368</v>
      </c>
      <c r="B344" t="s">
        <v>110</v>
      </c>
      <c r="C344">
        <v>100</v>
      </c>
      <c r="D344">
        <v>0</v>
      </c>
      <c r="E344">
        <v>100</v>
      </c>
      <c r="F344" s="2">
        <v>0</v>
      </c>
      <c r="G344" t="s">
        <v>91</v>
      </c>
      <c r="H344">
        <v>2025</v>
      </c>
    </row>
    <row r="345" spans="1:8" x14ac:dyDescent="0.35">
      <c r="A345">
        <v>100000381</v>
      </c>
      <c r="B345" t="s">
        <v>87</v>
      </c>
      <c r="C345">
        <v>200</v>
      </c>
      <c r="D345">
        <v>0</v>
      </c>
      <c r="E345">
        <v>200</v>
      </c>
      <c r="F345" s="2">
        <v>0</v>
      </c>
      <c r="G345" t="s">
        <v>91</v>
      </c>
      <c r="H345">
        <v>2025</v>
      </c>
    </row>
    <row r="346" spans="1:8" x14ac:dyDescent="0.35">
      <c r="A346">
        <v>100000381</v>
      </c>
      <c r="B346" t="s">
        <v>87</v>
      </c>
      <c r="C346">
        <v>100</v>
      </c>
      <c r="D346">
        <v>0</v>
      </c>
      <c r="E346">
        <v>100</v>
      </c>
      <c r="F346" s="2">
        <v>0</v>
      </c>
      <c r="G346" t="s">
        <v>91</v>
      </c>
      <c r="H346">
        <v>2025</v>
      </c>
    </row>
    <row r="347" spans="1:8" x14ac:dyDescent="0.35">
      <c r="A347">
        <v>100002208</v>
      </c>
      <c r="B347" t="s">
        <v>113</v>
      </c>
      <c r="C347">
        <v>30</v>
      </c>
      <c r="D347">
        <v>0</v>
      </c>
      <c r="E347">
        <v>30</v>
      </c>
      <c r="F347" s="2">
        <v>0</v>
      </c>
      <c r="G347" t="s">
        <v>91</v>
      </c>
      <c r="H347">
        <v>2025</v>
      </c>
    </row>
    <row r="348" spans="1:8" x14ac:dyDescent="0.35">
      <c r="A348">
        <v>100002308</v>
      </c>
      <c r="B348" t="s">
        <v>210</v>
      </c>
      <c r="C348">
        <v>3</v>
      </c>
      <c r="D348">
        <v>0</v>
      </c>
      <c r="E348">
        <v>3</v>
      </c>
      <c r="F348" s="2">
        <v>0</v>
      </c>
      <c r="G348" t="s">
        <v>91</v>
      </c>
      <c r="H348">
        <v>2025</v>
      </c>
    </row>
    <row r="349" spans="1:8" x14ac:dyDescent="0.35">
      <c r="A349">
        <v>100002308</v>
      </c>
      <c r="B349" t="s">
        <v>210</v>
      </c>
      <c r="C349">
        <v>3</v>
      </c>
      <c r="D349">
        <v>0</v>
      </c>
      <c r="E349">
        <v>3</v>
      </c>
      <c r="F349" s="2">
        <v>0</v>
      </c>
      <c r="G349" t="s">
        <v>91</v>
      </c>
      <c r="H349">
        <v>2025</v>
      </c>
    </row>
    <row r="350" spans="1:8" x14ac:dyDescent="0.35">
      <c r="A350">
        <v>100002037</v>
      </c>
      <c r="B350" t="s">
        <v>21</v>
      </c>
      <c r="C350">
        <v>720</v>
      </c>
      <c r="D350">
        <v>0</v>
      </c>
      <c r="E350">
        <v>720</v>
      </c>
      <c r="F350" s="2">
        <v>0</v>
      </c>
      <c r="G350" t="s">
        <v>91</v>
      </c>
      <c r="H350">
        <v>2025</v>
      </c>
    </row>
    <row r="351" spans="1:8" x14ac:dyDescent="0.35">
      <c r="A351">
        <v>100000553</v>
      </c>
      <c r="B351" t="s">
        <v>116</v>
      </c>
      <c r="C351">
        <v>50</v>
      </c>
      <c r="D351">
        <v>0</v>
      </c>
      <c r="E351">
        <v>50</v>
      </c>
      <c r="F351" s="2">
        <v>0</v>
      </c>
      <c r="G351" t="s">
        <v>91</v>
      </c>
      <c r="H351">
        <v>2025</v>
      </c>
    </row>
    <row r="352" spans="1:8" x14ac:dyDescent="0.35">
      <c r="A352">
        <v>100002903</v>
      </c>
      <c r="B352" t="s">
        <v>192</v>
      </c>
      <c r="C352">
        <v>30</v>
      </c>
      <c r="D352">
        <v>0</v>
      </c>
      <c r="E352">
        <v>30</v>
      </c>
      <c r="F352" s="2">
        <v>0</v>
      </c>
      <c r="G352" t="s">
        <v>91</v>
      </c>
      <c r="H352">
        <v>2025</v>
      </c>
    </row>
    <row r="353" spans="1:8" x14ac:dyDescent="0.35">
      <c r="A353">
        <v>100000715</v>
      </c>
      <c r="B353" t="s">
        <v>211</v>
      </c>
      <c r="C353">
        <v>10</v>
      </c>
      <c r="D353">
        <v>0</v>
      </c>
      <c r="E353">
        <v>10</v>
      </c>
      <c r="F353" s="2">
        <v>0</v>
      </c>
      <c r="G353" t="s">
        <v>91</v>
      </c>
      <c r="H353">
        <v>2025</v>
      </c>
    </row>
    <row r="354" spans="1:8" x14ac:dyDescent="0.35">
      <c r="A354">
        <v>100000763</v>
      </c>
      <c r="B354" t="s">
        <v>179</v>
      </c>
      <c r="C354">
        <v>200</v>
      </c>
      <c r="D354">
        <v>0</v>
      </c>
      <c r="E354">
        <v>200</v>
      </c>
      <c r="F354" s="2">
        <v>0</v>
      </c>
      <c r="G354" t="s">
        <v>91</v>
      </c>
      <c r="H354">
        <v>2025</v>
      </c>
    </row>
    <row r="355" spans="1:8" x14ac:dyDescent="0.35">
      <c r="A355">
        <v>100000829</v>
      </c>
      <c r="B355" t="s">
        <v>180</v>
      </c>
      <c r="C355">
        <v>20</v>
      </c>
      <c r="D355">
        <v>0</v>
      </c>
      <c r="E355">
        <v>20</v>
      </c>
      <c r="F355" s="2">
        <v>0</v>
      </c>
      <c r="G355" t="s">
        <v>91</v>
      </c>
      <c r="H355">
        <v>2025</v>
      </c>
    </row>
    <row r="356" spans="1:8" x14ac:dyDescent="0.35">
      <c r="A356">
        <v>100002241</v>
      </c>
      <c r="B356" t="s">
        <v>39</v>
      </c>
      <c r="C356">
        <v>64</v>
      </c>
      <c r="D356">
        <v>0</v>
      </c>
      <c r="E356">
        <v>64</v>
      </c>
      <c r="F356" s="2">
        <v>0</v>
      </c>
      <c r="G356" t="s">
        <v>91</v>
      </c>
      <c r="H356">
        <v>2025</v>
      </c>
    </row>
    <row r="357" spans="1:8" x14ac:dyDescent="0.35">
      <c r="A357">
        <v>100005505</v>
      </c>
      <c r="B357" t="s">
        <v>90</v>
      </c>
      <c r="C357">
        <v>120</v>
      </c>
      <c r="D357">
        <v>0</v>
      </c>
      <c r="E357">
        <v>120</v>
      </c>
      <c r="F357" s="2">
        <v>0</v>
      </c>
      <c r="G357" t="s">
        <v>91</v>
      </c>
      <c r="H357">
        <v>2025</v>
      </c>
    </row>
    <row r="358" spans="1:8" x14ac:dyDescent="0.35">
      <c r="A358">
        <v>100005299</v>
      </c>
      <c r="B358" t="s">
        <v>55</v>
      </c>
      <c r="C358">
        <v>5</v>
      </c>
      <c r="D358">
        <v>0</v>
      </c>
      <c r="E358">
        <v>5</v>
      </c>
      <c r="F358" s="2">
        <v>0</v>
      </c>
      <c r="G358" t="s">
        <v>91</v>
      </c>
      <c r="H358">
        <v>2025</v>
      </c>
    </row>
    <row r="359" spans="1:8" x14ac:dyDescent="0.35">
      <c r="A359">
        <v>100006171</v>
      </c>
      <c r="B359" t="s">
        <v>132</v>
      </c>
      <c r="C359">
        <v>30</v>
      </c>
      <c r="D359">
        <v>0</v>
      </c>
      <c r="E359">
        <v>30</v>
      </c>
      <c r="F359" s="2">
        <v>0</v>
      </c>
      <c r="G359" t="s">
        <v>91</v>
      </c>
      <c r="H359">
        <v>2025</v>
      </c>
    </row>
    <row r="360" spans="1:8" x14ac:dyDescent="0.35">
      <c r="A360">
        <v>100002254</v>
      </c>
      <c r="B360" t="s">
        <v>60</v>
      </c>
      <c r="C360">
        <v>25</v>
      </c>
      <c r="D360">
        <v>0</v>
      </c>
      <c r="E360">
        <v>25</v>
      </c>
      <c r="F360" s="2">
        <v>0</v>
      </c>
      <c r="G360" t="s">
        <v>91</v>
      </c>
      <c r="H360">
        <v>2025</v>
      </c>
    </row>
    <row r="361" spans="1:8" x14ac:dyDescent="0.35">
      <c r="A361">
        <v>100001124</v>
      </c>
      <c r="B361" t="s">
        <v>212</v>
      </c>
      <c r="C361">
        <v>3200</v>
      </c>
      <c r="D361">
        <v>0</v>
      </c>
      <c r="E361">
        <v>3200</v>
      </c>
      <c r="F361" s="2">
        <v>0</v>
      </c>
      <c r="G361" t="s">
        <v>91</v>
      </c>
      <c r="H361">
        <v>2025</v>
      </c>
    </row>
    <row r="362" spans="1:8" x14ac:dyDescent="0.35">
      <c r="A362">
        <v>100003903</v>
      </c>
      <c r="B362" t="s">
        <v>64</v>
      </c>
      <c r="C362">
        <v>990</v>
      </c>
      <c r="D362">
        <v>0</v>
      </c>
      <c r="E362">
        <v>990</v>
      </c>
      <c r="F362" s="2">
        <v>0</v>
      </c>
      <c r="G362" t="s">
        <v>91</v>
      </c>
      <c r="H362">
        <v>2025</v>
      </c>
    </row>
    <row r="363" spans="1:8" x14ac:dyDescent="0.35">
      <c r="A363">
        <v>100001232</v>
      </c>
      <c r="B363" t="s">
        <v>68</v>
      </c>
      <c r="C363">
        <v>5000</v>
      </c>
      <c r="D363">
        <v>0</v>
      </c>
      <c r="E363">
        <v>5000</v>
      </c>
      <c r="F363" s="2">
        <v>0</v>
      </c>
      <c r="G363" t="s">
        <v>91</v>
      </c>
      <c r="H363">
        <v>2025</v>
      </c>
    </row>
    <row r="364" spans="1:8" x14ac:dyDescent="0.35">
      <c r="A364">
        <v>100002295</v>
      </c>
      <c r="B364" t="s">
        <v>213</v>
      </c>
      <c r="C364">
        <v>800</v>
      </c>
      <c r="D364">
        <v>0</v>
      </c>
      <c r="E364">
        <v>800</v>
      </c>
      <c r="F364" s="2">
        <v>0</v>
      </c>
      <c r="G364" t="s">
        <v>91</v>
      </c>
      <c r="H364">
        <v>2025</v>
      </c>
    </row>
    <row r="365" spans="1:8" x14ac:dyDescent="0.35">
      <c r="A365">
        <v>100001568</v>
      </c>
      <c r="B365" t="s">
        <v>150</v>
      </c>
      <c r="C365">
        <v>59</v>
      </c>
      <c r="D365">
        <v>0</v>
      </c>
      <c r="E365">
        <v>59</v>
      </c>
      <c r="F365" s="2">
        <v>0</v>
      </c>
      <c r="G365" t="s">
        <v>91</v>
      </c>
      <c r="H365">
        <v>2025</v>
      </c>
    </row>
    <row r="366" spans="1:8" x14ac:dyDescent="0.35">
      <c r="A366">
        <v>100000085</v>
      </c>
      <c r="B366" t="s">
        <v>7</v>
      </c>
      <c r="C366">
        <v>110</v>
      </c>
      <c r="D366">
        <v>0</v>
      </c>
      <c r="E366">
        <v>110</v>
      </c>
      <c r="F366" s="2">
        <v>0</v>
      </c>
      <c r="G366" t="s">
        <v>92</v>
      </c>
      <c r="H366">
        <v>2025</v>
      </c>
    </row>
    <row r="367" spans="1:8" x14ac:dyDescent="0.35">
      <c r="A367">
        <v>100000115</v>
      </c>
      <c r="B367" t="s">
        <v>208</v>
      </c>
      <c r="C367">
        <v>100</v>
      </c>
      <c r="D367">
        <v>0</v>
      </c>
      <c r="E367">
        <v>100</v>
      </c>
      <c r="F367" s="2">
        <v>0</v>
      </c>
      <c r="G367" t="s">
        <v>92</v>
      </c>
      <c r="H367">
        <v>2025</v>
      </c>
    </row>
    <row r="368" spans="1:8" x14ac:dyDescent="0.35">
      <c r="A368">
        <v>100000126</v>
      </c>
      <c r="B368" t="s">
        <v>8</v>
      </c>
      <c r="C368">
        <v>1000</v>
      </c>
      <c r="D368">
        <v>0</v>
      </c>
      <c r="E368">
        <v>1000</v>
      </c>
      <c r="F368" s="2">
        <v>0</v>
      </c>
      <c r="G368" t="s">
        <v>92</v>
      </c>
      <c r="H368">
        <v>2025</v>
      </c>
    </row>
    <row r="369" spans="1:8" x14ac:dyDescent="0.35">
      <c r="A369">
        <v>100005282</v>
      </c>
      <c r="B369" t="s">
        <v>178</v>
      </c>
      <c r="C369">
        <v>40</v>
      </c>
      <c r="D369">
        <v>0</v>
      </c>
      <c r="E369">
        <v>40</v>
      </c>
      <c r="F369" s="2">
        <v>0</v>
      </c>
      <c r="G369" t="s">
        <v>92</v>
      </c>
      <c r="H369">
        <v>2025</v>
      </c>
    </row>
    <row r="370" spans="1:8" x14ac:dyDescent="0.35">
      <c r="A370">
        <v>100003423</v>
      </c>
      <c r="B370" t="s">
        <v>14</v>
      </c>
      <c r="C370">
        <v>300</v>
      </c>
      <c r="D370">
        <v>0</v>
      </c>
      <c r="E370">
        <v>300</v>
      </c>
      <c r="F370" s="2">
        <v>0</v>
      </c>
      <c r="G370" t="s">
        <v>92</v>
      </c>
      <c r="H370">
        <v>2025</v>
      </c>
    </row>
    <row r="371" spans="1:8" x14ac:dyDescent="0.35">
      <c r="A371">
        <v>100000368</v>
      </c>
      <c r="B371" t="s">
        <v>110</v>
      </c>
      <c r="C371">
        <v>100</v>
      </c>
      <c r="D371">
        <v>0</v>
      </c>
      <c r="E371">
        <v>100</v>
      </c>
      <c r="F371" s="2">
        <v>0</v>
      </c>
      <c r="G371" t="s">
        <v>92</v>
      </c>
      <c r="H371">
        <v>2025</v>
      </c>
    </row>
    <row r="372" spans="1:8" x14ac:dyDescent="0.35">
      <c r="A372">
        <v>100002308</v>
      </c>
      <c r="B372" t="s">
        <v>210</v>
      </c>
      <c r="C372">
        <v>3</v>
      </c>
      <c r="D372">
        <v>0</v>
      </c>
      <c r="E372">
        <v>3</v>
      </c>
      <c r="F372" s="2">
        <v>0</v>
      </c>
      <c r="G372" t="s">
        <v>92</v>
      </c>
      <c r="H372">
        <v>2025</v>
      </c>
    </row>
    <row r="373" spans="1:8" x14ac:dyDescent="0.35">
      <c r="A373">
        <v>100002308</v>
      </c>
      <c r="B373" t="s">
        <v>210</v>
      </c>
      <c r="C373">
        <v>3</v>
      </c>
      <c r="D373">
        <v>0</v>
      </c>
      <c r="E373">
        <v>3</v>
      </c>
      <c r="F373" s="2">
        <v>0</v>
      </c>
      <c r="G373" t="s">
        <v>92</v>
      </c>
      <c r="H373">
        <v>2025</v>
      </c>
    </row>
    <row r="374" spans="1:8" x14ac:dyDescent="0.35">
      <c r="A374">
        <v>100002037</v>
      </c>
      <c r="B374" t="s">
        <v>21</v>
      </c>
      <c r="C374">
        <v>720</v>
      </c>
      <c r="D374">
        <v>0</v>
      </c>
      <c r="E374">
        <v>720</v>
      </c>
      <c r="F374" s="2">
        <v>0</v>
      </c>
      <c r="G374" t="s">
        <v>92</v>
      </c>
      <c r="H374">
        <v>2025</v>
      </c>
    </row>
    <row r="375" spans="1:8" x14ac:dyDescent="0.35">
      <c r="A375">
        <v>100000553</v>
      </c>
      <c r="B375" t="s">
        <v>116</v>
      </c>
      <c r="C375">
        <v>50</v>
      </c>
      <c r="D375">
        <v>0</v>
      </c>
      <c r="E375">
        <v>50</v>
      </c>
      <c r="F375" s="2">
        <v>0</v>
      </c>
      <c r="G375" t="s">
        <v>92</v>
      </c>
      <c r="H375">
        <v>2025</v>
      </c>
    </row>
    <row r="376" spans="1:8" x14ac:dyDescent="0.35">
      <c r="A376">
        <v>100002903</v>
      </c>
      <c r="B376" t="s">
        <v>192</v>
      </c>
      <c r="C376">
        <v>30</v>
      </c>
      <c r="D376">
        <v>0</v>
      </c>
      <c r="E376">
        <v>30</v>
      </c>
      <c r="F376" s="2">
        <v>0</v>
      </c>
      <c r="G376" t="s">
        <v>92</v>
      </c>
      <c r="H376">
        <v>2025</v>
      </c>
    </row>
    <row r="377" spans="1:8" x14ac:dyDescent="0.35">
      <c r="A377">
        <v>100004642</v>
      </c>
      <c r="B377" t="s">
        <v>88</v>
      </c>
      <c r="C377">
        <v>30</v>
      </c>
      <c r="D377">
        <v>0</v>
      </c>
      <c r="E377">
        <v>30</v>
      </c>
      <c r="F377" s="2">
        <v>0</v>
      </c>
      <c r="G377" t="s">
        <v>92</v>
      </c>
      <c r="H377">
        <v>2025</v>
      </c>
    </row>
    <row r="378" spans="1:8" x14ac:dyDescent="0.35">
      <c r="A378">
        <v>100000715</v>
      </c>
      <c r="B378" t="s">
        <v>211</v>
      </c>
      <c r="C378">
        <v>10</v>
      </c>
      <c r="D378">
        <v>0</v>
      </c>
      <c r="E378">
        <v>10</v>
      </c>
      <c r="F378" s="2">
        <v>0</v>
      </c>
      <c r="G378" t="s">
        <v>92</v>
      </c>
      <c r="H378">
        <v>2025</v>
      </c>
    </row>
    <row r="379" spans="1:8" x14ac:dyDescent="0.35">
      <c r="A379">
        <v>100000763</v>
      </c>
      <c r="B379" t="s">
        <v>179</v>
      </c>
      <c r="C379">
        <v>200</v>
      </c>
      <c r="D379">
        <v>0</v>
      </c>
      <c r="E379">
        <v>200</v>
      </c>
      <c r="F379" s="2">
        <v>0</v>
      </c>
      <c r="G379" t="s">
        <v>92</v>
      </c>
      <c r="H379">
        <v>2025</v>
      </c>
    </row>
    <row r="380" spans="1:8" x14ac:dyDescent="0.35">
      <c r="A380">
        <v>100001037</v>
      </c>
      <c r="B380" t="s">
        <v>216</v>
      </c>
      <c r="C380">
        <v>50</v>
      </c>
      <c r="D380">
        <v>0</v>
      </c>
      <c r="E380">
        <v>50</v>
      </c>
      <c r="F380" s="2">
        <v>0</v>
      </c>
      <c r="G380" t="s">
        <v>92</v>
      </c>
      <c r="H380">
        <v>2025</v>
      </c>
    </row>
    <row r="381" spans="1:8" x14ac:dyDescent="0.35">
      <c r="A381">
        <v>100001053</v>
      </c>
      <c r="B381" t="s">
        <v>130</v>
      </c>
      <c r="C381">
        <v>400</v>
      </c>
      <c r="D381">
        <v>0</v>
      </c>
      <c r="E381">
        <v>400</v>
      </c>
      <c r="F381" s="2">
        <v>0</v>
      </c>
      <c r="G381" t="s">
        <v>92</v>
      </c>
      <c r="H381">
        <v>2025</v>
      </c>
    </row>
    <row r="382" spans="1:8" x14ac:dyDescent="0.35">
      <c r="A382">
        <v>100003439</v>
      </c>
      <c r="B382" t="s">
        <v>133</v>
      </c>
      <c r="C382">
        <v>560</v>
      </c>
      <c r="D382">
        <v>0</v>
      </c>
      <c r="E382">
        <v>560</v>
      </c>
      <c r="F382" s="2">
        <v>0</v>
      </c>
      <c r="G382" t="s">
        <v>92</v>
      </c>
      <c r="H382">
        <v>2025</v>
      </c>
    </row>
    <row r="383" spans="1:8" x14ac:dyDescent="0.35">
      <c r="A383">
        <v>100001084</v>
      </c>
      <c r="B383" t="s">
        <v>57</v>
      </c>
      <c r="C383">
        <v>180</v>
      </c>
      <c r="D383">
        <v>0</v>
      </c>
      <c r="E383">
        <v>180</v>
      </c>
      <c r="F383" s="2">
        <v>0</v>
      </c>
      <c r="G383" t="s">
        <v>92</v>
      </c>
      <c r="H383">
        <v>2025</v>
      </c>
    </row>
    <row r="384" spans="1:8" x14ac:dyDescent="0.35">
      <c r="A384">
        <v>100002254</v>
      </c>
      <c r="B384" t="s">
        <v>60</v>
      </c>
      <c r="C384">
        <v>25</v>
      </c>
      <c r="D384">
        <v>0</v>
      </c>
      <c r="E384">
        <v>25</v>
      </c>
      <c r="F384" s="2">
        <v>0</v>
      </c>
      <c r="G384" t="s">
        <v>92</v>
      </c>
      <c r="H384">
        <v>2025</v>
      </c>
    </row>
    <row r="385" spans="1:8" x14ac:dyDescent="0.35">
      <c r="A385">
        <v>100001124</v>
      </c>
      <c r="B385" t="s">
        <v>212</v>
      </c>
      <c r="C385">
        <v>3200</v>
      </c>
      <c r="D385">
        <v>0</v>
      </c>
      <c r="E385">
        <v>3200</v>
      </c>
      <c r="F385" s="2">
        <v>0</v>
      </c>
      <c r="G385" t="s">
        <v>92</v>
      </c>
      <c r="H385">
        <v>2025</v>
      </c>
    </row>
    <row r="386" spans="1:8" x14ac:dyDescent="0.35">
      <c r="A386">
        <v>100001470</v>
      </c>
      <c r="B386" t="s">
        <v>85</v>
      </c>
      <c r="C386">
        <v>756</v>
      </c>
      <c r="D386">
        <v>0</v>
      </c>
      <c r="E386">
        <v>756</v>
      </c>
      <c r="F386" s="2">
        <v>0</v>
      </c>
      <c r="G386" t="s">
        <v>92</v>
      </c>
      <c r="H386">
        <v>2025</v>
      </c>
    </row>
    <row r="387" spans="1:8" x14ac:dyDescent="0.35">
      <c r="A387">
        <v>100001568</v>
      </c>
      <c r="B387" t="s">
        <v>150</v>
      </c>
      <c r="C387">
        <v>59</v>
      </c>
      <c r="D387">
        <v>0</v>
      </c>
      <c r="E387">
        <v>59</v>
      </c>
      <c r="F387" s="2">
        <v>0</v>
      </c>
      <c r="G387" t="s">
        <v>92</v>
      </c>
      <c r="H387">
        <v>2025</v>
      </c>
    </row>
    <row r="388" spans="1:8" x14ac:dyDescent="0.35">
      <c r="A388">
        <v>100001568</v>
      </c>
      <c r="B388" t="s">
        <v>150</v>
      </c>
      <c r="C388">
        <v>70</v>
      </c>
      <c r="D388">
        <v>0</v>
      </c>
      <c r="E388">
        <v>70</v>
      </c>
      <c r="F388" s="2">
        <v>0</v>
      </c>
      <c r="G388" t="s">
        <v>92</v>
      </c>
      <c r="H388">
        <v>2025</v>
      </c>
    </row>
    <row r="389" spans="1:8" x14ac:dyDescent="0.35">
      <c r="F389" s="2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6F4EAD-1EB7-4BE7-B31C-10105E95A1AA}">
  <dimension ref="A1:Q69"/>
  <sheetViews>
    <sheetView topLeftCell="G1" workbookViewId="0">
      <selection activeCell="N15" sqref="N15"/>
    </sheetView>
  </sheetViews>
  <sheetFormatPr baseColWidth="10" defaultRowHeight="14.5" x14ac:dyDescent="0.35"/>
  <cols>
    <col min="2" max="2" width="41.81640625" bestFit="1" customWidth="1"/>
    <col min="11" max="11" width="16.54296875" bestFit="1" customWidth="1"/>
    <col min="12" max="12" width="34.81640625" bestFit="1" customWidth="1"/>
    <col min="14" max="14" width="16.36328125" customWidth="1"/>
    <col min="15" max="15" width="23.81640625" customWidth="1"/>
    <col min="16" max="16" width="26.54296875" customWidth="1"/>
    <col min="17" max="17" width="2.81640625" bestFit="1" customWidth="1"/>
  </cols>
  <sheetData>
    <row r="1" spans="1:17" x14ac:dyDescent="0.35">
      <c r="A1" t="s">
        <v>171</v>
      </c>
      <c r="B1" t="s">
        <v>97</v>
      </c>
      <c r="C1" t="s">
        <v>98</v>
      </c>
      <c r="D1" t="s">
        <v>99</v>
      </c>
      <c r="E1" t="s">
        <v>100</v>
      </c>
      <c r="F1" t="s">
        <v>101</v>
      </c>
      <c r="N1" s="29" t="s">
        <v>256</v>
      </c>
      <c r="O1" s="29"/>
      <c r="P1" s="29"/>
    </row>
    <row r="2" spans="1:17" x14ac:dyDescent="0.35">
      <c r="A2">
        <v>100002253</v>
      </c>
      <c r="B2" t="s">
        <v>134</v>
      </c>
      <c r="C2">
        <v>90</v>
      </c>
      <c r="D2">
        <v>25</v>
      </c>
      <c r="E2">
        <v>65</v>
      </c>
      <c r="F2">
        <v>0.28000000000000003</v>
      </c>
      <c r="G2" t="s">
        <v>201</v>
      </c>
      <c r="H2">
        <v>2023</v>
      </c>
      <c r="K2" s="3" t="s">
        <v>217</v>
      </c>
      <c r="L2" t="s">
        <v>219</v>
      </c>
      <c r="N2" s="11" t="s">
        <v>253</v>
      </c>
      <c r="O2" s="6" t="s">
        <v>254</v>
      </c>
      <c r="P2" s="6" t="s">
        <v>255</v>
      </c>
    </row>
    <row r="3" spans="1:17" x14ac:dyDescent="0.35">
      <c r="A3">
        <v>100004650</v>
      </c>
      <c r="B3" t="s">
        <v>66</v>
      </c>
      <c r="C3">
        <v>10</v>
      </c>
      <c r="D3">
        <v>3</v>
      </c>
      <c r="E3">
        <v>7</v>
      </c>
      <c r="F3">
        <v>0.3</v>
      </c>
      <c r="G3" t="s">
        <v>201</v>
      </c>
      <c r="H3">
        <v>2023</v>
      </c>
      <c r="K3">
        <v>100000003</v>
      </c>
      <c r="L3">
        <v>1</v>
      </c>
      <c r="N3" s="12">
        <v>2023</v>
      </c>
      <c r="O3" s="12">
        <v>33</v>
      </c>
      <c r="P3" s="13">
        <f>O3/Q3</f>
        <v>2.75</v>
      </c>
      <c r="Q3">
        <v>12</v>
      </c>
    </row>
    <row r="4" spans="1:17" x14ac:dyDescent="0.35">
      <c r="A4">
        <v>100000688</v>
      </c>
      <c r="B4" t="s">
        <v>120</v>
      </c>
      <c r="C4">
        <v>3600</v>
      </c>
      <c r="D4">
        <v>1200</v>
      </c>
      <c r="E4">
        <v>2400</v>
      </c>
      <c r="F4">
        <v>0.33</v>
      </c>
      <c r="G4" t="s">
        <v>197</v>
      </c>
      <c r="H4">
        <v>2023</v>
      </c>
      <c r="K4">
        <v>100000013</v>
      </c>
      <c r="L4">
        <v>1</v>
      </c>
      <c r="N4" s="12">
        <v>2024</v>
      </c>
      <c r="O4" s="12">
        <v>30</v>
      </c>
      <c r="P4" s="13">
        <f t="shared" ref="P4:P5" si="0">O4/Q4</f>
        <v>2.5</v>
      </c>
      <c r="Q4">
        <v>12</v>
      </c>
    </row>
    <row r="5" spans="1:17" x14ac:dyDescent="0.35">
      <c r="A5">
        <v>100000871</v>
      </c>
      <c r="B5" t="s">
        <v>126</v>
      </c>
      <c r="C5">
        <v>1080</v>
      </c>
      <c r="D5">
        <v>400</v>
      </c>
      <c r="E5">
        <v>680</v>
      </c>
      <c r="F5">
        <v>0.37</v>
      </c>
      <c r="G5" t="s">
        <v>197</v>
      </c>
      <c r="H5">
        <v>2023</v>
      </c>
      <c r="K5">
        <v>100000170</v>
      </c>
      <c r="L5">
        <v>1</v>
      </c>
      <c r="N5" s="12">
        <v>2025</v>
      </c>
      <c r="O5" s="12">
        <v>5</v>
      </c>
      <c r="P5" s="13">
        <f t="shared" si="0"/>
        <v>1</v>
      </c>
      <c r="Q5">
        <v>5</v>
      </c>
    </row>
    <row r="6" spans="1:17" x14ac:dyDescent="0.35">
      <c r="A6">
        <v>100000918</v>
      </c>
      <c r="B6" t="s">
        <v>46</v>
      </c>
      <c r="C6">
        <v>900</v>
      </c>
      <c r="D6">
        <v>200</v>
      </c>
      <c r="E6">
        <v>700</v>
      </c>
      <c r="F6">
        <v>0.22</v>
      </c>
      <c r="G6" t="s">
        <v>198</v>
      </c>
      <c r="H6">
        <v>2023</v>
      </c>
      <c r="K6">
        <v>100000172</v>
      </c>
      <c r="L6">
        <v>1</v>
      </c>
    </row>
    <row r="7" spans="1:17" x14ac:dyDescent="0.35">
      <c r="A7">
        <v>100001358</v>
      </c>
      <c r="B7" t="s">
        <v>144</v>
      </c>
      <c r="C7">
        <v>8</v>
      </c>
      <c r="D7">
        <v>4</v>
      </c>
      <c r="E7">
        <v>4</v>
      </c>
      <c r="F7">
        <v>0.5</v>
      </c>
      <c r="G7" t="s">
        <v>198</v>
      </c>
      <c r="H7">
        <v>2023</v>
      </c>
      <c r="K7">
        <v>100000197</v>
      </c>
      <c r="L7">
        <v>1</v>
      </c>
    </row>
    <row r="8" spans="1:17" x14ac:dyDescent="0.35">
      <c r="A8">
        <v>100001470</v>
      </c>
      <c r="B8" t="s">
        <v>226</v>
      </c>
      <c r="C8">
        <v>900</v>
      </c>
      <c r="D8">
        <v>300</v>
      </c>
      <c r="E8">
        <v>600</v>
      </c>
      <c r="F8">
        <v>0.33</v>
      </c>
      <c r="G8" t="s">
        <v>198</v>
      </c>
      <c r="H8">
        <v>2023</v>
      </c>
      <c r="K8">
        <v>100000281</v>
      </c>
      <c r="L8">
        <v>1</v>
      </c>
    </row>
    <row r="9" spans="1:17" x14ac:dyDescent="0.35">
      <c r="A9">
        <v>100001020</v>
      </c>
      <c r="B9" t="s">
        <v>52</v>
      </c>
      <c r="C9">
        <v>10500</v>
      </c>
      <c r="D9">
        <v>2800</v>
      </c>
      <c r="E9">
        <v>7700</v>
      </c>
      <c r="F9">
        <v>0.27</v>
      </c>
      <c r="G9" t="s">
        <v>227</v>
      </c>
      <c r="H9">
        <v>2023</v>
      </c>
      <c r="K9">
        <v>100000371</v>
      </c>
      <c r="L9">
        <v>1</v>
      </c>
    </row>
    <row r="10" spans="1:17" x14ac:dyDescent="0.35">
      <c r="A10">
        <v>100000013</v>
      </c>
      <c r="B10" t="s">
        <v>102</v>
      </c>
      <c r="C10">
        <v>3040</v>
      </c>
      <c r="D10">
        <v>1225</v>
      </c>
      <c r="E10">
        <v>1815</v>
      </c>
      <c r="F10">
        <v>0.4</v>
      </c>
      <c r="G10" t="s">
        <v>228</v>
      </c>
      <c r="H10">
        <v>2023</v>
      </c>
      <c r="K10">
        <v>100000381</v>
      </c>
      <c r="L10">
        <v>1</v>
      </c>
    </row>
    <row r="11" spans="1:17" x14ac:dyDescent="0.35">
      <c r="A11">
        <v>100002047</v>
      </c>
      <c r="B11" t="s">
        <v>38</v>
      </c>
      <c r="C11">
        <v>1500</v>
      </c>
      <c r="D11">
        <v>750</v>
      </c>
      <c r="E11">
        <v>750</v>
      </c>
      <c r="F11">
        <v>0.5</v>
      </c>
      <c r="G11" t="s">
        <v>228</v>
      </c>
      <c r="H11">
        <v>2023</v>
      </c>
      <c r="K11">
        <v>100000535</v>
      </c>
      <c r="L11">
        <v>2</v>
      </c>
    </row>
    <row r="12" spans="1:17" x14ac:dyDescent="0.35">
      <c r="A12">
        <v>100002561</v>
      </c>
      <c r="B12" t="s">
        <v>170</v>
      </c>
      <c r="C12">
        <v>200</v>
      </c>
      <c r="D12">
        <v>100</v>
      </c>
      <c r="E12">
        <v>100</v>
      </c>
      <c r="F12">
        <v>0.5</v>
      </c>
      <c r="G12" t="s">
        <v>228</v>
      </c>
      <c r="H12">
        <v>2023</v>
      </c>
      <c r="K12">
        <v>100000587</v>
      </c>
      <c r="L12">
        <v>1</v>
      </c>
    </row>
    <row r="13" spans="1:17" x14ac:dyDescent="0.35">
      <c r="A13">
        <v>100000170</v>
      </c>
      <c r="B13" t="s">
        <v>10</v>
      </c>
      <c r="C13">
        <v>200</v>
      </c>
      <c r="D13">
        <v>100</v>
      </c>
      <c r="E13">
        <v>100</v>
      </c>
      <c r="F13">
        <v>0.5</v>
      </c>
      <c r="G13" t="s">
        <v>231</v>
      </c>
      <c r="H13">
        <v>2023</v>
      </c>
      <c r="K13">
        <v>100000604</v>
      </c>
      <c r="L13">
        <v>1</v>
      </c>
    </row>
    <row r="14" spans="1:17" x14ac:dyDescent="0.35">
      <c r="A14">
        <v>100000587</v>
      </c>
      <c r="B14" t="s">
        <v>28</v>
      </c>
      <c r="C14">
        <v>2000</v>
      </c>
      <c r="D14">
        <v>700</v>
      </c>
      <c r="E14">
        <v>1300</v>
      </c>
      <c r="F14">
        <v>0.35</v>
      </c>
      <c r="G14" t="s">
        <v>231</v>
      </c>
      <c r="H14">
        <v>2023</v>
      </c>
      <c r="K14">
        <v>100000688</v>
      </c>
      <c r="L14">
        <v>1</v>
      </c>
    </row>
    <row r="15" spans="1:17" x14ac:dyDescent="0.35">
      <c r="A15">
        <v>100002337</v>
      </c>
      <c r="B15" t="s">
        <v>34</v>
      </c>
      <c r="C15">
        <v>60</v>
      </c>
      <c r="D15">
        <v>31</v>
      </c>
      <c r="E15">
        <v>29</v>
      </c>
      <c r="F15">
        <v>0.52</v>
      </c>
      <c r="G15" t="s">
        <v>231</v>
      </c>
      <c r="H15">
        <v>2023</v>
      </c>
      <c r="K15">
        <v>100000772</v>
      </c>
      <c r="L15">
        <v>3</v>
      </c>
    </row>
    <row r="16" spans="1:17" x14ac:dyDescent="0.35">
      <c r="A16">
        <v>100002314</v>
      </c>
      <c r="B16" t="s">
        <v>74</v>
      </c>
      <c r="C16">
        <v>3</v>
      </c>
      <c r="D16">
        <v>1</v>
      </c>
      <c r="E16">
        <v>2</v>
      </c>
      <c r="F16">
        <v>0.33</v>
      </c>
      <c r="G16" t="s">
        <v>231</v>
      </c>
      <c r="H16">
        <v>2023</v>
      </c>
      <c r="K16">
        <v>100000871</v>
      </c>
      <c r="L16">
        <v>1</v>
      </c>
    </row>
    <row r="17" spans="1:12" x14ac:dyDescent="0.35">
      <c r="A17">
        <v>100002253</v>
      </c>
      <c r="B17" t="s">
        <v>134</v>
      </c>
      <c r="C17">
        <v>50</v>
      </c>
      <c r="D17">
        <v>25</v>
      </c>
      <c r="E17">
        <v>25</v>
      </c>
      <c r="F17">
        <v>0.5</v>
      </c>
      <c r="G17" t="s">
        <v>173</v>
      </c>
      <c r="H17">
        <v>2023</v>
      </c>
      <c r="K17">
        <v>100000908</v>
      </c>
      <c r="L17">
        <v>2</v>
      </c>
    </row>
    <row r="18" spans="1:12" x14ac:dyDescent="0.35">
      <c r="A18">
        <v>100002918</v>
      </c>
      <c r="B18" t="s">
        <v>70</v>
      </c>
      <c r="C18">
        <v>560</v>
      </c>
      <c r="D18">
        <v>308</v>
      </c>
      <c r="E18">
        <v>252</v>
      </c>
      <c r="F18">
        <v>0.55000000000000004</v>
      </c>
      <c r="G18" t="s">
        <v>173</v>
      </c>
      <c r="H18">
        <v>2023</v>
      </c>
      <c r="K18">
        <v>100000918</v>
      </c>
      <c r="L18">
        <v>1</v>
      </c>
    </row>
    <row r="19" spans="1:12" x14ac:dyDescent="0.35">
      <c r="A19">
        <v>100002918</v>
      </c>
      <c r="B19" t="s">
        <v>70</v>
      </c>
      <c r="C19">
        <v>560</v>
      </c>
      <c r="D19">
        <v>308</v>
      </c>
      <c r="E19">
        <v>252</v>
      </c>
      <c r="F19">
        <v>0.55000000000000004</v>
      </c>
      <c r="G19" t="s">
        <v>173</v>
      </c>
      <c r="H19">
        <v>2023</v>
      </c>
      <c r="K19">
        <v>100001018</v>
      </c>
      <c r="L19">
        <v>1</v>
      </c>
    </row>
    <row r="20" spans="1:12" x14ac:dyDescent="0.35">
      <c r="A20">
        <v>100001358</v>
      </c>
      <c r="B20" t="s">
        <v>144</v>
      </c>
      <c r="C20">
        <v>8</v>
      </c>
      <c r="D20">
        <v>4</v>
      </c>
      <c r="E20">
        <v>4</v>
      </c>
      <c r="F20">
        <v>0.5</v>
      </c>
      <c r="G20" t="s">
        <v>173</v>
      </c>
      <c r="H20">
        <v>2023</v>
      </c>
      <c r="K20">
        <v>100001020</v>
      </c>
      <c r="L20">
        <v>2</v>
      </c>
    </row>
    <row r="21" spans="1:12" x14ac:dyDescent="0.35">
      <c r="A21">
        <v>100004700</v>
      </c>
      <c r="B21" t="s">
        <v>1</v>
      </c>
      <c r="C21">
        <v>3720</v>
      </c>
      <c r="D21">
        <v>480</v>
      </c>
      <c r="E21">
        <v>3240</v>
      </c>
      <c r="F21">
        <v>0.13</v>
      </c>
      <c r="G21" t="s">
        <v>236</v>
      </c>
      <c r="H21">
        <v>2023</v>
      </c>
      <c r="K21">
        <v>100001035</v>
      </c>
      <c r="L21">
        <v>1</v>
      </c>
    </row>
    <row r="22" spans="1:12" x14ac:dyDescent="0.35">
      <c r="A22">
        <v>100004355</v>
      </c>
      <c r="B22" t="s">
        <v>23</v>
      </c>
      <c r="C22">
        <v>25</v>
      </c>
      <c r="D22">
        <v>3</v>
      </c>
      <c r="E22">
        <v>22</v>
      </c>
      <c r="F22">
        <v>0.12</v>
      </c>
      <c r="G22" t="s">
        <v>236</v>
      </c>
      <c r="H22">
        <v>2023</v>
      </c>
      <c r="K22">
        <v>100001047</v>
      </c>
      <c r="L22">
        <v>1</v>
      </c>
    </row>
    <row r="23" spans="1:12" x14ac:dyDescent="0.35">
      <c r="A23">
        <v>100001035</v>
      </c>
      <c r="B23" t="s">
        <v>235</v>
      </c>
      <c r="C23">
        <v>200</v>
      </c>
      <c r="D23">
        <v>100</v>
      </c>
      <c r="E23">
        <v>100</v>
      </c>
      <c r="F23">
        <v>0.5</v>
      </c>
      <c r="G23" t="s">
        <v>236</v>
      </c>
      <c r="H23">
        <v>2023</v>
      </c>
      <c r="K23">
        <v>100001102</v>
      </c>
      <c r="L23">
        <v>1</v>
      </c>
    </row>
    <row r="24" spans="1:12" x14ac:dyDescent="0.35">
      <c r="A24">
        <v>100000172</v>
      </c>
      <c r="B24" t="s">
        <v>104</v>
      </c>
      <c r="C24">
        <v>1000</v>
      </c>
      <c r="D24">
        <v>420</v>
      </c>
      <c r="E24">
        <v>580</v>
      </c>
      <c r="F24">
        <v>0.42</v>
      </c>
      <c r="G24" t="s">
        <v>177</v>
      </c>
      <c r="H24">
        <v>2023</v>
      </c>
      <c r="K24">
        <v>100001199</v>
      </c>
      <c r="L24">
        <v>1</v>
      </c>
    </row>
    <row r="25" spans="1:12" x14ac:dyDescent="0.35">
      <c r="A25">
        <v>100001466</v>
      </c>
      <c r="B25" t="s">
        <v>84</v>
      </c>
      <c r="C25">
        <v>3300</v>
      </c>
      <c r="D25">
        <v>1650</v>
      </c>
      <c r="E25">
        <v>1650</v>
      </c>
      <c r="F25">
        <v>0.5</v>
      </c>
      <c r="G25" t="s">
        <v>177</v>
      </c>
      <c r="H25">
        <v>2023</v>
      </c>
      <c r="K25">
        <v>100001222</v>
      </c>
      <c r="L25">
        <v>1</v>
      </c>
    </row>
    <row r="26" spans="1:12" x14ac:dyDescent="0.35">
      <c r="A26">
        <v>100001568</v>
      </c>
      <c r="B26" t="s">
        <v>150</v>
      </c>
      <c r="C26">
        <v>65</v>
      </c>
      <c r="D26">
        <v>24</v>
      </c>
      <c r="E26">
        <v>41</v>
      </c>
      <c r="F26">
        <v>0.37</v>
      </c>
      <c r="G26" t="s">
        <v>177</v>
      </c>
      <c r="H26">
        <v>2023</v>
      </c>
      <c r="K26">
        <v>100001232</v>
      </c>
      <c r="L26">
        <v>1</v>
      </c>
    </row>
    <row r="27" spans="1:12" x14ac:dyDescent="0.35">
      <c r="A27">
        <v>100004355</v>
      </c>
      <c r="B27" t="s">
        <v>23</v>
      </c>
      <c r="C27">
        <v>25</v>
      </c>
      <c r="D27">
        <v>5</v>
      </c>
      <c r="E27">
        <v>20</v>
      </c>
      <c r="F27">
        <v>0.2</v>
      </c>
      <c r="G27" t="s">
        <v>184</v>
      </c>
      <c r="H27">
        <v>2023</v>
      </c>
      <c r="K27">
        <v>100001255</v>
      </c>
      <c r="L27">
        <v>1</v>
      </c>
    </row>
    <row r="28" spans="1:12" x14ac:dyDescent="0.35">
      <c r="A28">
        <v>100000604</v>
      </c>
      <c r="B28" t="s">
        <v>29</v>
      </c>
      <c r="C28">
        <v>6000</v>
      </c>
      <c r="D28">
        <v>2640</v>
      </c>
      <c r="E28">
        <v>3360</v>
      </c>
      <c r="F28">
        <v>0.44</v>
      </c>
      <c r="G28" t="s">
        <v>184</v>
      </c>
      <c r="H28">
        <v>2023</v>
      </c>
      <c r="K28">
        <v>100001358</v>
      </c>
      <c r="L28">
        <v>2</v>
      </c>
    </row>
    <row r="29" spans="1:12" x14ac:dyDescent="0.35">
      <c r="A29">
        <v>100002244</v>
      </c>
      <c r="B29" t="s">
        <v>47</v>
      </c>
      <c r="C29">
        <v>500</v>
      </c>
      <c r="D29">
        <v>150</v>
      </c>
      <c r="E29">
        <v>350</v>
      </c>
      <c r="F29">
        <v>0.3</v>
      </c>
      <c r="G29" t="s">
        <v>184</v>
      </c>
      <c r="H29">
        <v>2023</v>
      </c>
      <c r="K29">
        <v>100001464</v>
      </c>
      <c r="L29">
        <v>1</v>
      </c>
    </row>
    <row r="30" spans="1:12" x14ac:dyDescent="0.35">
      <c r="A30">
        <v>100000535</v>
      </c>
      <c r="B30" t="s">
        <v>182</v>
      </c>
      <c r="C30">
        <v>200</v>
      </c>
      <c r="D30">
        <v>100</v>
      </c>
      <c r="E30">
        <v>100</v>
      </c>
      <c r="F30">
        <v>0.5</v>
      </c>
      <c r="G30" t="s">
        <v>202</v>
      </c>
      <c r="H30">
        <v>2023</v>
      </c>
      <c r="K30">
        <v>100001466</v>
      </c>
      <c r="L30">
        <v>3</v>
      </c>
    </row>
    <row r="31" spans="1:12" x14ac:dyDescent="0.35">
      <c r="A31">
        <v>100002244</v>
      </c>
      <c r="B31" t="s">
        <v>47</v>
      </c>
      <c r="C31">
        <v>500</v>
      </c>
      <c r="D31">
        <v>65</v>
      </c>
      <c r="E31">
        <v>435</v>
      </c>
      <c r="F31">
        <v>0.13</v>
      </c>
      <c r="G31" t="s">
        <v>202</v>
      </c>
      <c r="H31">
        <v>2023</v>
      </c>
      <c r="K31">
        <v>100001470</v>
      </c>
      <c r="L31">
        <v>1</v>
      </c>
    </row>
    <row r="32" spans="1:12" x14ac:dyDescent="0.35">
      <c r="A32">
        <v>100001047</v>
      </c>
      <c r="B32" t="s">
        <v>129</v>
      </c>
      <c r="C32">
        <v>100</v>
      </c>
      <c r="D32">
        <v>40</v>
      </c>
      <c r="E32">
        <v>60</v>
      </c>
      <c r="F32">
        <v>0.4</v>
      </c>
      <c r="G32" t="s">
        <v>202</v>
      </c>
      <c r="H32">
        <v>2023</v>
      </c>
      <c r="K32">
        <v>100001568</v>
      </c>
      <c r="L32">
        <v>1</v>
      </c>
    </row>
    <row r="33" spans="1:12" x14ac:dyDescent="0.35">
      <c r="A33">
        <v>100001199</v>
      </c>
      <c r="B33" t="s">
        <v>164</v>
      </c>
      <c r="C33">
        <v>1500</v>
      </c>
      <c r="D33">
        <v>800</v>
      </c>
      <c r="E33">
        <v>700</v>
      </c>
      <c r="F33">
        <v>0.53</v>
      </c>
      <c r="G33" t="s">
        <v>202</v>
      </c>
      <c r="H33">
        <v>2023</v>
      </c>
      <c r="K33">
        <v>100002004</v>
      </c>
      <c r="L33">
        <v>1</v>
      </c>
    </row>
    <row r="34" spans="1:12" x14ac:dyDescent="0.35">
      <c r="A34">
        <v>100003904</v>
      </c>
      <c r="B34" t="s">
        <v>143</v>
      </c>
      <c r="C34">
        <v>40</v>
      </c>
      <c r="D34">
        <v>10</v>
      </c>
      <c r="E34">
        <v>30</v>
      </c>
      <c r="F34">
        <v>0.25</v>
      </c>
      <c r="G34" t="s">
        <v>202</v>
      </c>
      <c r="H34">
        <v>2023</v>
      </c>
      <c r="K34">
        <v>100002037</v>
      </c>
      <c r="L34">
        <v>4</v>
      </c>
    </row>
    <row r="35" spans="1:12" x14ac:dyDescent="0.35">
      <c r="A35">
        <v>100006995</v>
      </c>
      <c r="B35" t="s">
        <v>193</v>
      </c>
      <c r="C35">
        <v>12</v>
      </c>
      <c r="D35">
        <v>6</v>
      </c>
      <c r="E35">
        <v>6</v>
      </c>
      <c r="F35">
        <v>0.5</v>
      </c>
      <c r="G35" t="s">
        <v>201</v>
      </c>
      <c r="H35">
        <v>2024</v>
      </c>
      <c r="K35">
        <v>100002047</v>
      </c>
      <c r="L35">
        <v>1</v>
      </c>
    </row>
    <row r="36" spans="1:12" x14ac:dyDescent="0.35">
      <c r="A36">
        <v>100003439</v>
      </c>
      <c r="B36" t="s">
        <v>133</v>
      </c>
      <c r="C36">
        <v>784</v>
      </c>
      <c r="D36">
        <v>336</v>
      </c>
      <c r="E36">
        <v>448</v>
      </c>
      <c r="F36">
        <v>0.43</v>
      </c>
      <c r="G36" t="s">
        <v>201</v>
      </c>
      <c r="H36">
        <v>2024</v>
      </c>
      <c r="K36">
        <v>100002244</v>
      </c>
      <c r="L36">
        <v>2</v>
      </c>
    </row>
    <row r="37" spans="1:12" x14ac:dyDescent="0.35">
      <c r="A37">
        <v>100001018</v>
      </c>
      <c r="B37" t="s">
        <v>51</v>
      </c>
      <c r="C37">
        <v>700</v>
      </c>
      <c r="D37">
        <v>400</v>
      </c>
      <c r="E37">
        <v>300</v>
      </c>
      <c r="F37">
        <v>0.56999999999999995</v>
      </c>
      <c r="G37" t="s">
        <v>201</v>
      </c>
      <c r="H37">
        <v>2024</v>
      </c>
      <c r="K37">
        <v>100002253</v>
      </c>
      <c r="L37">
        <v>2</v>
      </c>
    </row>
    <row r="38" spans="1:12" x14ac:dyDescent="0.35">
      <c r="A38">
        <v>100001464</v>
      </c>
      <c r="B38" t="s">
        <v>195</v>
      </c>
      <c r="C38">
        <v>200</v>
      </c>
      <c r="D38">
        <v>100</v>
      </c>
      <c r="E38">
        <v>100</v>
      </c>
      <c r="F38">
        <v>0.5</v>
      </c>
      <c r="G38" t="s">
        <v>201</v>
      </c>
      <c r="H38">
        <v>2024</v>
      </c>
      <c r="K38">
        <v>100002314</v>
      </c>
      <c r="L38">
        <v>1</v>
      </c>
    </row>
    <row r="39" spans="1:12" x14ac:dyDescent="0.35">
      <c r="A39">
        <v>100000281</v>
      </c>
      <c r="B39" t="s">
        <v>16</v>
      </c>
      <c r="C39">
        <v>1000</v>
      </c>
      <c r="D39">
        <v>500</v>
      </c>
      <c r="E39">
        <v>500</v>
      </c>
      <c r="F39">
        <v>0.5</v>
      </c>
      <c r="G39" t="s">
        <v>197</v>
      </c>
      <c r="H39">
        <v>2024</v>
      </c>
      <c r="K39">
        <v>100002337</v>
      </c>
      <c r="L39">
        <v>1</v>
      </c>
    </row>
    <row r="40" spans="1:12" x14ac:dyDescent="0.35">
      <c r="A40">
        <v>100002004</v>
      </c>
      <c r="B40" t="s">
        <v>18</v>
      </c>
      <c r="C40">
        <v>210</v>
      </c>
      <c r="D40">
        <v>90</v>
      </c>
      <c r="E40">
        <v>120</v>
      </c>
      <c r="F40">
        <v>0.43</v>
      </c>
      <c r="G40" t="s">
        <v>197</v>
      </c>
      <c r="H40">
        <v>2024</v>
      </c>
      <c r="K40">
        <v>100002347</v>
      </c>
      <c r="L40">
        <v>1</v>
      </c>
    </row>
    <row r="41" spans="1:12" x14ac:dyDescent="0.35">
      <c r="A41">
        <v>100000381</v>
      </c>
      <c r="B41" t="s">
        <v>87</v>
      </c>
      <c r="C41">
        <v>180</v>
      </c>
      <c r="D41">
        <v>43</v>
      </c>
      <c r="E41">
        <v>137</v>
      </c>
      <c r="F41">
        <v>0.24</v>
      </c>
      <c r="G41" t="s">
        <v>198</v>
      </c>
      <c r="H41">
        <v>2024</v>
      </c>
      <c r="K41">
        <v>100002561</v>
      </c>
      <c r="L41">
        <v>1</v>
      </c>
    </row>
    <row r="42" spans="1:12" x14ac:dyDescent="0.35">
      <c r="A42">
        <v>100000535</v>
      </c>
      <c r="B42" t="s">
        <v>182</v>
      </c>
      <c r="C42">
        <v>200</v>
      </c>
      <c r="D42">
        <v>100</v>
      </c>
      <c r="E42">
        <v>100</v>
      </c>
      <c r="F42">
        <v>0.5</v>
      </c>
      <c r="G42" t="s">
        <v>198</v>
      </c>
      <c r="H42">
        <v>2024</v>
      </c>
      <c r="K42">
        <v>100002906</v>
      </c>
      <c r="L42">
        <v>1</v>
      </c>
    </row>
    <row r="43" spans="1:12" x14ac:dyDescent="0.35">
      <c r="A43">
        <v>100001222</v>
      </c>
      <c r="B43" t="s">
        <v>169</v>
      </c>
      <c r="C43">
        <v>200</v>
      </c>
      <c r="D43">
        <v>100</v>
      </c>
      <c r="E43">
        <v>100</v>
      </c>
      <c r="F43">
        <v>0.5</v>
      </c>
      <c r="G43" t="s">
        <v>198</v>
      </c>
      <c r="H43">
        <v>2024</v>
      </c>
      <c r="K43">
        <v>100002918</v>
      </c>
      <c r="L43">
        <v>2</v>
      </c>
    </row>
    <row r="44" spans="1:12" x14ac:dyDescent="0.35">
      <c r="A44">
        <v>100002906</v>
      </c>
      <c r="B44" t="s">
        <v>67</v>
      </c>
      <c r="C44">
        <v>765</v>
      </c>
      <c r="D44">
        <v>315</v>
      </c>
      <c r="E44">
        <v>450</v>
      </c>
      <c r="F44">
        <v>0.41</v>
      </c>
      <c r="G44" t="s">
        <v>198</v>
      </c>
      <c r="H44">
        <v>2024</v>
      </c>
      <c r="K44">
        <v>100003423</v>
      </c>
      <c r="L44">
        <v>1</v>
      </c>
    </row>
    <row r="45" spans="1:12" x14ac:dyDescent="0.35">
      <c r="A45">
        <v>100004700</v>
      </c>
      <c r="B45" t="s">
        <v>1</v>
      </c>
      <c r="C45">
        <v>3600</v>
      </c>
      <c r="D45">
        <v>960</v>
      </c>
      <c r="E45">
        <v>2640</v>
      </c>
      <c r="F45">
        <v>0.27</v>
      </c>
      <c r="G45" t="s">
        <v>91</v>
      </c>
      <c r="H45">
        <v>2024</v>
      </c>
      <c r="K45">
        <v>100003439</v>
      </c>
      <c r="L45">
        <v>1</v>
      </c>
    </row>
    <row r="46" spans="1:12" x14ac:dyDescent="0.35">
      <c r="A46">
        <v>100000371</v>
      </c>
      <c r="B46" t="s">
        <v>111</v>
      </c>
      <c r="C46">
        <v>100</v>
      </c>
      <c r="D46">
        <v>53</v>
      </c>
      <c r="E46">
        <v>47</v>
      </c>
      <c r="F46">
        <v>0.53</v>
      </c>
      <c r="G46" t="s">
        <v>91</v>
      </c>
      <c r="H46">
        <v>2024</v>
      </c>
      <c r="K46">
        <v>100003903</v>
      </c>
      <c r="L46">
        <v>1</v>
      </c>
    </row>
    <row r="47" spans="1:12" x14ac:dyDescent="0.35">
      <c r="A47">
        <v>100000908</v>
      </c>
      <c r="B47" t="s">
        <v>43</v>
      </c>
      <c r="C47">
        <v>10380</v>
      </c>
      <c r="D47">
        <v>5700</v>
      </c>
      <c r="E47">
        <v>4680</v>
      </c>
      <c r="F47">
        <v>0.55000000000000004</v>
      </c>
      <c r="G47" t="s">
        <v>91</v>
      </c>
      <c r="H47">
        <v>2024</v>
      </c>
      <c r="K47">
        <v>100003904</v>
      </c>
      <c r="L47">
        <v>1</v>
      </c>
    </row>
    <row r="48" spans="1:12" x14ac:dyDescent="0.35">
      <c r="A48">
        <v>100000197</v>
      </c>
      <c r="B48" t="s">
        <v>106</v>
      </c>
      <c r="C48">
        <v>2</v>
      </c>
      <c r="D48">
        <v>1</v>
      </c>
      <c r="E48">
        <v>1</v>
      </c>
      <c r="F48">
        <v>0.5</v>
      </c>
      <c r="G48" t="s">
        <v>92</v>
      </c>
      <c r="H48">
        <v>2024</v>
      </c>
      <c r="K48">
        <v>100004355</v>
      </c>
      <c r="L48">
        <v>2</v>
      </c>
    </row>
    <row r="49" spans="1:12" x14ac:dyDescent="0.35">
      <c r="A49">
        <v>100000772</v>
      </c>
      <c r="B49" t="s">
        <v>36</v>
      </c>
      <c r="C49">
        <v>100</v>
      </c>
      <c r="D49">
        <v>50</v>
      </c>
      <c r="E49">
        <v>50</v>
      </c>
      <c r="F49">
        <v>0.5</v>
      </c>
      <c r="G49" t="s">
        <v>92</v>
      </c>
      <c r="H49">
        <v>2024</v>
      </c>
      <c r="K49">
        <v>100004648</v>
      </c>
      <c r="L49">
        <v>1</v>
      </c>
    </row>
    <row r="50" spans="1:12" x14ac:dyDescent="0.35">
      <c r="A50">
        <v>100001102</v>
      </c>
      <c r="B50" t="s">
        <v>62</v>
      </c>
      <c r="C50">
        <v>12000</v>
      </c>
      <c r="D50">
        <v>6000</v>
      </c>
      <c r="E50">
        <v>6000</v>
      </c>
      <c r="F50">
        <v>0.5</v>
      </c>
      <c r="G50" t="s">
        <v>92</v>
      </c>
      <c r="H50">
        <v>2024</v>
      </c>
      <c r="K50">
        <v>100004650</v>
      </c>
      <c r="L50">
        <v>1</v>
      </c>
    </row>
    <row r="51" spans="1:12" x14ac:dyDescent="0.35">
      <c r="A51">
        <v>100000908</v>
      </c>
      <c r="B51" t="s">
        <v>43</v>
      </c>
      <c r="C51">
        <v>10380</v>
      </c>
      <c r="D51">
        <v>5310</v>
      </c>
      <c r="E51">
        <v>5070</v>
      </c>
      <c r="F51">
        <v>0.51</v>
      </c>
      <c r="G51" t="s">
        <v>93</v>
      </c>
      <c r="H51">
        <v>2024</v>
      </c>
      <c r="K51">
        <v>100004677</v>
      </c>
      <c r="L51">
        <v>1</v>
      </c>
    </row>
    <row r="52" spans="1:12" x14ac:dyDescent="0.35">
      <c r="A52">
        <v>100001255</v>
      </c>
      <c r="B52" t="s">
        <v>71</v>
      </c>
      <c r="C52">
        <v>240</v>
      </c>
      <c r="D52">
        <v>30</v>
      </c>
      <c r="E52">
        <v>210</v>
      </c>
      <c r="F52">
        <v>0.12</v>
      </c>
      <c r="G52" t="s">
        <v>93</v>
      </c>
      <c r="H52">
        <v>2024</v>
      </c>
      <c r="K52">
        <v>100004700</v>
      </c>
      <c r="L52">
        <v>3</v>
      </c>
    </row>
    <row r="53" spans="1:12" x14ac:dyDescent="0.35">
      <c r="A53">
        <v>100002037</v>
      </c>
      <c r="B53" t="s">
        <v>21</v>
      </c>
      <c r="C53">
        <v>660</v>
      </c>
      <c r="D53">
        <v>360</v>
      </c>
      <c r="E53">
        <v>300</v>
      </c>
      <c r="F53">
        <v>0.55000000000000004</v>
      </c>
      <c r="G53" t="s">
        <v>173</v>
      </c>
      <c r="H53">
        <v>2024</v>
      </c>
      <c r="K53">
        <v>100006995</v>
      </c>
      <c r="L53">
        <v>1</v>
      </c>
    </row>
    <row r="54" spans="1:12" x14ac:dyDescent="0.35">
      <c r="A54">
        <v>100004700</v>
      </c>
      <c r="B54" t="s">
        <v>1</v>
      </c>
      <c r="C54">
        <v>4080</v>
      </c>
      <c r="D54">
        <v>480</v>
      </c>
      <c r="E54">
        <v>3600</v>
      </c>
      <c r="F54">
        <v>0.12</v>
      </c>
      <c r="G54" t="s">
        <v>94</v>
      </c>
      <c r="H54">
        <v>2024</v>
      </c>
      <c r="K54" t="s">
        <v>218</v>
      </c>
      <c r="L54">
        <v>68</v>
      </c>
    </row>
    <row r="55" spans="1:12" x14ac:dyDescent="0.35">
      <c r="A55">
        <v>100002037</v>
      </c>
      <c r="B55" t="s">
        <v>21</v>
      </c>
      <c r="C55">
        <v>780</v>
      </c>
      <c r="D55">
        <v>420</v>
      </c>
      <c r="E55">
        <v>360</v>
      </c>
      <c r="F55">
        <v>0.54</v>
      </c>
      <c r="G55" t="s">
        <v>94</v>
      </c>
      <c r="H55">
        <v>2024</v>
      </c>
    </row>
    <row r="56" spans="1:12" x14ac:dyDescent="0.35">
      <c r="A56">
        <v>100000772</v>
      </c>
      <c r="B56" t="s">
        <v>36</v>
      </c>
      <c r="C56">
        <v>100</v>
      </c>
      <c r="D56">
        <v>30</v>
      </c>
      <c r="E56">
        <v>70</v>
      </c>
      <c r="F56">
        <v>0.3</v>
      </c>
      <c r="G56" t="s">
        <v>94</v>
      </c>
      <c r="H56">
        <v>2024</v>
      </c>
    </row>
    <row r="57" spans="1:12" x14ac:dyDescent="0.35">
      <c r="A57">
        <v>100001020</v>
      </c>
      <c r="B57" t="s">
        <v>52</v>
      </c>
      <c r="C57">
        <v>5500</v>
      </c>
      <c r="D57">
        <v>2900</v>
      </c>
      <c r="E57">
        <v>2600</v>
      </c>
      <c r="F57">
        <v>0.53</v>
      </c>
      <c r="G57" t="s">
        <v>94</v>
      </c>
      <c r="H57">
        <v>2024</v>
      </c>
    </row>
    <row r="58" spans="1:12" x14ac:dyDescent="0.35">
      <c r="A58">
        <v>100000003</v>
      </c>
      <c r="B58" t="s">
        <v>0</v>
      </c>
      <c r="C58">
        <v>2500</v>
      </c>
      <c r="D58">
        <v>700</v>
      </c>
      <c r="E58">
        <v>1800</v>
      </c>
      <c r="F58">
        <v>0.28000000000000003</v>
      </c>
      <c r="G58" t="s">
        <v>177</v>
      </c>
      <c r="H58">
        <v>2024</v>
      </c>
    </row>
    <row r="59" spans="1:12" x14ac:dyDescent="0.35">
      <c r="A59">
        <v>100001466</v>
      </c>
      <c r="B59" t="s">
        <v>84</v>
      </c>
      <c r="C59">
        <v>4200</v>
      </c>
      <c r="D59">
        <v>2070</v>
      </c>
      <c r="E59">
        <v>2130</v>
      </c>
      <c r="F59">
        <v>0.49</v>
      </c>
      <c r="G59" t="s">
        <v>177</v>
      </c>
      <c r="H59">
        <v>2024</v>
      </c>
    </row>
    <row r="60" spans="1:12" x14ac:dyDescent="0.35">
      <c r="A60">
        <v>100002037</v>
      </c>
      <c r="B60" t="s">
        <v>21</v>
      </c>
      <c r="C60">
        <v>1200</v>
      </c>
      <c r="D60">
        <v>600</v>
      </c>
      <c r="E60">
        <v>600</v>
      </c>
      <c r="F60">
        <v>0.5</v>
      </c>
      <c r="G60" t="s">
        <v>184</v>
      </c>
      <c r="H60">
        <v>2024</v>
      </c>
    </row>
    <row r="61" spans="1:12" x14ac:dyDescent="0.35">
      <c r="A61">
        <v>100004648</v>
      </c>
      <c r="B61" t="s">
        <v>33</v>
      </c>
      <c r="C61">
        <v>52</v>
      </c>
      <c r="D61">
        <v>22</v>
      </c>
      <c r="E61">
        <v>30</v>
      </c>
      <c r="F61">
        <v>0.42</v>
      </c>
      <c r="G61" t="s">
        <v>184</v>
      </c>
      <c r="H61">
        <v>2024</v>
      </c>
    </row>
    <row r="62" spans="1:12" x14ac:dyDescent="0.35">
      <c r="A62">
        <v>100001466</v>
      </c>
      <c r="B62" t="s">
        <v>84</v>
      </c>
      <c r="C62">
        <v>4200</v>
      </c>
      <c r="D62">
        <v>160</v>
      </c>
      <c r="E62">
        <v>4040</v>
      </c>
      <c r="F62">
        <v>0.04</v>
      </c>
      <c r="G62" t="s">
        <v>184</v>
      </c>
      <c r="H62">
        <v>2024</v>
      </c>
    </row>
    <row r="63" spans="1:12" x14ac:dyDescent="0.35">
      <c r="A63">
        <v>100002037</v>
      </c>
      <c r="B63" t="s">
        <v>21</v>
      </c>
      <c r="C63">
        <v>1200</v>
      </c>
      <c r="D63">
        <v>660</v>
      </c>
      <c r="E63">
        <v>540</v>
      </c>
      <c r="F63">
        <v>0.55000000000000004</v>
      </c>
      <c r="G63" t="s">
        <v>202</v>
      </c>
      <c r="H63">
        <v>2024</v>
      </c>
    </row>
    <row r="64" spans="1:12" x14ac:dyDescent="0.35">
      <c r="A64">
        <v>100003423</v>
      </c>
      <c r="B64" t="s">
        <v>14</v>
      </c>
      <c r="C64">
        <v>270</v>
      </c>
      <c r="D64">
        <v>150</v>
      </c>
      <c r="E64">
        <v>120</v>
      </c>
      <c r="F64">
        <v>0.56000000000000005</v>
      </c>
      <c r="G64" t="s">
        <v>187</v>
      </c>
      <c r="H64">
        <v>2024</v>
      </c>
    </row>
    <row r="65" spans="1:8" x14ac:dyDescent="0.35">
      <c r="A65">
        <v>100003903</v>
      </c>
      <c r="B65" t="s">
        <v>64</v>
      </c>
      <c r="C65">
        <v>990</v>
      </c>
      <c r="D65">
        <v>540</v>
      </c>
      <c r="E65">
        <v>450</v>
      </c>
      <c r="F65">
        <v>0.55000000000000004</v>
      </c>
      <c r="G65" t="s">
        <v>201</v>
      </c>
      <c r="H65">
        <v>2025</v>
      </c>
    </row>
    <row r="66" spans="1:8" x14ac:dyDescent="0.35">
      <c r="A66">
        <v>100004677</v>
      </c>
      <c r="B66" t="s">
        <v>148</v>
      </c>
      <c r="C66">
        <v>20</v>
      </c>
      <c r="D66">
        <v>10</v>
      </c>
      <c r="E66">
        <v>10</v>
      </c>
      <c r="F66">
        <v>0.5</v>
      </c>
      <c r="G66" t="s">
        <v>215</v>
      </c>
      <c r="H66">
        <v>2025</v>
      </c>
    </row>
    <row r="67" spans="1:8" x14ac:dyDescent="0.35">
      <c r="A67">
        <v>100002347</v>
      </c>
      <c r="B67" t="s">
        <v>17</v>
      </c>
      <c r="C67">
        <v>150</v>
      </c>
      <c r="D67">
        <v>84</v>
      </c>
      <c r="E67">
        <v>66</v>
      </c>
      <c r="F67">
        <v>0.56000000000000005</v>
      </c>
      <c r="G67" t="s">
        <v>198</v>
      </c>
      <c r="H67">
        <v>2025</v>
      </c>
    </row>
    <row r="68" spans="1:8" x14ac:dyDescent="0.35">
      <c r="A68">
        <v>100000772</v>
      </c>
      <c r="B68" t="s">
        <v>36</v>
      </c>
      <c r="C68">
        <v>90</v>
      </c>
      <c r="D68">
        <v>50</v>
      </c>
      <c r="E68">
        <v>40</v>
      </c>
      <c r="F68">
        <v>0.56000000000000005</v>
      </c>
      <c r="G68" t="s">
        <v>198</v>
      </c>
      <c r="H68">
        <v>2025</v>
      </c>
    </row>
    <row r="69" spans="1:8" x14ac:dyDescent="0.35">
      <c r="A69">
        <v>100001232</v>
      </c>
      <c r="B69" t="s">
        <v>68</v>
      </c>
      <c r="C69">
        <v>5000</v>
      </c>
      <c r="D69">
        <v>1000</v>
      </c>
      <c r="E69">
        <v>4000</v>
      </c>
      <c r="F69">
        <v>0.2</v>
      </c>
      <c r="G69" t="s">
        <v>198</v>
      </c>
      <c r="H69">
        <v>2025</v>
      </c>
    </row>
  </sheetData>
  <mergeCells count="1">
    <mergeCell ref="N1:P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B5E168-6315-4889-B96B-7683AEA05F3B}">
  <dimension ref="A1:I181"/>
  <sheetViews>
    <sheetView topLeftCell="B1" workbookViewId="0">
      <selection activeCell="I191" sqref="I191"/>
    </sheetView>
  </sheetViews>
  <sheetFormatPr baseColWidth="10" defaultRowHeight="14.5" x14ac:dyDescent="0.35"/>
  <cols>
    <col min="3" max="3" width="46.453125" bestFit="1" customWidth="1"/>
    <col min="4" max="4" width="21" hidden="1" customWidth="1"/>
  </cols>
  <sheetData>
    <row r="1" spans="1:9" x14ac:dyDescent="0.35">
      <c r="A1" t="s">
        <v>176</v>
      </c>
      <c r="B1" t="s">
        <v>171</v>
      </c>
      <c r="C1" t="s">
        <v>97</v>
      </c>
      <c r="D1" t="s">
        <v>207</v>
      </c>
      <c r="E1" t="s">
        <v>98</v>
      </c>
      <c r="F1" t="s">
        <v>99</v>
      </c>
      <c r="G1" t="s">
        <v>100</v>
      </c>
      <c r="H1" t="s">
        <v>101</v>
      </c>
    </row>
    <row r="2" spans="1:9" x14ac:dyDescent="0.35">
      <c r="A2">
        <v>1</v>
      </c>
      <c r="B2">
        <v>100000036</v>
      </c>
      <c r="C2" t="s">
        <v>3</v>
      </c>
      <c r="D2" t="s">
        <v>204</v>
      </c>
      <c r="E2">
        <v>85</v>
      </c>
      <c r="F2">
        <v>0</v>
      </c>
      <c r="G2">
        <v>85</v>
      </c>
      <c r="H2" s="1">
        <v>0</v>
      </c>
      <c r="I2" t="s">
        <v>201</v>
      </c>
    </row>
    <row r="3" spans="1:9" x14ac:dyDescent="0.35">
      <c r="A3">
        <v>1</v>
      </c>
      <c r="B3">
        <v>100000172</v>
      </c>
      <c r="C3" t="s">
        <v>104</v>
      </c>
      <c r="D3" t="s">
        <v>204</v>
      </c>
      <c r="E3">
        <v>1000</v>
      </c>
      <c r="F3">
        <v>0</v>
      </c>
      <c r="G3">
        <v>1000</v>
      </c>
      <c r="H3" s="1">
        <v>0</v>
      </c>
      <c r="I3" t="str">
        <f t="shared" ref="I3:I10" si="0">$I2</f>
        <v>ENERO</v>
      </c>
    </row>
    <row r="4" spans="1:9" x14ac:dyDescent="0.35">
      <c r="A4">
        <v>1</v>
      </c>
      <c r="B4">
        <v>100002092</v>
      </c>
      <c r="C4" t="s">
        <v>12</v>
      </c>
      <c r="D4" t="s">
        <v>204</v>
      </c>
      <c r="E4">
        <v>30</v>
      </c>
      <c r="F4">
        <v>0</v>
      </c>
      <c r="G4">
        <v>30</v>
      </c>
      <c r="H4" s="1">
        <v>0</v>
      </c>
      <c r="I4" t="str">
        <f t="shared" si="0"/>
        <v>ENERO</v>
      </c>
    </row>
    <row r="5" spans="1:9" x14ac:dyDescent="0.35">
      <c r="A5">
        <v>1</v>
      </c>
      <c r="B5">
        <v>100000241</v>
      </c>
      <c r="C5" t="s">
        <v>107</v>
      </c>
      <c r="D5" t="s">
        <v>204</v>
      </c>
      <c r="E5">
        <v>200</v>
      </c>
      <c r="F5">
        <v>0</v>
      </c>
      <c r="G5">
        <v>200</v>
      </c>
      <c r="H5" s="1">
        <v>0</v>
      </c>
      <c r="I5" t="str">
        <f t="shared" si="0"/>
        <v>ENERO</v>
      </c>
    </row>
    <row r="6" spans="1:9" x14ac:dyDescent="0.35">
      <c r="A6">
        <v>1</v>
      </c>
      <c r="B6">
        <v>100000379</v>
      </c>
      <c r="C6" t="s">
        <v>20</v>
      </c>
      <c r="D6" t="s">
        <v>204</v>
      </c>
      <c r="E6">
        <v>100</v>
      </c>
      <c r="F6">
        <v>0</v>
      </c>
      <c r="G6">
        <v>100</v>
      </c>
      <c r="H6" s="1">
        <v>0</v>
      </c>
      <c r="I6" t="str">
        <f t="shared" si="0"/>
        <v>ENERO</v>
      </c>
    </row>
    <row r="7" spans="1:9" x14ac:dyDescent="0.35">
      <c r="A7">
        <v>1</v>
      </c>
      <c r="B7">
        <v>100003905</v>
      </c>
      <c r="C7" t="s">
        <v>191</v>
      </c>
      <c r="D7" t="s">
        <v>204</v>
      </c>
      <c r="E7">
        <v>10</v>
      </c>
      <c r="F7">
        <v>0</v>
      </c>
      <c r="G7">
        <v>10</v>
      </c>
      <c r="H7" s="1">
        <v>0</v>
      </c>
      <c r="I7" t="str">
        <f t="shared" si="0"/>
        <v>ENERO</v>
      </c>
    </row>
    <row r="8" spans="1:9" x14ac:dyDescent="0.35">
      <c r="A8">
        <v>1</v>
      </c>
      <c r="B8">
        <v>100000777</v>
      </c>
      <c r="C8" t="s">
        <v>37</v>
      </c>
      <c r="D8" t="s">
        <v>204</v>
      </c>
      <c r="E8">
        <v>120</v>
      </c>
      <c r="F8">
        <v>0</v>
      </c>
      <c r="G8">
        <v>120</v>
      </c>
      <c r="H8" s="1">
        <v>0</v>
      </c>
      <c r="I8" t="str">
        <f t="shared" si="0"/>
        <v>ENERO</v>
      </c>
    </row>
    <row r="9" spans="1:9" x14ac:dyDescent="0.35">
      <c r="A9">
        <v>1</v>
      </c>
      <c r="B9">
        <v>100002047</v>
      </c>
      <c r="C9" t="s">
        <v>38</v>
      </c>
      <c r="D9" t="s">
        <v>204</v>
      </c>
      <c r="E9">
        <v>750</v>
      </c>
      <c r="F9">
        <v>0</v>
      </c>
      <c r="G9">
        <v>750</v>
      </c>
      <c r="H9" s="1">
        <v>0</v>
      </c>
      <c r="I9" t="str">
        <f t="shared" si="0"/>
        <v>ENERO</v>
      </c>
    </row>
    <row r="10" spans="1:9" x14ac:dyDescent="0.35">
      <c r="A10">
        <v>1</v>
      </c>
      <c r="B10">
        <v>100000810</v>
      </c>
      <c r="C10" t="s">
        <v>160</v>
      </c>
      <c r="D10" t="s">
        <v>204</v>
      </c>
      <c r="E10">
        <v>120</v>
      </c>
      <c r="F10">
        <v>0</v>
      </c>
      <c r="G10">
        <v>120</v>
      </c>
      <c r="H10" s="1">
        <v>0</v>
      </c>
      <c r="I10" t="str">
        <f t="shared" si="0"/>
        <v>ENERO</v>
      </c>
    </row>
    <row r="11" spans="1:9" x14ac:dyDescent="0.35">
      <c r="A11">
        <v>1</v>
      </c>
      <c r="B11">
        <v>100000921</v>
      </c>
      <c r="C11" t="s">
        <v>127</v>
      </c>
      <c r="D11" t="s">
        <v>204</v>
      </c>
      <c r="E11">
        <v>150</v>
      </c>
      <c r="F11">
        <v>0</v>
      </c>
      <c r="G11">
        <v>150</v>
      </c>
      <c r="H11" s="1">
        <v>0</v>
      </c>
      <c r="I11" t="str">
        <f t="shared" ref="I11:I15" si="1">$I10</f>
        <v>ENERO</v>
      </c>
    </row>
    <row r="12" spans="1:9" x14ac:dyDescent="0.35">
      <c r="A12">
        <v>1</v>
      </c>
      <c r="B12">
        <v>100001012</v>
      </c>
      <c r="C12" t="s">
        <v>220</v>
      </c>
      <c r="D12" t="s">
        <v>204</v>
      </c>
      <c r="E12">
        <v>50</v>
      </c>
      <c r="F12">
        <v>0</v>
      </c>
      <c r="G12">
        <v>50</v>
      </c>
      <c r="H12" s="1">
        <v>0</v>
      </c>
      <c r="I12" t="str">
        <f t="shared" si="1"/>
        <v>ENERO</v>
      </c>
    </row>
    <row r="13" spans="1:9" x14ac:dyDescent="0.35">
      <c r="A13">
        <v>1</v>
      </c>
      <c r="B13">
        <v>100002253</v>
      </c>
      <c r="C13" t="s">
        <v>134</v>
      </c>
      <c r="D13" t="s">
        <v>214</v>
      </c>
      <c r="E13">
        <v>90</v>
      </c>
      <c r="F13">
        <v>25</v>
      </c>
      <c r="G13">
        <v>65</v>
      </c>
      <c r="H13" s="1">
        <v>0.28000000000000003</v>
      </c>
      <c r="I13" t="str">
        <f t="shared" si="1"/>
        <v>ENERO</v>
      </c>
    </row>
    <row r="14" spans="1:9" x14ac:dyDescent="0.35">
      <c r="A14">
        <v>1</v>
      </c>
      <c r="B14">
        <v>100004650</v>
      </c>
      <c r="C14" t="s">
        <v>66</v>
      </c>
      <c r="D14" t="s">
        <v>214</v>
      </c>
      <c r="E14">
        <v>10</v>
      </c>
      <c r="F14">
        <v>3</v>
      </c>
      <c r="G14">
        <v>7</v>
      </c>
      <c r="H14" s="1">
        <v>0.3</v>
      </c>
      <c r="I14" t="str">
        <f t="shared" si="1"/>
        <v>ENERO</v>
      </c>
    </row>
    <row r="15" spans="1:9" x14ac:dyDescent="0.35">
      <c r="A15">
        <v>1</v>
      </c>
      <c r="B15">
        <v>100001306</v>
      </c>
      <c r="C15" t="s">
        <v>141</v>
      </c>
      <c r="D15" t="s">
        <v>204</v>
      </c>
      <c r="E15">
        <v>1500</v>
      </c>
      <c r="F15">
        <v>0</v>
      </c>
      <c r="G15">
        <v>1500</v>
      </c>
      <c r="H15" s="1">
        <v>0</v>
      </c>
      <c r="I15" t="str">
        <f t="shared" si="1"/>
        <v>ENERO</v>
      </c>
    </row>
    <row r="16" spans="1:9" x14ac:dyDescent="0.35">
      <c r="A16">
        <v>1</v>
      </c>
      <c r="B16">
        <v>100000044</v>
      </c>
      <c r="C16" t="s">
        <v>5</v>
      </c>
      <c r="D16" t="s">
        <v>204</v>
      </c>
      <c r="E16">
        <v>80</v>
      </c>
      <c r="F16">
        <v>0</v>
      </c>
      <c r="G16">
        <v>80</v>
      </c>
      <c r="H16" s="1">
        <v>0</v>
      </c>
      <c r="I16" t="s">
        <v>197</v>
      </c>
    </row>
    <row r="17" spans="1:9" x14ac:dyDescent="0.35">
      <c r="A17">
        <v>1</v>
      </c>
      <c r="B17">
        <v>100005282</v>
      </c>
      <c r="C17" t="s">
        <v>178</v>
      </c>
      <c r="D17" t="s">
        <v>204</v>
      </c>
      <c r="E17">
        <v>40</v>
      </c>
      <c r="F17">
        <v>0</v>
      </c>
      <c r="G17">
        <v>40</v>
      </c>
      <c r="H17" s="1">
        <v>0</v>
      </c>
      <c r="I17" t="str">
        <f>$I16</f>
        <v>FEBRERO</v>
      </c>
    </row>
    <row r="18" spans="1:9" x14ac:dyDescent="0.35">
      <c r="A18">
        <v>1</v>
      </c>
      <c r="B18">
        <v>100003905</v>
      </c>
      <c r="C18" t="s">
        <v>191</v>
      </c>
      <c r="D18" t="s">
        <v>204</v>
      </c>
      <c r="E18">
        <v>10</v>
      </c>
      <c r="F18">
        <v>0</v>
      </c>
      <c r="G18">
        <v>10</v>
      </c>
      <c r="H18" s="1">
        <v>0</v>
      </c>
      <c r="I18" t="str">
        <f t="shared" ref="I18:I28" si="2">$I17</f>
        <v>FEBRERO</v>
      </c>
    </row>
    <row r="19" spans="1:9" x14ac:dyDescent="0.35">
      <c r="A19">
        <v>1</v>
      </c>
      <c r="B19">
        <v>100002903</v>
      </c>
      <c r="C19" t="s">
        <v>221</v>
      </c>
      <c r="D19" t="s">
        <v>204</v>
      </c>
      <c r="E19">
        <v>50</v>
      </c>
      <c r="F19">
        <v>0</v>
      </c>
      <c r="G19">
        <v>50</v>
      </c>
      <c r="H19" s="1">
        <v>0</v>
      </c>
      <c r="I19" t="str">
        <f t="shared" si="2"/>
        <v>FEBRERO</v>
      </c>
    </row>
    <row r="20" spans="1:9" x14ac:dyDescent="0.35">
      <c r="A20">
        <v>1</v>
      </c>
      <c r="B20">
        <v>100000688</v>
      </c>
      <c r="C20" t="s">
        <v>120</v>
      </c>
      <c r="D20" t="s">
        <v>214</v>
      </c>
      <c r="E20">
        <v>3600</v>
      </c>
      <c r="F20">
        <v>1200</v>
      </c>
      <c r="G20">
        <v>2400</v>
      </c>
      <c r="H20" s="1">
        <v>0.33</v>
      </c>
      <c r="I20" t="str">
        <f t="shared" si="2"/>
        <v>FEBRERO</v>
      </c>
    </row>
    <row r="21" spans="1:9" x14ac:dyDescent="0.35">
      <c r="A21">
        <v>1</v>
      </c>
      <c r="B21">
        <v>100004642</v>
      </c>
      <c r="C21" t="s">
        <v>88</v>
      </c>
      <c r="D21" t="s">
        <v>204</v>
      </c>
      <c r="E21">
        <v>30</v>
      </c>
      <c r="F21">
        <v>0</v>
      </c>
      <c r="G21">
        <v>30</v>
      </c>
      <c r="H21" s="1">
        <v>0</v>
      </c>
      <c r="I21" t="str">
        <f t="shared" si="2"/>
        <v>FEBRERO</v>
      </c>
    </row>
    <row r="22" spans="1:9" x14ac:dyDescent="0.35">
      <c r="A22">
        <v>1</v>
      </c>
      <c r="B22">
        <v>100000729</v>
      </c>
      <c r="C22" t="s">
        <v>123</v>
      </c>
      <c r="D22" t="s">
        <v>204</v>
      </c>
      <c r="E22">
        <v>10</v>
      </c>
      <c r="F22">
        <v>0</v>
      </c>
      <c r="G22">
        <v>10</v>
      </c>
      <c r="H22" s="1">
        <v>0</v>
      </c>
      <c r="I22" t="str">
        <f t="shared" si="2"/>
        <v>FEBRERO</v>
      </c>
    </row>
    <row r="23" spans="1:9" x14ac:dyDescent="0.35">
      <c r="A23">
        <v>1</v>
      </c>
      <c r="B23">
        <v>100002361</v>
      </c>
      <c r="C23" t="s">
        <v>158</v>
      </c>
      <c r="D23" t="s">
        <v>204</v>
      </c>
      <c r="E23">
        <v>20</v>
      </c>
      <c r="F23">
        <v>0</v>
      </c>
      <c r="G23">
        <v>20</v>
      </c>
      <c r="H23" s="1">
        <v>0</v>
      </c>
      <c r="I23" t="str">
        <f t="shared" si="2"/>
        <v>FEBRERO</v>
      </c>
    </row>
    <row r="24" spans="1:9" x14ac:dyDescent="0.35">
      <c r="A24">
        <v>1</v>
      </c>
      <c r="B24">
        <v>100000735</v>
      </c>
      <c r="C24" t="s">
        <v>222</v>
      </c>
      <c r="D24" t="s">
        <v>204</v>
      </c>
      <c r="E24">
        <v>130</v>
      </c>
      <c r="F24">
        <v>0</v>
      </c>
      <c r="G24">
        <v>130</v>
      </c>
      <c r="H24" s="1">
        <v>0</v>
      </c>
      <c r="I24" t="str">
        <f t="shared" si="2"/>
        <v>FEBRERO</v>
      </c>
    </row>
    <row r="25" spans="1:9" x14ac:dyDescent="0.35">
      <c r="A25">
        <v>1</v>
      </c>
      <c r="B25">
        <v>100000735</v>
      </c>
      <c r="C25" t="s">
        <v>222</v>
      </c>
      <c r="D25" t="s">
        <v>204</v>
      </c>
      <c r="E25">
        <v>120</v>
      </c>
      <c r="F25">
        <v>0</v>
      </c>
      <c r="G25">
        <v>120</v>
      </c>
      <c r="H25" s="1">
        <v>0</v>
      </c>
      <c r="I25" t="str">
        <f t="shared" si="2"/>
        <v>FEBRERO</v>
      </c>
    </row>
    <row r="26" spans="1:9" x14ac:dyDescent="0.35">
      <c r="A26">
        <v>1</v>
      </c>
      <c r="B26">
        <v>100000733</v>
      </c>
      <c r="C26" t="s">
        <v>152</v>
      </c>
      <c r="D26" t="s">
        <v>204</v>
      </c>
      <c r="E26">
        <v>60</v>
      </c>
      <c r="F26">
        <v>0</v>
      </c>
      <c r="G26">
        <v>60</v>
      </c>
      <c r="H26" s="1">
        <v>0</v>
      </c>
      <c r="I26" t="str">
        <f t="shared" si="2"/>
        <v>FEBRERO</v>
      </c>
    </row>
    <row r="27" spans="1:9" x14ac:dyDescent="0.35">
      <c r="A27">
        <v>1</v>
      </c>
      <c r="B27">
        <v>100000871</v>
      </c>
      <c r="C27" t="s">
        <v>126</v>
      </c>
      <c r="D27" t="s">
        <v>214</v>
      </c>
      <c r="E27">
        <v>1080</v>
      </c>
      <c r="F27">
        <v>400</v>
      </c>
      <c r="G27">
        <v>680</v>
      </c>
      <c r="H27" s="1">
        <v>0.37</v>
      </c>
      <c r="I27" t="str">
        <f t="shared" si="2"/>
        <v>FEBRERO</v>
      </c>
    </row>
    <row r="28" spans="1:9" x14ac:dyDescent="0.35">
      <c r="A28">
        <v>1</v>
      </c>
      <c r="B28">
        <v>100003979</v>
      </c>
      <c r="C28" t="s">
        <v>146</v>
      </c>
      <c r="D28" t="s">
        <v>204</v>
      </c>
      <c r="E28">
        <v>10</v>
      </c>
      <c r="F28">
        <v>0</v>
      </c>
      <c r="G28">
        <v>10</v>
      </c>
      <c r="H28" s="1">
        <v>0</v>
      </c>
      <c r="I28" t="str">
        <f t="shared" si="2"/>
        <v>FEBRERO</v>
      </c>
    </row>
    <row r="29" spans="1:9" x14ac:dyDescent="0.35">
      <c r="A29">
        <v>1</v>
      </c>
      <c r="B29">
        <v>100004982</v>
      </c>
      <c r="C29" t="s">
        <v>4</v>
      </c>
      <c r="D29" t="s">
        <v>204</v>
      </c>
      <c r="E29">
        <v>56</v>
      </c>
      <c r="F29">
        <v>0</v>
      </c>
      <c r="G29">
        <v>56</v>
      </c>
      <c r="H29" s="1">
        <v>0</v>
      </c>
      <c r="I29" t="s">
        <v>198</v>
      </c>
    </row>
    <row r="30" spans="1:9" x14ac:dyDescent="0.35">
      <c r="A30">
        <v>1</v>
      </c>
      <c r="B30">
        <v>100000128</v>
      </c>
      <c r="C30" t="s">
        <v>223</v>
      </c>
      <c r="D30" t="s">
        <v>204</v>
      </c>
      <c r="E30">
        <v>150</v>
      </c>
      <c r="F30">
        <v>0</v>
      </c>
      <c r="G30">
        <v>150</v>
      </c>
      <c r="H30" s="1">
        <v>0</v>
      </c>
      <c r="I30" t="str">
        <f>$I29</f>
        <v>MARZO</v>
      </c>
    </row>
    <row r="31" spans="1:9" x14ac:dyDescent="0.35">
      <c r="A31">
        <v>1</v>
      </c>
      <c r="B31">
        <v>100000582</v>
      </c>
      <c r="C31" t="s">
        <v>117</v>
      </c>
      <c r="D31" t="s">
        <v>204</v>
      </c>
      <c r="E31">
        <v>20</v>
      </c>
      <c r="F31">
        <v>0</v>
      </c>
      <c r="G31">
        <v>20</v>
      </c>
      <c r="H31" s="1">
        <v>0</v>
      </c>
      <c r="I31" t="str">
        <f t="shared" ref="I31:I45" si="3">$I30</f>
        <v>MARZO</v>
      </c>
    </row>
    <row r="32" spans="1:9" x14ac:dyDescent="0.35">
      <c r="A32">
        <v>1</v>
      </c>
      <c r="B32">
        <v>100000629</v>
      </c>
      <c r="C32" t="s">
        <v>157</v>
      </c>
      <c r="D32" t="s">
        <v>204</v>
      </c>
      <c r="E32">
        <v>800</v>
      </c>
      <c r="F32">
        <v>0</v>
      </c>
      <c r="G32">
        <v>800</v>
      </c>
      <c r="H32" s="1">
        <v>0</v>
      </c>
      <c r="I32" t="str">
        <f t="shared" si="3"/>
        <v>MARZO</v>
      </c>
    </row>
    <row r="33" spans="1:9" x14ac:dyDescent="0.35">
      <c r="A33">
        <v>1</v>
      </c>
      <c r="B33">
        <v>100000730</v>
      </c>
      <c r="C33" t="s">
        <v>196</v>
      </c>
      <c r="D33" t="s">
        <v>204</v>
      </c>
      <c r="E33">
        <v>100</v>
      </c>
      <c r="F33">
        <v>0</v>
      </c>
      <c r="G33">
        <v>100</v>
      </c>
      <c r="H33" s="1">
        <v>0</v>
      </c>
      <c r="I33" t="str">
        <f t="shared" si="3"/>
        <v>MARZO</v>
      </c>
    </row>
    <row r="34" spans="1:9" x14ac:dyDescent="0.35">
      <c r="A34">
        <v>1</v>
      </c>
      <c r="B34">
        <v>100000733</v>
      </c>
      <c r="C34" t="s">
        <v>152</v>
      </c>
      <c r="D34" t="s">
        <v>204</v>
      </c>
      <c r="E34">
        <v>60</v>
      </c>
      <c r="F34">
        <v>0</v>
      </c>
      <c r="G34">
        <v>60</v>
      </c>
      <c r="H34" s="1">
        <v>0</v>
      </c>
      <c r="I34" t="str">
        <f t="shared" si="3"/>
        <v>MARZO</v>
      </c>
    </row>
    <row r="35" spans="1:9" x14ac:dyDescent="0.35">
      <c r="A35">
        <v>1</v>
      </c>
      <c r="B35">
        <v>100000824</v>
      </c>
      <c r="C35" t="s">
        <v>162</v>
      </c>
      <c r="D35" t="s">
        <v>204</v>
      </c>
      <c r="E35">
        <v>10</v>
      </c>
      <c r="F35">
        <v>0</v>
      </c>
      <c r="G35">
        <v>10</v>
      </c>
      <c r="H35" s="1">
        <v>0</v>
      </c>
      <c r="I35" t="str">
        <f t="shared" si="3"/>
        <v>MARZO</v>
      </c>
    </row>
    <row r="36" spans="1:9" x14ac:dyDescent="0.35">
      <c r="A36">
        <v>1</v>
      </c>
      <c r="B36">
        <v>100000918</v>
      </c>
      <c r="C36" t="s">
        <v>46</v>
      </c>
      <c r="D36" t="s">
        <v>214</v>
      </c>
      <c r="E36">
        <v>900</v>
      </c>
      <c r="F36">
        <v>200</v>
      </c>
      <c r="G36">
        <v>700</v>
      </c>
      <c r="H36" s="1">
        <v>0.22</v>
      </c>
      <c r="I36" t="str">
        <f t="shared" si="3"/>
        <v>MARZO</v>
      </c>
    </row>
    <row r="37" spans="1:9" x14ac:dyDescent="0.35">
      <c r="A37">
        <v>1</v>
      </c>
      <c r="B37">
        <v>100000983</v>
      </c>
      <c r="C37" t="s">
        <v>166</v>
      </c>
      <c r="D37" t="s">
        <v>204</v>
      </c>
      <c r="E37">
        <v>20</v>
      </c>
      <c r="F37">
        <v>0</v>
      </c>
      <c r="G37">
        <v>20</v>
      </c>
      <c r="H37" s="1">
        <v>0</v>
      </c>
      <c r="I37" t="str">
        <f t="shared" si="3"/>
        <v>MARZO</v>
      </c>
    </row>
    <row r="38" spans="1:9" x14ac:dyDescent="0.35">
      <c r="A38">
        <v>1</v>
      </c>
      <c r="B38">
        <v>100001012</v>
      </c>
      <c r="C38" t="s">
        <v>220</v>
      </c>
      <c r="D38" t="s">
        <v>204</v>
      </c>
      <c r="E38">
        <v>50</v>
      </c>
      <c r="F38">
        <v>0</v>
      </c>
      <c r="G38">
        <v>50</v>
      </c>
      <c r="H38" s="1">
        <v>0</v>
      </c>
      <c r="I38" t="str">
        <f t="shared" si="3"/>
        <v>MARZO</v>
      </c>
    </row>
    <row r="39" spans="1:9" x14ac:dyDescent="0.35">
      <c r="A39">
        <v>1</v>
      </c>
      <c r="B39">
        <v>100001021</v>
      </c>
      <c r="C39" t="s">
        <v>224</v>
      </c>
      <c r="D39" t="s">
        <v>204</v>
      </c>
      <c r="E39">
        <v>4200</v>
      </c>
      <c r="F39">
        <v>0</v>
      </c>
      <c r="G39">
        <v>4200</v>
      </c>
      <c r="H39" s="1">
        <v>0</v>
      </c>
      <c r="I39" t="str">
        <f t="shared" si="3"/>
        <v>MARZO</v>
      </c>
    </row>
    <row r="40" spans="1:9" x14ac:dyDescent="0.35">
      <c r="A40">
        <v>1</v>
      </c>
      <c r="B40">
        <v>100003231</v>
      </c>
      <c r="C40" t="s">
        <v>54</v>
      </c>
      <c r="D40" t="s">
        <v>204</v>
      </c>
      <c r="E40">
        <v>2220</v>
      </c>
      <c r="F40">
        <v>0</v>
      </c>
      <c r="G40">
        <v>2220</v>
      </c>
      <c r="H40" s="1">
        <v>0</v>
      </c>
      <c r="I40" t="str">
        <f t="shared" si="3"/>
        <v>MARZO</v>
      </c>
    </row>
    <row r="41" spans="1:9" x14ac:dyDescent="0.35">
      <c r="A41">
        <v>1</v>
      </c>
      <c r="B41">
        <v>100001243</v>
      </c>
      <c r="C41" t="s">
        <v>69</v>
      </c>
      <c r="D41" t="s">
        <v>204</v>
      </c>
      <c r="E41">
        <v>15</v>
      </c>
      <c r="F41">
        <v>0</v>
      </c>
      <c r="G41">
        <v>15</v>
      </c>
      <c r="H41" s="1">
        <v>0</v>
      </c>
      <c r="I41" t="str">
        <f t="shared" si="3"/>
        <v>MARZO</v>
      </c>
    </row>
    <row r="42" spans="1:9" x14ac:dyDescent="0.35">
      <c r="A42">
        <v>1</v>
      </c>
      <c r="B42">
        <v>100001309</v>
      </c>
      <c r="C42" t="s">
        <v>225</v>
      </c>
      <c r="D42" t="s">
        <v>204</v>
      </c>
      <c r="E42">
        <v>10300</v>
      </c>
      <c r="F42">
        <v>0</v>
      </c>
      <c r="G42">
        <v>10300</v>
      </c>
      <c r="H42" s="1">
        <v>0</v>
      </c>
      <c r="I42" t="str">
        <f t="shared" si="3"/>
        <v>MARZO</v>
      </c>
    </row>
    <row r="43" spans="1:9" x14ac:dyDescent="0.35">
      <c r="A43">
        <v>1</v>
      </c>
      <c r="B43">
        <v>100001358</v>
      </c>
      <c r="C43" t="s">
        <v>144</v>
      </c>
      <c r="D43" t="s">
        <v>214</v>
      </c>
      <c r="E43">
        <v>8</v>
      </c>
      <c r="F43">
        <v>4</v>
      </c>
      <c r="G43">
        <v>4</v>
      </c>
      <c r="H43" s="1">
        <v>0.5</v>
      </c>
      <c r="I43" t="str">
        <f t="shared" si="3"/>
        <v>MARZO</v>
      </c>
    </row>
    <row r="44" spans="1:9" x14ac:dyDescent="0.35">
      <c r="A44">
        <v>1</v>
      </c>
      <c r="B44">
        <v>100005314</v>
      </c>
      <c r="C44" t="s">
        <v>145</v>
      </c>
      <c r="D44" t="s">
        <v>204</v>
      </c>
      <c r="E44">
        <v>25</v>
      </c>
      <c r="F44">
        <v>0</v>
      </c>
      <c r="G44">
        <v>25</v>
      </c>
      <c r="H44" s="1">
        <v>0</v>
      </c>
      <c r="I44" t="str">
        <f t="shared" si="3"/>
        <v>MARZO</v>
      </c>
    </row>
    <row r="45" spans="1:9" x14ac:dyDescent="0.35">
      <c r="A45">
        <v>1</v>
      </c>
      <c r="B45">
        <v>100001470</v>
      </c>
      <c r="C45" t="s">
        <v>226</v>
      </c>
      <c r="D45" t="s">
        <v>214</v>
      </c>
      <c r="E45">
        <v>900</v>
      </c>
      <c r="F45">
        <v>300</v>
      </c>
      <c r="G45">
        <v>600</v>
      </c>
      <c r="H45" s="1">
        <v>0.33</v>
      </c>
      <c r="I45" t="str">
        <f t="shared" si="3"/>
        <v>MARZO</v>
      </c>
    </row>
    <row r="46" spans="1:9" x14ac:dyDescent="0.35">
      <c r="A46">
        <v>1</v>
      </c>
      <c r="B46">
        <v>100000388</v>
      </c>
      <c r="C46" t="s">
        <v>151</v>
      </c>
      <c r="D46" t="s">
        <v>204</v>
      </c>
      <c r="E46">
        <v>50</v>
      </c>
      <c r="F46">
        <v>0</v>
      </c>
      <c r="G46">
        <v>50</v>
      </c>
      <c r="H46" s="1">
        <v>0</v>
      </c>
      <c r="I46" t="s">
        <v>227</v>
      </c>
    </row>
    <row r="47" spans="1:9" x14ac:dyDescent="0.35">
      <c r="A47">
        <v>1</v>
      </c>
      <c r="B47">
        <v>100003905</v>
      </c>
      <c r="C47" t="s">
        <v>191</v>
      </c>
      <c r="D47" t="s">
        <v>204</v>
      </c>
      <c r="E47">
        <v>10</v>
      </c>
      <c r="F47">
        <v>0</v>
      </c>
      <c r="G47">
        <v>10</v>
      </c>
      <c r="H47" s="1">
        <v>0</v>
      </c>
      <c r="I47" t="str">
        <f>$I46</f>
        <v xml:space="preserve">ABRIL </v>
      </c>
    </row>
    <row r="48" spans="1:9" x14ac:dyDescent="0.35">
      <c r="A48">
        <v>1</v>
      </c>
      <c r="B48">
        <v>100000585</v>
      </c>
      <c r="C48" t="s">
        <v>118</v>
      </c>
      <c r="D48" t="s">
        <v>204</v>
      </c>
      <c r="E48">
        <v>1000</v>
      </c>
      <c r="F48">
        <v>0</v>
      </c>
      <c r="G48">
        <v>1000</v>
      </c>
      <c r="H48" s="1">
        <v>0</v>
      </c>
      <c r="I48" t="str">
        <f t="shared" ref="I48:I54" si="4">$I47</f>
        <v xml:space="preserve">ABRIL </v>
      </c>
    </row>
    <row r="49" spans="1:9" x14ac:dyDescent="0.35">
      <c r="A49">
        <v>1</v>
      </c>
      <c r="B49">
        <v>100000766</v>
      </c>
      <c r="C49" t="s">
        <v>35</v>
      </c>
      <c r="D49" t="s">
        <v>204</v>
      </c>
      <c r="E49">
        <v>100</v>
      </c>
      <c r="F49">
        <v>0</v>
      </c>
      <c r="G49">
        <v>100</v>
      </c>
      <c r="H49" s="1">
        <v>0</v>
      </c>
      <c r="I49" t="str">
        <f t="shared" si="4"/>
        <v xml:space="preserve">ABRIL </v>
      </c>
    </row>
    <row r="50" spans="1:9" x14ac:dyDescent="0.35">
      <c r="A50">
        <v>1</v>
      </c>
      <c r="B50">
        <v>100001020</v>
      </c>
      <c r="C50" t="s">
        <v>52</v>
      </c>
      <c r="D50" t="s">
        <v>214</v>
      </c>
      <c r="E50">
        <v>10500</v>
      </c>
      <c r="F50">
        <v>2800</v>
      </c>
      <c r="G50">
        <v>7700</v>
      </c>
      <c r="H50" s="1">
        <v>0.27</v>
      </c>
      <c r="I50" t="str">
        <f t="shared" si="4"/>
        <v xml:space="preserve">ABRIL </v>
      </c>
    </row>
    <row r="51" spans="1:9" x14ac:dyDescent="0.35">
      <c r="A51">
        <v>1</v>
      </c>
      <c r="B51">
        <v>100004906</v>
      </c>
      <c r="C51" t="s">
        <v>63</v>
      </c>
      <c r="D51" t="s">
        <v>204</v>
      </c>
      <c r="E51">
        <v>120</v>
      </c>
      <c r="F51">
        <v>0</v>
      </c>
      <c r="G51">
        <v>120</v>
      </c>
      <c r="H51" s="1">
        <v>0</v>
      </c>
      <c r="I51" t="str">
        <f t="shared" si="4"/>
        <v xml:space="preserve">ABRIL </v>
      </c>
    </row>
    <row r="52" spans="1:9" x14ac:dyDescent="0.35">
      <c r="A52">
        <v>1</v>
      </c>
      <c r="B52">
        <v>100003903</v>
      </c>
      <c r="C52" t="s">
        <v>64</v>
      </c>
      <c r="D52" t="s">
        <v>204</v>
      </c>
      <c r="E52">
        <v>450</v>
      </c>
      <c r="F52">
        <v>0</v>
      </c>
      <c r="G52">
        <v>450</v>
      </c>
      <c r="H52" s="1">
        <v>0</v>
      </c>
      <c r="I52" t="str">
        <f t="shared" si="4"/>
        <v xml:space="preserve">ABRIL </v>
      </c>
    </row>
    <row r="53" spans="1:9" x14ac:dyDescent="0.35">
      <c r="A53">
        <v>1</v>
      </c>
      <c r="B53">
        <v>100001295</v>
      </c>
      <c r="C53" t="s">
        <v>140</v>
      </c>
      <c r="D53" t="s">
        <v>204</v>
      </c>
      <c r="E53">
        <v>24</v>
      </c>
      <c r="F53">
        <v>0</v>
      </c>
      <c r="G53">
        <v>24</v>
      </c>
      <c r="H53" s="1">
        <v>0</v>
      </c>
      <c r="I53" t="str">
        <f t="shared" si="4"/>
        <v xml:space="preserve">ABRIL </v>
      </c>
    </row>
    <row r="54" spans="1:9" x14ac:dyDescent="0.35">
      <c r="A54">
        <v>1</v>
      </c>
      <c r="B54">
        <v>100001470</v>
      </c>
      <c r="C54" t="s">
        <v>226</v>
      </c>
      <c r="D54" t="s">
        <v>204</v>
      </c>
      <c r="E54">
        <v>900</v>
      </c>
      <c r="F54">
        <v>0</v>
      </c>
      <c r="G54">
        <v>900</v>
      </c>
      <c r="H54" s="1">
        <v>0</v>
      </c>
      <c r="I54" t="str">
        <f t="shared" si="4"/>
        <v xml:space="preserve">ABRIL </v>
      </c>
    </row>
    <row r="55" spans="1:9" x14ac:dyDescent="0.35">
      <c r="A55">
        <v>1</v>
      </c>
      <c r="B55">
        <v>100000013</v>
      </c>
      <c r="C55" t="s">
        <v>102</v>
      </c>
      <c r="D55" t="s">
        <v>214</v>
      </c>
      <c r="E55">
        <v>3040</v>
      </c>
      <c r="F55">
        <v>1225</v>
      </c>
      <c r="G55">
        <v>1815</v>
      </c>
      <c r="H55" s="1">
        <v>0.4</v>
      </c>
      <c r="I55" t="s">
        <v>228</v>
      </c>
    </row>
    <row r="56" spans="1:9" x14ac:dyDescent="0.35">
      <c r="A56">
        <v>1</v>
      </c>
      <c r="B56">
        <v>100000194</v>
      </c>
      <c r="C56" t="s">
        <v>105</v>
      </c>
      <c r="D56" t="s">
        <v>204</v>
      </c>
      <c r="E56">
        <v>200</v>
      </c>
      <c r="F56">
        <v>0</v>
      </c>
      <c r="G56">
        <v>200</v>
      </c>
      <c r="H56" s="1">
        <v>0</v>
      </c>
      <c r="I56" t="str">
        <f>$I55</f>
        <v xml:space="preserve">MAYO </v>
      </c>
    </row>
    <row r="57" spans="1:9" x14ac:dyDescent="0.35">
      <c r="A57">
        <v>1</v>
      </c>
      <c r="B57">
        <v>100000353</v>
      </c>
      <c r="C57" t="s">
        <v>19</v>
      </c>
      <c r="D57" t="s">
        <v>204</v>
      </c>
      <c r="E57">
        <v>500</v>
      </c>
      <c r="F57">
        <v>0</v>
      </c>
      <c r="G57">
        <v>500</v>
      </c>
      <c r="H57" s="1">
        <v>0</v>
      </c>
      <c r="I57" t="str">
        <f t="shared" ref="I57:I73" si="5">$I56</f>
        <v xml:space="preserve">MAYO </v>
      </c>
    </row>
    <row r="58" spans="1:9" x14ac:dyDescent="0.35">
      <c r="A58">
        <v>1</v>
      </c>
      <c r="B58">
        <v>100000388</v>
      </c>
      <c r="C58" t="s">
        <v>151</v>
      </c>
      <c r="D58" t="s">
        <v>204</v>
      </c>
      <c r="E58">
        <v>50</v>
      </c>
      <c r="F58">
        <v>0</v>
      </c>
      <c r="G58">
        <v>50</v>
      </c>
      <c r="H58" s="1">
        <v>0</v>
      </c>
      <c r="I58" t="str">
        <f t="shared" si="5"/>
        <v xml:space="preserve">MAYO </v>
      </c>
    </row>
    <row r="59" spans="1:9" x14ac:dyDescent="0.35">
      <c r="A59">
        <v>1</v>
      </c>
      <c r="B59">
        <v>100003905</v>
      </c>
      <c r="C59" t="s">
        <v>191</v>
      </c>
      <c r="D59" t="s">
        <v>204</v>
      </c>
      <c r="E59">
        <v>10</v>
      </c>
      <c r="F59">
        <v>0</v>
      </c>
      <c r="G59">
        <v>10</v>
      </c>
      <c r="H59" s="1">
        <v>0</v>
      </c>
      <c r="I59" t="str">
        <f t="shared" si="5"/>
        <v xml:space="preserve">MAYO </v>
      </c>
    </row>
    <row r="60" spans="1:9" x14ac:dyDescent="0.35">
      <c r="A60">
        <v>1</v>
      </c>
      <c r="B60">
        <v>100000498</v>
      </c>
      <c r="C60" t="s">
        <v>114</v>
      </c>
      <c r="D60" t="s">
        <v>204</v>
      </c>
      <c r="E60">
        <v>3000</v>
      </c>
      <c r="F60">
        <v>0</v>
      </c>
      <c r="G60">
        <v>3000</v>
      </c>
      <c r="H60" s="1">
        <v>0</v>
      </c>
      <c r="I60" t="str">
        <f t="shared" si="5"/>
        <v xml:space="preserve">MAYO </v>
      </c>
    </row>
    <row r="61" spans="1:9" x14ac:dyDescent="0.35">
      <c r="A61">
        <v>1</v>
      </c>
      <c r="B61">
        <v>100000582</v>
      </c>
      <c r="C61" t="s">
        <v>117</v>
      </c>
      <c r="D61" t="s">
        <v>204</v>
      </c>
      <c r="E61">
        <v>20</v>
      </c>
      <c r="F61">
        <v>0</v>
      </c>
      <c r="G61">
        <v>20</v>
      </c>
      <c r="H61" s="1">
        <v>0</v>
      </c>
      <c r="I61" t="str">
        <f t="shared" si="5"/>
        <v xml:space="preserve">MAYO </v>
      </c>
    </row>
    <row r="62" spans="1:9" x14ac:dyDescent="0.35">
      <c r="A62">
        <v>1</v>
      </c>
      <c r="B62">
        <v>100000730</v>
      </c>
      <c r="C62" t="s">
        <v>196</v>
      </c>
      <c r="D62" t="s">
        <v>204</v>
      </c>
      <c r="E62">
        <v>100</v>
      </c>
      <c r="F62">
        <v>0</v>
      </c>
      <c r="G62">
        <v>100</v>
      </c>
      <c r="H62" s="1">
        <v>0</v>
      </c>
      <c r="I62" t="str">
        <f t="shared" si="5"/>
        <v xml:space="preserve">MAYO </v>
      </c>
    </row>
    <row r="63" spans="1:9" x14ac:dyDescent="0.35">
      <c r="A63">
        <v>1</v>
      </c>
      <c r="B63">
        <v>100002047</v>
      </c>
      <c r="C63" t="s">
        <v>38</v>
      </c>
      <c r="D63" t="s">
        <v>214</v>
      </c>
      <c r="E63">
        <v>1500</v>
      </c>
      <c r="F63">
        <v>750</v>
      </c>
      <c r="G63">
        <v>750</v>
      </c>
      <c r="H63" s="1">
        <v>0.5</v>
      </c>
      <c r="I63" t="str">
        <f t="shared" si="5"/>
        <v xml:space="preserve">MAYO </v>
      </c>
    </row>
    <row r="64" spans="1:9" x14ac:dyDescent="0.35">
      <c r="A64">
        <v>1</v>
      </c>
      <c r="B64">
        <v>100000867</v>
      </c>
      <c r="C64" t="s">
        <v>40</v>
      </c>
      <c r="D64" t="s">
        <v>204</v>
      </c>
      <c r="E64">
        <v>300</v>
      </c>
      <c r="F64">
        <v>0</v>
      </c>
      <c r="G64">
        <v>300</v>
      </c>
      <c r="H64" s="1">
        <v>0</v>
      </c>
      <c r="I64" t="str">
        <f t="shared" si="5"/>
        <v xml:space="preserve">MAYO </v>
      </c>
    </row>
    <row r="65" spans="1:9" x14ac:dyDescent="0.35">
      <c r="A65">
        <v>1</v>
      </c>
      <c r="B65">
        <v>100000918</v>
      </c>
      <c r="C65" t="s">
        <v>46</v>
      </c>
      <c r="D65" t="s">
        <v>204</v>
      </c>
      <c r="E65">
        <v>900</v>
      </c>
      <c r="F65">
        <v>0</v>
      </c>
      <c r="G65">
        <v>900</v>
      </c>
      <c r="H65" s="1">
        <v>0</v>
      </c>
      <c r="I65" t="str">
        <f t="shared" si="5"/>
        <v xml:space="preserve">MAYO </v>
      </c>
    </row>
    <row r="66" spans="1:9" x14ac:dyDescent="0.35">
      <c r="A66">
        <v>1</v>
      </c>
      <c r="B66">
        <v>100002244</v>
      </c>
      <c r="C66" t="s">
        <v>47</v>
      </c>
      <c r="D66" t="s">
        <v>204</v>
      </c>
      <c r="E66">
        <v>440</v>
      </c>
      <c r="F66">
        <v>0</v>
      </c>
      <c r="G66">
        <v>440</v>
      </c>
      <c r="H66" s="1">
        <v>0</v>
      </c>
      <c r="I66" t="str">
        <f t="shared" si="5"/>
        <v xml:space="preserve">MAYO </v>
      </c>
    </row>
    <row r="67" spans="1:9" x14ac:dyDescent="0.35">
      <c r="A67">
        <v>1</v>
      </c>
      <c r="B67">
        <v>100000983</v>
      </c>
      <c r="C67" t="s">
        <v>166</v>
      </c>
      <c r="D67" t="s">
        <v>204</v>
      </c>
      <c r="E67">
        <v>20</v>
      </c>
      <c r="F67">
        <v>0</v>
      </c>
      <c r="G67">
        <v>20</v>
      </c>
      <c r="H67" s="1">
        <v>0</v>
      </c>
      <c r="I67" t="str">
        <f t="shared" si="5"/>
        <v xml:space="preserve">MAYO </v>
      </c>
    </row>
    <row r="68" spans="1:9" x14ac:dyDescent="0.35">
      <c r="A68">
        <v>1</v>
      </c>
      <c r="B68">
        <v>100001020</v>
      </c>
      <c r="C68" t="s">
        <v>52</v>
      </c>
      <c r="D68" t="s">
        <v>204</v>
      </c>
      <c r="E68">
        <v>10500</v>
      </c>
      <c r="F68">
        <v>0</v>
      </c>
      <c r="G68">
        <v>10500</v>
      </c>
      <c r="H68" s="1">
        <v>0</v>
      </c>
      <c r="I68" t="str">
        <f t="shared" si="5"/>
        <v xml:space="preserve">MAYO </v>
      </c>
    </row>
    <row r="69" spans="1:9" x14ac:dyDescent="0.35">
      <c r="A69">
        <v>1</v>
      </c>
      <c r="B69">
        <v>100005482</v>
      </c>
      <c r="C69" t="s">
        <v>135</v>
      </c>
      <c r="D69" t="s">
        <v>204</v>
      </c>
      <c r="E69">
        <v>120</v>
      </c>
      <c r="F69">
        <v>0</v>
      </c>
      <c r="G69">
        <v>120</v>
      </c>
      <c r="H69" s="1">
        <v>0</v>
      </c>
      <c r="I69" t="str">
        <f t="shared" si="5"/>
        <v xml:space="preserve">MAYO </v>
      </c>
    </row>
    <row r="70" spans="1:9" x14ac:dyDescent="0.35">
      <c r="A70">
        <v>1</v>
      </c>
      <c r="B70">
        <v>100003413</v>
      </c>
      <c r="C70" t="s">
        <v>138</v>
      </c>
      <c r="D70" t="s">
        <v>204</v>
      </c>
      <c r="E70">
        <v>80</v>
      </c>
      <c r="F70">
        <v>0</v>
      </c>
      <c r="G70">
        <v>80</v>
      </c>
      <c r="H70" s="1">
        <v>0</v>
      </c>
      <c r="I70" t="str">
        <f t="shared" si="5"/>
        <v xml:space="preserve">MAYO </v>
      </c>
    </row>
    <row r="71" spans="1:9" x14ac:dyDescent="0.35">
      <c r="A71">
        <v>1</v>
      </c>
      <c r="B71">
        <v>100001306</v>
      </c>
      <c r="C71" t="s">
        <v>141</v>
      </c>
      <c r="D71" t="s">
        <v>204</v>
      </c>
      <c r="E71">
        <v>400</v>
      </c>
      <c r="F71">
        <v>0</v>
      </c>
      <c r="G71">
        <v>400</v>
      </c>
      <c r="H71" s="1">
        <v>0</v>
      </c>
      <c r="I71" t="str">
        <f t="shared" si="5"/>
        <v xml:space="preserve">MAYO </v>
      </c>
    </row>
    <row r="72" spans="1:9" x14ac:dyDescent="0.35">
      <c r="A72">
        <v>1</v>
      </c>
      <c r="B72">
        <v>100001306</v>
      </c>
      <c r="C72" t="s">
        <v>141</v>
      </c>
      <c r="D72" t="s">
        <v>204</v>
      </c>
      <c r="E72">
        <v>600</v>
      </c>
      <c r="F72">
        <v>0</v>
      </c>
      <c r="G72">
        <v>600</v>
      </c>
      <c r="H72" s="1">
        <v>0</v>
      </c>
      <c r="I72" t="str">
        <f t="shared" si="5"/>
        <v xml:space="preserve">MAYO </v>
      </c>
    </row>
    <row r="73" spans="1:9" x14ac:dyDescent="0.35">
      <c r="A73">
        <v>1</v>
      </c>
      <c r="B73">
        <v>100002561</v>
      </c>
      <c r="C73" t="s">
        <v>170</v>
      </c>
      <c r="D73" t="s">
        <v>214</v>
      </c>
      <c r="E73">
        <v>200</v>
      </c>
      <c r="F73">
        <v>100</v>
      </c>
      <c r="G73">
        <v>100</v>
      </c>
      <c r="H73" s="1">
        <v>0.5</v>
      </c>
      <c r="I73" t="str">
        <f t="shared" si="5"/>
        <v xml:space="preserve">MAYO </v>
      </c>
    </row>
    <row r="74" spans="1:9" x14ac:dyDescent="0.35">
      <c r="A74">
        <v>1</v>
      </c>
      <c r="B74">
        <v>100000044</v>
      </c>
      <c r="C74" t="s">
        <v>5</v>
      </c>
      <c r="D74" t="s">
        <v>204</v>
      </c>
      <c r="E74">
        <v>320</v>
      </c>
      <c r="F74">
        <v>0</v>
      </c>
      <c r="G74">
        <v>320</v>
      </c>
      <c r="H74" s="1">
        <v>0</v>
      </c>
      <c r="I74" t="s">
        <v>231</v>
      </c>
    </row>
    <row r="75" spans="1:9" x14ac:dyDescent="0.35">
      <c r="A75">
        <v>1</v>
      </c>
      <c r="B75">
        <v>100000046</v>
      </c>
      <c r="C75" t="s">
        <v>6</v>
      </c>
      <c r="D75" t="s">
        <v>204</v>
      </c>
      <c r="E75">
        <v>1000</v>
      </c>
      <c r="F75">
        <v>0</v>
      </c>
      <c r="G75">
        <v>1000</v>
      </c>
      <c r="H75" s="1">
        <v>0</v>
      </c>
      <c r="I75" t="str">
        <f>$I74</f>
        <v xml:space="preserve">JUNIO </v>
      </c>
    </row>
    <row r="76" spans="1:9" x14ac:dyDescent="0.35">
      <c r="A76">
        <v>1</v>
      </c>
      <c r="B76">
        <v>100000170</v>
      </c>
      <c r="C76" t="s">
        <v>10</v>
      </c>
      <c r="D76" t="s">
        <v>214</v>
      </c>
      <c r="E76">
        <v>200</v>
      </c>
      <c r="F76">
        <v>100</v>
      </c>
      <c r="G76">
        <v>100</v>
      </c>
      <c r="H76" s="1">
        <v>0.5</v>
      </c>
      <c r="I76" t="str">
        <f t="shared" ref="I76:I98" si="6">$I75</f>
        <v xml:space="preserve">JUNIO </v>
      </c>
    </row>
    <row r="77" spans="1:9" x14ac:dyDescent="0.35">
      <c r="A77">
        <v>1</v>
      </c>
      <c r="B77">
        <v>100000388</v>
      </c>
      <c r="C77" t="s">
        <v>151</v>
      </c>
      <c r="D77" t="s">
        <v>204</v>
      </c>
      <c r="E77">
        <v>50</v>
      </c>
      <c r="F77">
        <v>0</v>
      </c>
      <c r="G77">
        <v>50</v>
      </c>
      <c r="H77" s="1">
        <v>0</v>
      </c>
      <c r="I77" t="str">
        <f t="shared" si="6"/>
        <v xml:space="preserve">JUNIO </v>
      </c>
    </row>
    <row r="78" spans="1:9" x14ac:dyDescent="0.35">
      <c r="A78">
        <v>1</v>
      </c>
      <c r="B78">
        <v>100000587</v>
      </c>
      <c r="C78" t="s">
        <v>28</v>
      </c>
      <c r="D78" t="s">
        <v>214</v>
      </c>
      <c r="E78">
        <v>2000</v>
      </c>
      <c r="F78">
        <v>700</v>
      </c>
      <c r="G78">
        <v>1300</v>
      </c>
      <c r="H78" s="1">
        <v>0.35</v>
      </c>
      <c r="I78" t="str">
        <f t="shared" si="6"/>
        <v xml:space="preserve">JUNIO </v>
      </c>
    </row>
    <row r="79" spans="1:9" x14ac:dyDescent="0.35">
      <c r="A79">
        <v>1</v>
      </c>
      <c r="B79">
        <v>100000649</v>
      </c>
      <c r="C79" t="s">
        <v>31</v>
      </c>
      <c r="D79" t="s">
        <v>204</v>
      </c>
      <c r="E79">
        <v>30</v>
      </c>
      <c r="F79">
        <v>0</v>
      </c>
      <c r="G79">
        <v>30</v>
      </c>
      <c r="H79" s="1">
        <v>0</v>
      </c>
      <c r="I79" t="str">
        <f t="shared" si="6"/>
        <v xml:space="preserve">JUNIO </v>
      </c>
    </row>
    <row r="80" spans="1:9" x14ac:dyDescent="0.35">
      <c r="A80">
        <v>1</v>
      </c>
      <c r="B80">
        <v>100002361</v>
      </c>
      <c r="C80" t="s">
        <v>158</v>
      </c>
      <c r="D80" t="s">
        <v>204</v>
      </c>
      <c r="E80">
        <v>20</v>
      </c>
      <c r="F80">
        <v>0</v>
      </c>
      <c r="G80">
        <v>20</v>
      </c>
      <c r="H80" s="1">
        <v>0</v>
      </c>
      <c r="I80" t="str">
        <f t="shared" si="6"/>
        <v xml:space="preserve">JUNIO </v>
      </c>
    </row>
    <row r="81" spans="1:9" x14ac:dyDescent="0.35">
      <c r="A81">
        <v>1</v>
      </c>
      <c r="B81">
        <v>100000730</v>
      </c>
      <c r="C81" t="s">
        <v>196</v>
      </c>
      <c r="D81" t="s">
        <v>204</v>
      </c>
      <c r="E81">
        <v>200</v>
      </c>
      <c r="F81">
        <v>0</v>
      </c>
      <c r="G81">
        <v>200</v>
      </c>
      <c r="H81" s="1">
        <v>0</v>
      </c>
      <c r="I81" t="str">
        <f t="shared" si="6"/>
        <v xml:space="preserve">JUNIO </v>
      </c>
    </row>
    <row r="82" spans="1:9" x14ac:dyDescent="0.35">
      <c r="A82">
        <v>1</v>
      </c>
      <c r="B82">
        <v>100000735</v>
      </c>
      <c r="C82" t="s">
        <v>222</v>
      </c>
      <c r="D82" t="s">
        <v>204</v>
      </c>
      <c r="E82">
        <v>130</v>
      </c>
      <c r="F82">
        <v>0</v>
      </c>
      <c r="G82">
        <v>130</v>
      </c>
      <c r="H82" s="1">
        <v>0</v>
      </c>
      <c r="I82" t="str">
        <f t="shared" si="6"/>
        <v xml:space="preserve">JUNIO </v>
      </c>
    </row>
    <row r="83" spans="1:9" x14ac:dyDescent="0.35">
      <c r="A83">
        <v>1</v>
      </c>
      <c r="B83">
        <v>100000735</v>
      </c>
      <c r="C83" t="s">
        <v>222</v>
      </c>
      <c r="D83" t="s">
        <v>204</v>
      </c>
      <c r="E83">
        <v>120</v>
      </c>
      <c r="F83">
        <v>0</v>
      </c>
      <c r="G83">
        <v>120</v>
      </c>
      <c r="H83" s="1">
        <v>0</v>
      </c>
      <c r="I83" t="str">
        <f t="shared" si="6"/>
        <v xml:space="preserve">JUNIO </v>
      </c>
    </row>
    <row r="84" spans="1:9" x14ac:dyDescent="0.35">
      <c r="A84">
        <v>1</v>
      </c>
      <c r="B84">
        <v>100002337</v>
      </c>
      <c r="C84" t="s">
        <v>34</v>
      </c>
      <c r="D84" t="s">
        <v>214</v>
      </c>
      <c r="E84">
        <v>60</v>
      </c>
      <c r="F84">
        <v>31</v>
      </c>
      <c r="G84">
        <v>29</v>
      </c>
      <c r="H84" s="1">
        <v>0.52</v>
      </c>
      <c r="I84" t="str">
        <f t="shared" si="6"/>
        <v xml:space="preserve">JUNIO </v>
      </c>
    </row>
    <row r="85" spans="1:9" x14ac:dyDescent="0.35">
      <c r="A85">
        <v>1</v>
      </c>
      <c r="B85">
        <v>100000894</v>
      </c>
      <c r="C85" t="s">
        <v>41</v>
      </c>
      <c r="D85" t="s">
        <v>204</v>
      </c>
      <c r="E85">
        <v>720</v>
      </c>
      <c r="F85">
        <v>0</v>
      </c>
      <c r="G85">
        <v>720</v>
      </c>
      <c r="H85" s="1">
        <v>0</v>
      </c>
      <c r="I85" t="str">
        <f t="shared" si="6"/>
        <v xml:space="preserve">JUNIO </v>
      </c>
    </row>
    <row r="86" spans="1:9" x14ac:dyDescent="0.35">
      <c r="A86">
        <v>1</v>
      </c>
      <c r="B86">
        <v>100003431</v>
      </c>
      <c r="C86" t="s">
        <v>42</v>
      </c>
      <c r="D86" t="s">
        <v>204</v>
      </c>
      <c r="E86">
        <v>42</v>
      </c>
      <c r="F86">
        <v>0</v>
      </c>
      <c r="G86">
        <v>42</v>
      </c>
      <c r="H86" s="1">
        <v>0</v>
      </c>
      <c r="I86" t="str">
        <f t="shared" si="6"/>
        <v xml:space="preserve">JUNIO </v>
      </c>
    </row>
    <row r="87" spans="1:9" x14ac:dyDescent="0.35">
      <c r="A87">
        <v>1</v>
      </c>
      <c r="B87">
        <v>100000918</v>
      </c>
      <c r="C87" t="s">
        <v>46</v>
      </c>
      <c r="D87" t="s">
        <v>204</v>
      </c>
      <c r="E87">
        <v>1200</v>
      </c>
      <c r="F87">
        <v>0</v>
      </c>
      <c r="G87">
        <v>1200</v>
      </c>
      <c r="H87" s="1">
        <v>0</v>
      </c>
      <c r="I87" t="str">
        <f t="shared" si="6"/>
        <v xml:space="preserve">JUNIO </v>
      </c>
    </row>
    <row r="88" spans="1:9" x14ac:dyDescent="0.35">
      <c r="A88">
        <v>1</v>
      </c>
      <c r="B88">
        <v>100001010</v>
      </c>
      <c r="C88" t="s">
        <v>163</v>
      </c>
      <c r="D88" t="s">
        <v>204</v>
      </c>
      <c r="E88">
        <v>50</v>
      </c>
      <c r="F88">
        <v>0</v>
      </c>
      <c r="G88">
        <v>50</v>
      </c>
      <c r="H88" s="1">
        <v>0</v>
      </c>
      <c r="I88" t="str">
        <f t="shared" si="6"/>
        <v xml:space="preserve">JUNIO </v>
      </c>
    </row>
    <row r="89" spans="1:9" x14ac:dyDescent="0.35">
      <c r="A89">
        <v>1</v>
      </c>
      <c r="B89">
        <v>100002581</v>
      </c>
      <c r="C89" t="s">
        <v>229</v>
      </c>
      <c r="D89" t="s">
        <v>204</v>
      </c>
      <c r="E89">
        <v>120</v>
      </c>
      <c r="F89">
        <v>0</v>
      </c>
      <c r="G89">
        <v>120</v>
      </c>
      <c r="H89" s="1">
        <v>0</v>
      </c>
      <c r="I89" t="str">
        <f t="shared" si="6"/>
        <v xml:space="preserve">JUNIO </v>
      </c>
    </row>
    <row r="90" spans="1:9" x14ac:dyDescent="0.35">
      <c r="A90">
        <v>1</v>
      </c>
      <c r="B90">
        <v>100001063</v>
      </c>
      <c r="C90" t="s">
        <v>131</v>
      </c>
      <c r="D90" t="s">
        <v>204</v>
      </c>
      <c r="E90">
        <v>10</v>
      </c>
      <c r="F90">
        <v>0</v>
      </c>
      <c r="G90">
        <v>10</v>
      </c>
      <c r="H90" s="1">
        <v>0</v>
      </c>
      <c r="I90" t="str">
        <f t="shared" si="6"/>
        <v xml:space="preserve">JUNIO </v>
      </c>
    </row>
    <row r="91" spans="1:9" x14ac:dyDescent="0.35">
      <c r="A91">
        <v>1</v>
      </c>
      <c r="B91">
        <v>100001243</v>
      </c>
      <c r="C91" t="s">
        <v>69</v>
      </c>
      <c r="D91" t="s">
        <v>204</v>
      </c>
      <c r="E91">
        <v>15</v>
      </c>
      <c r="F91">
        <v>0</v>
      </c>
      <c r="G91">
        <v>15</v>
      </c>
      <c r="H91" s="1">
        <v>0</v>
      </c>
      <c r="I91" t="str">
        <f t="shared" si="6"/>
        <v xml:space="preserve">JUNIO </v>
      </c>
    </row>
    <row r="92" spans="1:9" x14ac:dyDescent="0.35">
      <c r="A92">
        <v>1</v>
      </c>
      <c r="B92">
        <v>100002314</v>
      </c>
      <c r="C92" t="s">
        <v>74</v>
      </c>
      <c r="D92" t="s">
        <v>214</v>
      </c>
      <c r="E92">
        <v>3</v>
      </c>
      <c r="F92">
        <v>1</v>
      </c>
      <c r="G92">
        <v>2</v>
      </c>
      <c r="H92" s="1">
        <v>0.33</v>
      </c>
      <c r="I92" t="str">
        <f t="shared" si="6"/>
        <v xml:space="preserve">JUNIO </v>
      </c>
    </row>
    <row r="93" spans="1:9" x14ac:dyDescent="0.35">
      <c r="A93">
        <v>1</v>
      </c>
      <c r="B93">
        <v>100001308</v>
      </c>
      <c r="C93" t="s">
        <v>142</v>
      </c>
      <c r="D93" t="s">
        <v>204</v>
      </c>
      <c r="E93">
        <v>260</v>
      </c>
      <c r="F93">
        <v>0</v>
      </c>
      <c r="G93">
        <v>260</v>
      </c>
      <c r="H93" s="1">
        <v>0</v>
      </c>
      <c r="I93" t="str">
        <f t="shared" si="6"/>
        <v xml:space="preserve">JUNIO </v>
      </c>
    </row>
    <row r="94" spans="1:9" x14ac:dyDescent="0.35">
      <c r="A94">
        <v>1</v>
      </c>
      <c r="B94">
        <v>100001308</v>
      </c>
      <c r="C94" t="s">
        <v>142</v>
      </c>
      <c r="D94" t="s">
        <v>204</v>
      </c>
      <c r="E94">
        <v>300</v>
      </c>
      <c r="F94">
        <v>0</v>
      </c>
      <c r="G94">
        <v>300</v>
      </c>
      <c r="H94" s="1">
        <v>0</v>
      </c>
      <c r="I94" t="str">
        <f t="shared" si="6"/>
        <v xml:space="preserve">JUNIO </v>
      </c>
    </row>
    <row r="95" spans="1:9" x14ac:dyDescent="0.35">
      <c r="A95">
        <v>1</v>
      </c>
      <c r="B95">
        <v>100001310</v>
      </c>
      <c r="C95" t="s">
        <v>76</v>
      </c>
      <c r="D95" t="s">
        <v>204</v>
      </c>
      <c r="E95">
        <v>10200</v>
      </c>
      <c r="F95">
        <v>0</v>
      </c>
      <c r="G95">
        <v>10200</v>
      </c>
      <c r="H95" s="1">
        <v>0</v>
      </c>
      <c r="I95" t="str">
        <f t="shared" si="6"/>
        <v xml:space="preserve">JUNIO </v>
      </c>
    </row>
    <row r="96" spans="1:9" x14ac:dyDescent="0.35">
      <c r="A96">
        <v>1</v>
      </c>
      <c r="B96">
        <v>100002561</v>
      </c>
      <c r="C96" t="s">
        <v>170</v>
      </c>
      <c r="D96" t="s">
        <v>204</v>
      </c>
      <c r="E96">
        <v>200</v>
      </c>
      <c r="F96">
        <v>0</v>
      </c>
      <c r="G96">
        <v>200</v>
      </c>
      <c r="H96" s="1">
        <v>0</v>
      </c>
      <c r="I96" t="str">
        <f t="shared" si="6"/>
        <v xml:space="preserve">JUNIO </v>
      </c>
    </row>
    <row r="97" spans="1:9" x14ac:dyDescent="0.35">
      <c r="A97">
        <v>1</v>
      </c>
      <c r="B97">
        <v>100002131</v>
      </c>
      <c r="C97" t="s">
        <v>230</v>
      </c>
      <c r="D97" t="s">
        <v>204</v>
      </c>
      <c r="E97">
        <v>4</v>
      </c>
      <c r="F97">
        <v>0</v>
      </c>
      <c r="G97">
        <v>4</v>
      </c>
      <c r="H97" s="1">
        <v>0</v>
      </c>
      <c r="I97" t="str">
        <f t="shared" si="6"/>
        <v xml:space="preserve">JUNIO </v>
      </c>
    </row>
    <row r="98" spans="1:9" x14ac:dyDescent="0.35">
      <c r="A98">
        <v>1</v>
      </c>
      <c r="B98">
        <v>100001466</v>
      </c>
      <c r="C98" t="s">
        <v>84</v>
      </c>
      <c r="D98" t="s">
        <v>204</v>
      </c>
      <c r="E98">
        <v>3900</v>
      </c>
      <c r="F98">
        <v>0</v>
      </c>
      <c r="G98">
        <v>3900</v>
      </c>
      <c r="H98" s="1">
        <v>0</v>
      </c>
      <c r="I98" t="str">
        <f t="shared" si="6"/>
        <v xml:space="preserve">JUNIO </v>
      </c>
    </row>
    <row r="99" spans="1:9" x14ac:dyDescent="0.35">
      <c r="A99">
        <v>1</v>
      </c>
      <c r="B99">
        <v>100002253</v>
      </c>
      <c r="C99" t="s">
        <v>134</v>
      </c>
      <c r="D99" t="s">
        <v>214</v>
      </c>
      <c r="E99">
        <v>50</v>
      </c>
      <c r="F99">
        <v>25</v>
      </c>
      <c r="G99">
        <v>25</v>
      </c>
      <c r="H99" s="1">
        <v>0.5</v>
      </c>
      <c r="I99" t="s">
        <v>173</v>
      </c>
    </row>
    <row r="100" spans="1:9" x14ac:dyDescent="0.35">
      <c r="A100">
        <v>1</v>
      </c>
      <c r="B100">
        <v>100002918</v>
      </c>
      <c r="C100" t="s">
        <v>70</v>
      </c>
      <c r="D100" t="s">
        <v>214</v>
      </c>
      <c r="E100">
        <v>560</v>
      </c>
      <c r="F100">
        <v>308</v>
      </c>
      <c r="G100">
        <v>252</v>
      </c>
      <c r="H100" s="1">
        <v>0.55000000000000004</v>
      </c>
      <c r="I100" t="str">
        <f>$I99</f>
        <v xml:space="preserve">JULIO </v>
      </c>
    </row>
    <row r="101" spans="1:9" x14ac:dyDescent="0.35">
      <c r="A101">
        <v>1</v>
      </c>
      <c r="B101">
        <v>100002918</v>
      </c>
      <c r="C101" t="s">
        <v>70</v>
      </c>
      <c r="D101" t="s">
        <v>214</v>
      </c>
      <c r="E101">
        <v>560</v>
      </c>
      <c r="F101">
        <v>308</v>
      </c>
      <c r="G101">
        <v>252</v>
      </c>
      <c r="H101" s="1">
        <v>0.55000000000000004</v>
      </c>
      <c r="I101" t="str">
        <f t="shared" ref="I101:I110" si="7">$I100</f>
        <v xml:space="preserve">JULIO </v>
      </c>
    </row>
    <row r="102" spans="1:9" x14ac:dyDescent="0.35">
      <c r="A102">
        <v>1</v>
      </c>
      <c r="B102">
        <v>100001358</v>
      </c>
      <c r="C102" t="s">
        <v>144</v>
      </c>
      <c r="D102" t="s">
        <v>214</v>
      </c>
      <c r="E102">
        <v>8</v>
      </c>
      <c r="F102">
        <v>4</v>
      </c>
      <c r="G102">
        <v>4</v>
      </c>
      <c r="H102" s="1">
        <v>0.5</v>
      </c>
      <c r="I102" t="str">
        <f t="shared" si="7"/>
        <v xml:space="preserve">JULIO </v>
      </c>
    </row>
    <row r="103" spans="1:9" x14ac:dyDescent="0.35">
      <c r="A103">
        <v>1</v>
      </c>
      <c r="B103">
        <v>100000044</v>
      </c>
      <c r="C103" t="s">
        <v>5</v>
      </c>
      <c r="D103" t="s">
        <v>204</v>
      </c>
      <c r="E103">
        <v>240</v>
      </c>
      <c r="F103">
        <v>0</v>
      </c>
      <c r="G103">
        <v>240</v>
      </c>
      <c r="H103" s="1">
        <v>0</v>
      </c>
      <c r="I103" t="str">
        <f t="shared" si="7"/>
        <v xml:space="preserve">JULIO </v>
      </c>
    </row>
    <row r="104" spans="1:9" x14ac:dyDescent="0.35">
      <c r="A104">
        <v>1</v>
      </c>
      <c r="B104">
        <v>100003907</v>
      </c>
      <c r="C104" t="s">
        <v>232</v>
      </c>
      <c r="D104" t="s">
        <v>204</v>
      </c>
      <c r="E104">
        <v>28</v>
      </c>
      <c r="F104">
        <v>0</v>
      </c>
      <c r="G104">
        <v>28</v>
      </c>
      <c r="H104" s="1">
        <v>0</v>
      </c>
      <c r="I104" t="str">
        <f t="shared" si="7"/>
        <v xml:space="preserve">JULIO </v>
      </c>
    </row>
    <row r="105" spans="1:9" x14ac:dyDescent="0.35">
      <c r="A105">
        <v>1</v>
      </c>
      <c r="B105">
        <v>100000388</v>
      </c>
      <c r="C105" t="s">
        <v>151</v>
      </c>
      <c r="D105" t="s">
        <v>204</v>
      </c>
      <c r="E105">
        <v>50</v>
      </c>
      <c r="F105">
        <v>0</v>
      </c>
      <c r="G105">
        <v>50</v>
      </c>
      <c r="H105" s="1">
        <v>0</v>
      </c>
      <c r="I105" t="str">
        <f t="shared" si="7"/>
        <v xml:space="preserve">JULIO </v>
      </c>
    </row>
    <row r="106" spans="1:9" x14ac:dyDescent="0.35">
      <c r="A106">
        <v>1</v>
      </c>
      <c r="B106">
        <v>100000698</v>
      </c>
      <c r="C106" t="s">
        <v>233</v>
      </c>
      <c r="D106" t="s">
        <v>204</v>
      </c>
      <c r="E106">
        <v>1620</v>
      </c>
      <c r="F106">
        <v>0</v>
      </c>
      <c r="G106">
        <v>1620</v>
      </c>
      <c r="H106" s="1">
        <v>0</v>
      </c>
      <c r="I106" t="str">
        <f t="shared" si="7"/>
        <v xml:space="preserve">JULIO </v>
      </c>
    </row>
    <row r="107" spans="1:9" x14ac:dyDescent="0.35">
      <c r="A107">
        <v>1</v>
      </c>
      <c r="B107">
        <v>100001047</v>
      </c>
      <c r="C107" t="s">
        <v>129</v>
      </c>
      <c r="D107" t="s">
        <v>204</v>
      </c>
      <c r="E107">
        <v>100</v>
      </c>
      <c r="F107">
        <v>0</v>
      </c>
      <c r="G107">
        <v>100</v>
      </c>
      <c r="H107" s="1">
        <v>0</v>
      </c>
      <c r="I107" t="str">
        <f t="shared" si="7"/>
        <v xml:space="preserve">JULIO </v>
      </c>
    </row>
    <row r="108" spans="1:9" x14ac:dyDescent="0.35">
      <c r="A108">
        <v>1</v>
      </c>
      <c r="B108">
        <v>100001199</v>
      </c>
      <c r="C108" t="s">
        <v>164</v>
      </c>
      <c r="D108" t="s">
        <v>204</v>
      </c>
      <c r="E108">
        <v>500</v>
      </c>
      <c r="F108">
        <v>0</v>
      </c>
      <c r="G108">
        <v>500</v>
      </c>
      <c r="H108" s="1">
        <v>0</v>
      </c>
      <c r="I108" t="str">
        <f t="shared" si="7"/>
        <v xml:space="preserve">JULIO </v>
      </c>
    </row>
    <row r="109" spans="1:9" x14ac:dyDescent="0.35">
      <c r="A109">
        <v>1</v>
      </c>
      <c r="B109">
        <v>100001367</v>
      </c>
      <c r="C109" t="s">
        <v>185</v>
      </c>
      <c r="D109" t="s">
        <v>204</v>
      </c>
      <c r="E109">
        <v>30</v>
      </c>
      <c r="F109">
        <v>0</v>
      </c>
      <c r="G109">
        <v>30</v>
      </c>
      <c r="H109" s="1">
        <v>0</v>
      </c>
      <c r="I109" t="str">
        <f t="shared" si="7"/>
        <v xml:space="preserve">JULIO </v>
      </c>
    </row>
    <row r="110" spans="1:9" x14ac:dyDescent="0.35">
      <c r="A110">
        <v>1</v>
      </c>
      <c r="B110">
        <v>100001466</v>
      </c>
      <c r="C110" t="s">
        <v>84</v>
      </c>
      <c r="D110" t="s">
        <v>204</v>
      </c>
      <c r="E110">
        <v>3900</v>
      </c>
      <c r="F110">
        <v>0</v>
      </c>
      <c r="G110">
        <v>3900</v>
      </c>
      <c r="H110" s="1">
        <v>0</v>
      </c>
      <c r="I110" t="str">
        <f t="shared" si="7"/>
        <v xml:space="preserve">JULIO </v>
      </c>
    </row>
    <row r="111" spans="1:9" x14ac:dyDescent="0.35">
      <c r="A111">
        <v>1</v>
      </c>
      <c r="B111">
        <v>100004700</v>
      </c>
      <c r="C111" t="s">
        <v>1</v>
      </c>
      <c r="D111" t="s">
        <v>214</v>
      </c>
      <c r="E111">
        <v>3720</v>
      </c>
      <c r="F111">
        <v>480</v>
      </c>
      <c r="G111">
        <v>3240</v>
      </c>
      <c r="H111" s="1">
        <v>0.13</v>
      </c>
      <c r="I111" t="s">
        <v>236</v>
      </c>
    </row>
    <row r="112" spans="1:9" x14ac:dyDescent="0.35">
      <c r="A112">
        <v>1</v>
      </c>
      <c r="B112">
        <v>100000044</v>
      </c>
      <c r="C112" t="s">
        <v>5</v>
      </c>
      <c r="D112" t="s">
        <v>204</v>
      </c>
      <c r="E112">
        <v>20</v>
      </c>
      <c r="F112">
        <v>0</v>
      </c>
      <c r="G112">
        <v>20</v>
      </c>
      <c r="H112" s="1">
        <v>0</v>
      </c>
      <c r="I112" t="str">
        <f>$I111</f>
        <v xml:space="preserve">AGOSTO </v>
      </c>
    </row>
    <row r="113" spans="1:9" x14ac:dyDescent="0.35">
      <c r="A113">
        <v>1</v>
      </c>
      <c r="B113">
        <v>100002190</v>
      </c>
      <c r="C113" t="s">
        <v>234</v>
      </c>
      <c r="D113" t="s">
        <v>204</v>
      </c>
      <c r="E113">
        <v>840</v>
      </c>
      <c r="F113">
        <v>0</v>
      </c>
      <c r="G113">
        <v>840</v>
      </c>
      <c r="H113" s="1">
        <v>0</v>
      </c>
      <c r="I113" t="str">
        <f t="shared" ref="I113:I122" si="8">$I112</f>
        <v xml:space="preserve">AGOSTO </v>
      </c>
    </row>
    <row r="114" spans="1:9" x14ac:dyDescent="0.35">
      <c r="A114">
        <v>1</v>
      </c>
      <c r="B114">
        <v>100002347</v>
      </c>
      <c r="C114" t="s">
        <v>17</v>
      </c>
      <c r="D114" t="s">
        <v>204</v>
      </c>
      <c r="E114">
        <v>80</v>
      </c>
      <c r="F114">
        <v>0</v>
      </c>
      <c r="G114">
        <v>80</v>
      </c>
      <c r="H114" s="1">
        <v>0</v>
      </c>
      <c r="I114" t="str">
        <f t="shared" si="8"/>
        <v xml:space="preserve">AGOSTO </v>
      </c>
    </row>
    <row r="115" spans="1:9" x14ac:dyDescent="0.35">
      <c r="A115">
        <v>1</v>
      </c>
      <c r="B115">
        <v>100000388</v>
      </c>
      <c r="C115" t="s">
        <v>151</v>
      </c>
      <c r="D115" t="s">
        <v>204</v>
      </c>
      <c r="E115">
        <v>50</v>
      </c>
      <c r="F115">
        <v>0</v>
      </c>
      <c r="G115">
        <v>50</v>
      </c>
      <c r="H115" s="1">
        <v>0</v>
      </c>
      <c r="I115" t="str">
        <f t="shared" si="8"/>
        <v xml:space="preserve">AGOSTO </v>
      </c>
    </row>
    <row r="116" spans="1:9" x14ac:dyDescent="0.35">
      <c r="A116">
        <v>1</v>
      </c>
      <c r="B116">
        <v>100004355</v>
      </c>
      <c r="C116" t="s">
        <v>23</v>
      </c>
      <c r="D116" t="s">
        <v>214</v>
      </c>
      <c r="E116">
        <v>25</v>
      </c>
      <c r="F116">
        <v>3</v>
      </c>
      <c r="G116">
        <v>22</v>
      </c>
      <c r="H116" s="1">
        <v>0.12</v>
      </c>
      <c r="I116" t="str">
        <f t="shared" si="8"/>
        <v xml:space="preserve">AGOSTO </v>
      </c>
    </row>
    <row r="117" spans="1:9" x14ac:dyDescent="0.35">
      <c r="A117">
        <v>1</v>
      </c>
      <c r="B117">
        <v>100000585</v>
      </c>
      <c r="C117" t="s">
        <v>118</v>
      </c>
      <c r="D117" t="s">
        <v>204</v>
      </c>
      <c r="E117">
        <v>1000</v>
      </c>
      <c r="F117">
        <v>0</v>
      </c>
      <c r="G117">
        <v>1000</v>
      </c>
      <c r="H117" s="1">
        <v>0</v>
      </c>
      <c r="I117" t="str">
        <f t="shared" si="8"/>
        <v xml:space="preserve">AGOSTO </v>
      </c>
    </row>
    <row r="118" spans="1:9" x14ac:dyDescent="0.35">
      <c r="A118">
        <v>1</v>
      </c>
      <c r="B118">
        <v>100000698</v>
      </c>
      <c r="C118" t="s">
        <v>233</v>
      </c>
      <c r="D118" t="s">
        <v>204</v>
      </c>
      <c r="E118">
        <v>1620</v>
      </c>
      <c r="F118">
        <v>0</v>
      </c>
      <c r="G118">
        <v>1620</v>
      </c>
      <c r="H118" s="1">
        <v>0</v>
      </c>
      <c r="I118" t="str">
        <f t="shared" si="8"/>
        <v xml:space="preserve">AGOSTO </v>
      </c>
    </row>
    <row r="119" spans="1:9" x14ac:dyDescent="0.35">
      <c r="A119">
        <v>1</v>
      </c>
      <c r="B119">
        <v>100001035</v>
      </c>
      <c r="C119" t="s">
        <v>235</v>
      </c>
      <c r="D119" t="s">
        <v>214</v>
      </c>
      <c r="E119">
        <v>200</v>
      </c>
      <c r="F119">
        <v>100</v>
      </c>
      <c r="G119">
        <v>100</v>
      </c>
      <c r="H119" s="1">
        <v>0.5</v>
      </c>
      <c r="I119" t="str">
        <f t="shared" si="8"/>
        <v xml:space="preserve">AGOSTO </v>
      </c>
    </row>
    <row r="120" spans="1:9" x14ac:dyDescent="0.35">
      <c r="A120">
        <v>1</v>
      </c>
      <c r="B120">
        <v>100001116</v>
      </c>
      <c r="C120" t="s">
        <v>194</v>
      </c>
      <c r="D120" t="s">
        <v>204</v>
      </c>
      <c r="E120">
        <v>100</v>
      </c>
      <c r="F120">
        <v>0</v>
      </c>
      <c r="G120">
        <v>100</v>
      </c>
      <c r="H120" s="1">
        <v>0</v>
      </c>
      <c r="I120" t="str">
        <f t="shared" si="8"/>
        <v xml:space="preserve">AGOSTO </v>
      </c>
    </row>
    <row r="121" spans="1:9" x14ac:dyDescent="0.35">
      <c r="A121">
        <v>1</v>
      </c>
      <c r="B121">
        <v>100002314</v>
      </c>
      <c r="C121" t="s">
        <v>74</v>
      </c>
      <c r="D121" t="s">
        <v>204</v>
      </c>
      <c r="E121">
        <v>15</v>
      </c>
      <c r="F121">
        <v>0</v>
      </c>
      <c r="G121">
        <v>15</v>
      </c>
      <c r="H121" s="1">
        <v>0</v>
      </c>
      <c r="I121" t="str">
        <f t="shared" si="8"/>
        <v xml:space="preserve">AGOSTO </v>
      </c>
    </row>
    <row r="122" spans="1:9" x14ac:dyDescent="0.35">
      <c r="A122">
        <v>1</v>
      </c>
      <c r="B122">
        <v>100002561</v>
      </c>
      <c r="C122" t="s">
        <v>170</v>
      </c>
      <c r="D122" t="s">
        <v>204</v>
      </c>
      <c r="E122">
        <v>200</v>
      </c>
      <c r="F122">
        <v>0</v>
      </c>
      <c r="G122">
        <v>200</v>
      </c>
      <c r="H122" s="1">
        <v>0</v>
      </c>
      <c r="I122" t="str">
        <f t="shared" si="8"/>
        <v xml:space="preserve">AGOSTO </v>
      </c>
    </row>
    <row r="123" spans="1:9" x14ac:dyDescent="0.35">
      <c r="A123">
        <v>1</v>
      </c>
      <c r="B123">
        <v>100005325</v>
      </c>
      <c r="C123" t="s">
        <v>103</v>
      </c>
      <c r="D123" t="s">
        <v>204</v>
      </c>
      <c r="E123">
        <v>1120</v>
      </c>
      <c r="F123">
        <v>0</v>
      </c>
      <c r="G123">
        <v>1120</v>
      </c>
      <c r="H123" s="1">
        <v>0</v>
      </c>
      <c r="I123" t="s">
        <v>177</v>
      </c>
    </row>
    <row r="124" spans="1:9" x14ac:dyDescent="0.35">
      <c r="A124">
        <v>1</v>
      </c>
      <c r="B124">
        <v>100000172</v>
      </c>
      <c r="C124" t="s">
        <v>104</v>
      </c>
      <c r="D124" t="s">
        <v>214</v>
      </c>
      <c r="E124">
        <v>1000</v>
      </c>
      <c r="F124">
        <v>420</v>
      </c>
      <c r="G124">
        <v>580</v>
      </c>
      <c r="H124" s="1">
        <v>0.42</v>
      </c>
      <c r="I124" t="str">
        <f>$I123</f>
        <v>SEPTIEMBRE</v>
      </c>
    </row>
    <row r="125" spans="1:9" x14ac:dyDescent="0.35">
      <c r="A125">
        <v>1</v>
      </c>
      <c r="B125">
        <v>100000388</v>
      </c>
      <c r="C125" t="s">
        <v>151</v>
      </c>
      <c r="D125" t="s">
        <v>204</v>
      </c>
      <c r="E125">
        <v>50</v>
      </c>
      <c r="F125">
        <v>0</v>
      </c>
      <c r="G125">
        <v>50</v>
      </c>
      <c r="H125" s="1">
        <v>0</v>
      </c>
      <c r="I125" t="str">
        <f t="shared" ref="I125:I135" si="9">$I124</f>
        <v>SEPTIEMBRE</v>
      </c>
    </row>
    <row r="126" spans="1:9" x14ac:dyDescent="0.35">
      <c r="A126">
        <v>1</v>
      </c>
      <c r="B126">
        <v>100002164</v>
      </c>
      <c r="C126" t="s">
        <v>30</v>
      </c>
      <c r="D126" t="s">
        <v>204</v>
      </c>
      <c r="E126">
        <v>200</v>
      </c>
      <c r="F126">
        <v>0</v>
      </c>
      <c r="G126">
        <v>200</v>
      </c>
      <c r="H126" s="1">
        <v>0</v>
      </c>
      <c r="I126" t="str">
        <f t="shared" si="9"/>
        <v>SEPTIEMBRE</v>
      </c>
    </row>
    <row r="127" spans="1:9" x14ac:dyDescent="0.35">
      <c r="A127">
        <v>1</v>
      </c>
      <c r="B127">
        <v>100004642</v>
      </c>
      <c r="C127" t="s">
        <v>88</v>
      </c>
      <c r="D127" t="s">
        <v>204</v>
      </c>
      <c r="E127">
        <v>60</v>
      </c>
      <c r="F127">
        <v>0</v>
      </c>
      <c r="G127">
        <v>60</v>
      </c>
      <c r="H127" s="1">
        <v>0</v>
      </c>
      <c r="I127" t="str">
        <f t="shared" si="9"/>
        <v>SEPTIEMBRE</v>
      </c>
    </row>
    <row r="128" spans="1:9" x14ac:dyDescent="0.35">
      <c r="A128">
        <v>1</v>
      </c>
      <c r="B128">
        <v>100000983</v>
      </c>
      <c r="C128" t="s">
        <v>166</v>
      </c>
      <c r="D128" t="s">
        <v>204</v>
      </c>
      <c r="E128">
        <v>20</v>
      </c>
      <c r="F128">
        <v>0</v>
      </c>
      <c r="G128">
        <v>20</v>
      </c>
      <c r="H128" s="1">
        <v>0</v>
      </c>
      <c r="I128" t="str">
        <f t="shared" si="9"/>
        <v>SEPTIEMBRE</v>
      </c>
    </row>
    <row r="129" spans="1:9" x14ac:dyDescent="0.35">
      <c r="A129">
        <v>1</v>
      </c>
      <c r="B129">
        <v>100002581</v>
      </c>
      <c r="C129" t="s">
        <v>229</v>
      </c>
      <c r="D129" t="s">
        <v>204</v>
      </c>
      <c r="E129">
        <v>120</v>
      </c>
      <c r="F129">
        <v>0</v>
      </c>
      <c r="G129">
        <v>120</v>
      </c>
      <c r="H129" s="1">
        <v>0</v>
      </c>
      <c r="I129" t="str">
        <f t="shared" si="9"/>
        <v>SEPTIEMBRE</v>
      </c>
    </row>
    <row r="130" spans="1:9" x14ac:dyDescent="0.35">
      <c r="A130">
        <v>1</v>
      </c>
      <c r="B130">
        <v>100001047</v>
      </c>
      <c r="C130" t="s">
        <v>129</v>
      </c>
      <c r="D130" t="s">
        <v>204</v>
      </c>
      <c r="E130">
        <v>100</v>
      </c>
      <c r="F130">
        <v>0</v>
      </c>
      <c r="G130">
        <v>100</v>
      </c>
      <c r="H130" s="1">
        <v>0</v>
      </c>
      <c r="I130" t="str">
        <f t="shared" si="9"/>
        <v>SEPTIEMBRE</v>
      </c>
    </row>
    <row r="131" spans="1:9" x14ac:dyDescent="0.35">
      <c r="A131">
        <v>1</v>
      </c>
      <c r="B131">
        <v>100005299</v>
      </c>
      <c r="C131" t="s">
        <v>55</v>
      </c>
      <c r="D131" t="s">
        <v>204</v>
      </c>
      <c r="E131">
        <v>10</v>
      </c>
      <c r="F131">
        <v>0</v>
      </c>
      <c r="G131">
        <v>10</v>
      </c>
      <c r="H131" s="1">
        <v>0</v>
      </c>
      <c r="I131" t="str">
        <f t="shared" si="9"/>
        <v>SEPTIEMBRE</v>
      </c>
    </row>
    <row r="132" spans="1:9" x14ac:dyDescent="0.35">
      <c r="A132">
        <v>1</v>
      </c>
      <c r="B132">
        <v>100001063</v>
      </c>
      <c r="C132" t="s">
        <v>131</v>
      </c>
      <c r="D132" t="s">
        <v>204</v>
      </c>
      <c r="E132">
        <v>10</v>
      </c>
      <c r="F132">
        <v>0</v>
      </c>
      <c r="G132">
        <v>10</v>
      </c>
      <c r="H132" s="1">
        <v>0</v>
      </c>
      <c r="I132" t="str">
        <f t="shared" si="9"/>
        <v>SEPTIEMBRE</v>
      </c>
    </row>
    <row r="133" spans="1:9" x14ac:dyDescent="0.35">
      <c r="A133">
        <v>1</v>
      </c>
      <c r="B133">
        <v>100001358</v>
      </c>
      <c r="C133" t="s">
        <v>144</v>
      </c>
      <c r="D133" t="s">
        <v>204</v>
      </c>
      <c r="E133">
        <v>8</v>
      </c>
      <c r="F133">
        <v>0</v>
      </c>
      <c r="G133">
        <v>8</v>
      </c>
      <c r="H133" s="1">
        <v>0</v>
      </c>
      <c r="I133" t="str">
        <f t="shared" si="9"/>
        <v>SEPTIEMBRE</v>
      </c>
    </row>
    <row r="134" spans="1:9" x14ac:dyDescent="0.35">
      <c r="A134">
        <v>1</v>
      </c>
      <c r="B134">
        <v>100001466</v>
      </c>
      <c r="C134" t="s">
        <v>84</v>
      </c>
      <c r="D134" t="s">
        <v>214</v>
      </c>
      <c r="E134">
        <v>3300</v>
      </c>
      <c r="F134">
        <v>1650</v>
      </c>
      <c r="G134">
        <v>1650</v>
      </c>
      <c r="H134" s="1">
        <v>0.5</v>
      </c>
      <c r="I134" t="str">
        <f t="shared" si="9"/>
        <v>SEPTIEMBRE</v>
      </c>
    </row>
    <row r="135" spans="1:9" x14ac:dyDescent="0.35">
      <c r="A135">
        <v>1</v>
      </c>
      <c r="B135">
        <v>100001568</v>
      </c>
      <c r="C135" t="s">
        <v>150</v>
      </c>
      <c r="D135" t="s">
        <v>214</v>
      </c>
      <c r="E135">
        <v>65</v>
      </c>
      <c r="F135">
        <v>24</v>
      </c>
      <c r="G135">
        <v>41</v>
      </c>
      <c r="H135" s="1">
        <v>0.37</v>
      </c>
      <c r="I135" t="str">
        <f t="shared" si="9"/>
        <v>SEPTIEMBRE</v>
      </c>
    </row>
    <row r="136" spans="1:9" x14ac:dyDescent="0.35">
      <c r="A136">
        <v>1</v>
      </c>
      <c r="B136">
        <v>100000388</v>
      </c>
      <c r="C136" t="s">
        <v>151</v>
      </c>
      <c r="D136" t="s">
        <v>204</v>
      </c>
      <c r="E136">
        <v>50</v>
      </c>
      <c r="F136">
        <v>0</v>
      </c>
      <c r="G136">
        <v>50</v>
      </c>
      <c r="H136" s="1">
        <v>0</v>
      </c>
      <c r="I136" t="s">
        <v>184</v>
      </c>
    </row>
    <row r="137" spans="1:9" x14ac:dyDescent="0.35">
      <c r="A137">
        <v>1</v>
      </c>
      <c r="B137">
        <v>100004355</v>
      </c>
      <c r="C137" t="s">
        <v>23</v>
      </c>
      <c r="D137" t="s">
        <v>214</v>
      </c>
      <c r="E137">
        <v>25</v>
      </c>
      <c r="F137">
        <v>5</v>
      </c>
      <c r="G137">
        <v>20</v>
      </c>
      <c r="H137" s="1">
        <v>0.2</v>
      </c>
      <c r="I137" t="str">
        <f>$I136</f>
        <v>OCTUBRE</v>
      </c>
    </row>
    <row r="138" spans="1:9" x14ac:dyDescent="0.35">
      <c r="A138">
        <v>1</v>
      </c>
      <c r="B138">
        <v>100000604</v>
      </c>
      <c r="C138" t="s">
        <v>29</v>
      </c>
      <c r="D138" t="s">
        <v>214</v>
      </c>
      <c r="E138">
        <v>6000</v>
      </c>
      <c r="F138">
        <v>2640</v>
      </c>
      <c r="G138">
        <v>3360</v>
      </c>
      <c r="H138" s="1">
        <v>0.44</v>
      </c>
      <c r="I138" t="str">
        <f t="shared" ref="I138:I153" si="10">$I137</f>
        <v>OCTUBRE</v>
      </c>
    </row>
    <row r="139" spans="1:9" x14ac:dyDescent="0.35">
      <c r="A139">
        <v>1</v>
      </c>
      <c r="B139">
        <v>100002164</v>
      </c>
      <c r="C139" t="s">
        <v>30</v>
      </c>
      <c r="D139" t="s">
        <v>204</v>
      </c>
      <c r="E139">
        <v>200</v>
      </c>
      <c r="F139">
        <v>0</v>
      </c>
      <c r="G139">
        <v>200</v>
      </c>
      <c r="H139" s="1">
        <v>0</v>
      </c>
      <c r="I139" t="str">
        <f t="shared" si="10"/>
        <v>OCTUBRE</v>
      </c>
    </row>
    <row r="140" spans="1:9" x14ac:dyDescent="0.35">
      <c r="A140">
        <v>1</v>
      </c>
      <c r="B140">
        <v>100002361</v>
      </c>
      <c r="C140" t="s">
        <v>158</v>
      </c>
      <c r="D140" t="s">
        <v>204</v>
      </c>
      <c r="E140">
        <v>20</v>
      </c>
      <c r="F140">
        <v>0</v>
      </c>
      <c r="G140">
        <v>20</v>
      </c>
      <c r="H140" s="1">
        <v>0</v>
      </c>
      <c r="I140" t="str">
        <f t="shared" si="10"/>
        <v>OCTUBRE</v>
      </c>
    </row>
    <row r="141" spans="1:9" x14ac:dyDescent="0.35">
      <c r="A141">
        <v>1</v>
      </c>
      <c r="B141">
        <v>100002337</v>
      </c>
      <c r="C141" t="s">
        <v>34</v>
      </c>
      <c r="D141" t="s">
        <v>204</v>
      </c>
      <c r="E141">
        <v>60</v>
      </c>
      <c r="F141">
        <v>0</v>
      </c>
      <c r="G141">
        <v>60</v>
      </c>
      <c r="H141" s="1">
        <v>0</v>
      </c>
      <c r="I141" t="str">
        <f t="shared" si="10"/>
        <v>OCTUBRE</v>
      </c>
    </row>
    <row r="142" spans="1:9" x14ac:dyDescent="0.35">
      <c r="A142">
        <v>1</v>
      </c>
      <c r="B142">
        <v>100000776</v>
      </c>
      <c r="C142" t="s">
        <v>159</v>
      </c>
      <c r="D142" t="s">
        <v>204</v>
      </c>
      <c r="E142">
        <v>100</v>
      </c>
      <c r="F142">
        <v>0</v>
      </c>
      <c r="G142">
        <v>100</v>
      </c>
      <c r="H142" s="1">
        <v>0</v>
      </c>
      <c r="I142" t="str">
        <f t="shared" si="10"/>
        <v>OCTUBRE</v>
      </c>
    </row>
    <row r="143" spans="1:9" x14ac:dyDescent="0.35">
      <c r="A143">
        <v>1</v>
      </c>
      <c r="B143">
        <v>100002047</v>
      </c>
      <c r="C143" t="s">
        <v>38</v>
      </c>
      <c r="D143" t="s">
        <v>204</v>
      </c>
      <c r="E143">
        <v>810</v>
      </c>
      <c r="F143">
        <v>0</v>
      </c>
      <c r="G143">
        <v>810</v>
      </c>
      <c r="H143" s="1">
        <v>0</v>
      </c>
      <c r="I143" t="str">
        <f t="shared" si="10"/>
        <v>OCTUBRE</v>
      </c>
    </row>
    <row r="144" spans="1:9" x14ac:dyDescent="0.35">
      <c r="A144">
        <v>1</v>
      </c>
      <c r="B144">
        <v>100000829</v>
      </c>
      <c r="C144" t="s">
        <v>180</v>
      </c>
      <c r="D144" t="s">
        <v>204</v>
      </c>
      <c r="E144">
        <v>30</v>
      </c>
      <c r="F144">
        <v>0</v>
      </c>
      <c r="G144">
        <v>30</v>
      </c>
      <c r="H144" s="1">
        <v>0</v>
      </c>
      <c r="I144" t="str">
        <f t="shared" si="10"/>
        <v>OCTUBRE</v>
      </c>
    </row>
    <row r="145" spans="1:9" x14ac:dyDescent="0.35">
      <c r="A145">
        <v>1</v>
      </c>
      <c r="B145">
        <v>100000894</v>
      </c>
      <c r="C145" t="s">
        <v>41</v>
      </c>
      <c r="D145" t="s">
        <v>204</v>
      </c>
      <c r="E145">
        <v>960</v>
      </c>
      <c r="F145">
        <v>0</v>
      </c>
      <c r="G145">
        <v>960</v>
      </c>
      <c r="H145" s="1">
        <v>0</v>
      </c>
      <c r="I145" t="str">
        <f t="shared" si="10"/>
        <v>OCTUBRE</v>
      </c>
    </row>
    <row r="146" spans="1:9" x14ac:dyDescent="0.35">
      <c r="A146">
        <v>1</v>
      </c>
      <c r="B146">
        <v>100001826</v>
      </c>
      <c r="C146" t="s">
        <v>45</v>
      </c>
      <c r="D146" t="s">
        <v>204</v>
      </c>
      <c r="E146">
        <v>5</v>
      </c>
      <c r="F146">
        <v>0</v>
      </c>
      <c r="G146">
        <v>5</v>
      </c>
      <c r="H146" s="1">
        <v>0</v>
      </c>
      <c r="I146" t="str">
        <f t="shared" si="10"/>
        <v>OCTUBRE</v>
      </c>
    </row>
    <row r="147" spans="1:9" x14ac:dyDescent="0.35">
      <c r="A147">
        <v>1</v>
      </c>
      <c r="B147">
        <v>100002244</v>
      </c>
      <c r="C147" t="s">
        <v>47</v>
      </c>
      <c r="D147" t="s">
        <v>214</v>
      </c>
      <c r="E147">
        <v>500</v>
      </c>
      <c r="F147">
        <v>150</v>
      </c>
      <c r="G147">
        <v>350</v>
      </c>
      <c r="H147" s="1">
        <v>0.3</v>
      </c>
      <c r="I147" t="str">
        <f t="shared" si="10"/>
        <v>OCTUBRE</v>
      </c>
    </row>
    <row r="148" spans="1:9" x14ac:dyDescent="0.35">
      <c r="A148">
        <v>1</v>
      </c>
      <c r="B148">
        <v>100001047</v>
      </c>
      <c r="C148" t="s">
        <v>129</v>
      </c>
      <c r="D148" t="s">
        <v>204</v>
      </c>
      <c r="E148">
        <v>100</v>
      </c>
      <c r="F148">
        <v>0</v>
      </c>
      <c r="G148">
        <v>100</v>
      </c>
      <c r="H148" s="1">
        <v>0</v>
      </c>
      <c r="I148" t="str">
        <f t="shared" si="10"/>
        <v>OCTUBRE</v>
      </c>
    </row>
    <row r="149" spans="1:9" x14ac:dyDescent="0.35">
      <c r="A149">
        <v>1</v>
      </c>
      <c r="B149">
        <v>100005302</v>
      </c>
      <c r="C149" t="s">
        <v>58</v>
      </c>
      <c r="D149" t="s">
        <v>204</v>
      </c>
      <c r="E149">
        <v>50</v>
      </c>
      <c r="F149">
        <v>0</v>
      </c>
      <c r="G149">
        <v>50</v>
      </c>
      <c r="H149" s="1">
        <v>0</v>
      </c>
      <c r="I149" t="str">
        <f t="shared" si="10"/>
        <v>OCTUBRE</v>
      </c>
    </row>
    <row r="150" spans="1:9" x14ac:dyDescent="0.35">
      <c r="A150">
        <v>1</v>
      </c>
      <c r="B150">
        <v>100004670</v>
      </c>
      <c r="C150" t="s">
        <v>65</v>
      </c>
      <c r="D150" t="s">
        <v>204</v>
      </c>
      <c r="E150">
        <v>25</v>
      </c>
      <c r="F150">
        <v>0</v>
      </c>
      <c r="G150">
        <v>25</v>
      </c>
      <c r="H150" s="1">
        <v>0</v>
      </c>
      <c r="I150" t="str">
        <f t="shared" si="10"/>
        <v>OCTUBRE</v>
      </c>
    </row>
    <row r="151" spans="1:9" x14ac:dyDescent="0.35">
      <c r="A151">
        <v>1</v>
      </c>
      <c r="B151">
        <v>100002919</v>
      </c>
      <c r="C151" t="s">
        <v>75</v>
      </c>
      <c r="D151" t="s">
        <v>204</v>
      </c>
      <c r="E151">
        <v>2200</v>
      </c>
      <c r="F151">
        <v>0</v>
      </c>
      <c r="G151">
        <v>2200</v>
      </c>
      <c r="H151" s="1">
        <v>0</v>
      </c>
      <c r="I151" t="str">
        <f t="shared" si="10"/>
        <v>OCTUBRE</v>
      </c>
    </row>
    <row r="152" spans="1:9" x14ac:dyDescent="0.35">
      <c r="A152">
        <v>1</v>
      </c>
      <c r="B152">
        <v>100002919</v>
      </c>
      <c r="C152" t="s">
        <v>75</v>
      </c>
      <c r="D152" t="s">
        <v>204</v>
      </c>
      <c r="E152">
        <v>2200</v>
      </c>
      <c r="F152">
        <v>0</v>
      </c>
      <c r="G152">
        <v>2200</v>
      </c>
      <c r="H152" s="1">
        <v>0</v>
      </c>
      <c r="I152" t="str">
        <f t="shared" si="10"/>
        <v>OCTUBRE</v>
      </c>
    </row>
    <row r="153" spans="1:9" x14ac:dyDescent="0.35">
      <c r="A153">
        <v>1</v>
      </c>
      <c r="B153">
        <v>100002561</v>
      </c>
      <c r="C153" t="s">
        <v>170</v>
      </c>
      <c r="D153" t="s">
        <v>204</v>
      </c>
      <c r="E153">
        <v>200</v>
      </c>
      <c r="F153">
        <v>0</v>
      </c>
      <c r="G153">
        <v>200</v>
      </c>
      <c r="H153" s="1">
        <v>0</v>
      </c>
      <c r="I153" t="str">
        <f t="shared" si="10"/>
        <v>OCTUBRE</v>
      </c>
    </row>
    <row r="154" spans="1:9" x14ac:dyDescent="0.35">
      <c r="A154">
        <v>1</v>
      </c>
      <c r="B154">
        <v>100000535</v>
      </c>
      <c r="C154" t="s">
        <v>182</v>
      </c>
      <c r="D154" t="s">
        <v>214</v>
      </c>
      <c r="E154">
        <v>200</v>
      </c>
      <c r="F154">
        <v>100</v>
      </c>
      <c r="G154">
        <v>100</v>
      </c>
      <c r="H154" s="1">
        <v>0.5</v>
      </c>
      <c r="I154" t="s">
        <v>202</v>
      </c>
    </row>
    <row r="155" spans="1:9" x14ac:dyDescent="0.35">
      <c r="A155">
        <v>1</v>
      </c>
      <c r="B155">
        <v>100002244</v>
      </c>
      <c r="C155" t="s">
        <v>47</v>
      </c>
      <c r="D155" t="s">
        <v>214</v>
      </c>
      <c r="E155">
        <v>500</v>
      </c>
      <c r="F155">
        <v>65</v>
      </c>
      <c r="G155">
        <v>435</v>
      </c>
      <c r="H155" s="1">
        <v>0.13</v>
      </c>
      <c r="I155" t="str">
        <f>$I154</f>
        <v>NOVIEMBRE</v>
      </c>
    </row>
    <row r="156" spans="1:9" x14ac:dyDescent="0.35">
      <c r="A156">
        <v>1</v>
      </c>
      <c r="B156">
        <v>100001047</v>
      </c>
      <c r="C156" t="s">
        <v>129</v>
      </c>
      <c r="D156" t="s">
        <v>214</v>
      </c>
      <c r="E156">
        <v>100</v>
      </c>
      <c r="F156">
        <v>40</v>
      </c>
      <c r="G156">
        <v>60</v>
      </c>
      <c r="H156" s="1">
        <v>0.4</v>
      </c>
      <c r="I156" t="str">
        <f t="shared" ref="I156:I170" si="11">$I155</f>
        <v>NOVIEMBRE</v>
      </c>
    </row>
    <row r="157" spans="1:9" x14ac:dyDescent="0.35">
      <c r="A157">
        <v>1</v>
      </c>
      <c r="B157">
        <v>100001199</v>
      </c>
      <c r="C157" t="s">
        <v>164</v>
      </c>
      <c r="D157" t="s">
        <v>214</v>
      </c>
      <c r="E157">
        <v>1500</v>
      </c>
      <c r="F157">
        <v>800</v>
      </c>
      <c r="G157">
        <v>700</v>
      </c>
      <c r="H157" s="1">
        <v>0.53</v>
      </c>
      <c r="I157" t="str">
        <f t="shared" si="11"/>
        <v>NOVIEMBRE</v>
      </c>
    </row>
    <row r="158" spans="1:9" x14ac:dyDescent="0.35">
      <c r="A158">
        <v>1</v>
      </c>
      <c r="B158">
        <v>100003904</v>
      </c>
      <c r="C158" t="s">
        <v>143</v>
      </c>
      <c r="D158" t="s">
        <v>214</v>
      </c>
      <c r="E158">
        <v>40</v>
      </c>
      <c r="F158">
        <v>10</v>
      </c>
      <c r="G158">
        <v>30</v>
      </c>
      <c r="H158" s="1">
        <v>0.25</v>
      </c>
      <c r="I158" t="str">
        <f t="shared" si="11"/>
        <v>NOVIEMBRE</v>
      </c>
    </row>
    <row r="159" spans="1:9" x14ac:dyDescent="0.35">
      <c r="A159">
        <v>1</v>
      </c>
      <c r="B159">
        <v>100000170</v>
      </c>
      <c r="C159" t="s">
        <v>10</v>
      </c>
      <c r="D159" t="s">
        <v>204</v>
      </c>
      <c r="E159">
        <v>200</v>
      </c>
      <c r="F159">
        <v>0</v>
      </c>
      <c r="G159">
        <v>200</v>
      </c>
      <c r="H159" s="1">
        <v>0</v>
      </c>
      <c r="I159" t="str">
        <f t="shared" si="11"/>
        <v>NOVIEMBRE</v>
      </c>
    </row>
    <row r="160" spans="1:9" x14ac:dyDescent="0.35">
      <c r="A160">
        <v>1</v>
      </c>
      <c r="B160">
        <v>100000388</v>
      </c>
      <c r="C160" t="s">
        <v>151</v>
      </c>
      <c r="D160" t="s">
        <v>204</v>
      </c>
      <c r="E160">
        <v>50</v>
      </c>
      <c r="F160">
        <v>0</v>
      </c>
      <c r="G160">
        <v>50</v>
      </c>
      <c r="H160" s="1">
        <v>0</v>
      </c>
      <c r="I160" t="str">
        <f t="shared" si="11"/>
        <v>NOVIEMBRE</v>
      </c>
    </row>
    <row r="161" spans="1:9" x14ac:dyDescent="0.35">
      <c r="A161">
        <v>1</v>
      </c>
      <c r="B161">
        <v>100000529</v>
      </c>
      <c r="C161" t="s">
        <v>25</v>
      </c>
      <c r="D161" t="s">
        <v>204</v>
      </c>
      <c r="E161">
        <v>50</v>
      </c>
      <c r="F161">
        <v>0</v>
      </c>
      <c r="G161">
        <v>50</v>
      </c>
      <c r="H161" s="1">
        <v>0</v>
      </c>
      <c r="I161" t="str">
        <f t="shared" si="11"/>
        <v>NOVIEMBRE</v>
      </c>
    </row>
    <row r="162" spans="1:9" x14ac:dyDescent="0.35">
      <c r="A162">
        <v>1</v>
      </c>
      <c r="B162">
        <v>100000894</v>
      </c>
      <c r="C162" t="s">
        <v>41</v>
      </c>
      <c r="D162" t="s">
        <v>204</v>
      </c>
      <c r="E162">
        <v>960</v>
      </c>
      <c r="F162">
        <v>0</v>
      </c>
      <c r="G162">
        <v>960</v>
      </c>
      <c r="H162" s="1">
        <v>0</v>
      </c>
      <c r="I162" t="str">
        <f t="shared" si="11"/>
        <v>NOVIEMBRE</v>
      </c>
    </row>
    <row r="163" spans="1:9" x14ac:dyDescent="0.35">
      <c r="A163">
        <v>1</v>
      </c>
      <c r="B163">
        <v>100000938</v>
      </c>
      <c r="C163" t="s">
        <v>128</v>
      </c>
      <c r="D163" t="s">
        <v>204</v>
      </c>
      <c r="E163">
        <v>12000</v>
      </c>
      <c r="F163">
        <v>0</v>
      </c>
      <c r="G163">
        <v>12000</v>
      </c>
      <c r="H163" s="1">
        <v>0</v>
      </c>
      <c r="I163" t="str">
        <f t="shared" si="11"/>
        <v>NOVIEMBRE</v>
      </c>
    </row>
    <row r="164" spans="1:9" x14ac:dyDescent="0.35">
      <c r="A164">
        <v>1</v>
      </c>
      <c r="B164">
        <v>100001052</v>
      </c>
      <c r="C164" t="s">
        <v>56</v>
      </c>
      <c r="D164" t="s">
        <v>204</v>
      </c>
      <c r="E164">
        <v>800</v>
      </c>
      <c r="F164">
        <v>0</v>
      </c>
      <c r="G164">
        <v>800</v>
      </c>
      <c r="H164" s="1">
        <v>0</v>
      </c>
      <c r="I164" t="str">
        <f t="shared" si="11"/>
        <v>NOVIEMBRE</v>
      </c>
    </row>
    <row r="165" spans="1:9" x14ac:dyDescent="0.35">
      <c r="A165">
        <v>1</v>
      </c>
      <c r="B165">
        <v>100002921</v>
      </c>
      <c r="C165" t="s">
        <v>136</v>
      </c>
      <c r="D165" t="s">
        <v>204</v>
      </c>
      <c r="E165">
        <v>1200</v>
      </c>
      <c r="F165">
        <v>0</v>
      </c>
      <c r="G165">
        <v>1200</v>
      </c>
      <c r="H165" s="1">
        <v>0</v>
      </c>
      <c r="I165" t="str">
        <f t="shared" si="11"/>
        <v>NOVIEMBRE</v>
      </c>
    </row>
    <row r="166" spans="1:9" x14ac:dyDescent="0.35">
      <c r="A166">
        <v>1</v>
      </c>
      <c r="B166">
        <v>100002919</v>
      </c>
      <c r="C166" t="s">
        <v>75</v>
      </c>
      <c r="D166" t="s">
        <v>204</v>
      </c>
      <c r="E166">
        <v>2200</v>
      </c>
      <c r="F166">
        <v>0</v>
      </c>
      <c r="G166">
        <v>2200</v>
      </c>
      <c r="H166" s="1">
        <v>0</v>
      </c>
      <c r="I166" t="str">
        <f t="shared" si="11"/>
        <v>NOVIEMBRE</v>
      </c>
    </row>
    <row r="167" spans="1:9" x14ac:dyDescent="0.35">
      <c r="A167">
        <v>1</v>
      </c>
      <c r="B167">
        <v>100002919</v>
      </c>
      <c r="C167" t="s">
        <v>75</v>
      </c>
      <c r="D167" t="s">
        <v>204</v>
      </c>
      <c r="E167">
        <v>2200</v>
      </c>
      <c r="F167">
        <v>0</v>
      </c>
      <c r="G167">
        <v>2200</v>
      </c>
      <c r="H167" s="1">
        <v>0</v>
      </c>
      <c r="I167" t="str">
        <f t="shared" si="11"/>
        <v>NOVIEMBRE</v>
      </c>
    </row>
    <row r="168" spans="1:9" x14ac:dyDescent="0.35">
      <c r="A168">
        <v>1</v>
      </c>
      <c r="B168">
        <v>100001310</v>
      </c>
      <c r="C168" t="s">
        <v>76</v>
      </c>
      <c r="D168" t="s">
        <v>204</v>
      </c>
      <c r="E168">
        <v>10200</v>
      </c>
      <c r="F168">
        <v>0</v>
      </c>
      <c r="G168">
        <v>10200</v>
      </c>
      <c r="H168" s="1">
        <v>0</v>
      </c>
      <c r="I168" t="str">
        <f t="shared" si="11"/>
        <v>NOVIEMBRE</v>
      </c>
    </row>
    <row r="169" spans="1:9" x14ac:dyDescent="0.35">
      <c r="A169">
        <v>1</v>
      </c>
      <c r="B169">
        <v>100002561</v>
      </c>
      <c r="C169" t="s">
        <v>170</v>
      </c>
      <c r="D169" t="s">
        <v>204</v>
      </c>
      <c r="E169">
        <v>200</v>
      </c>
      <c r="F169">
        <v>0</v>
      </c>
      <c r="G169">
        <v>200</v>
      </c>
      <c r="H169" s="1">
        <v>0</v>
      </c>
      <c r="I169" t="str">
        <f t="shared" si="11"/>
        <v>NOVIEMBRE</v>
      </c>
    </row>
    <row r="170" spans="1:9" x14ac:dyDescent="0.35">
      <c r="A170">
        <v>1</v>
      </c>
      <c r="B170">
        <v>100002567</v>
      </c>
      <c r="C170" t="s">
        <v>149</v>
      </c>
      <c r="D170" t="s">
        <v>204</v>
      </c>
      <c r="E170">
        <v>1500</v>
      </c>
      <c r="F170">
        <v>0</v>
      </c>
      <c r="G170">
        <v>1500</v>
      </c>
      <c r="H170" s="1">
        <v>0</v>
      </c>
      <c r="I170" t="str">
        <f t="shared" si="11"/>
        <v>NOVIEMBRE</v>
      </c>
    </row>
    <row r="171" spans="1:9" x14ac:dyDescent="0.35">
      <c r="A171">
        <v>1</v>
      </c>
      <c r="B171">
        <v>100000036</v>
      </c>
      <c r="C171" t="s">
        <v>3</v>
      </c>
      <c r="D171" t="s">
        <v>204</v>
      </c>
      <c r="E171">
        <v>70</v>
      </c>
      <c r="F171">
        <v>0</v>
      </c>
      <c r="G171">
        <v>70</v>
      </c>
      <c r="H171" s="1">
        <v>0</v>
      </c>
      <c r="I171" t="s">
        <v>237</v>
      </c>
    </row>
    <row r="172" spans="1:9" x14ac:dyDescent="0.35">
      <c r="A172">
        <v>1</v>
      </c>
      <c r="B172">
        <v>100000194</v>
      </c>
      <c r="C172" t="s">
        <v>105</v>
      </c>
      <c r="D172" t="s">
        <v>204</v>
      </c>
      <c r="E172">
        <v>200</v>
      </c>
      <c r="F172">
        <v>0</v>
      </c>
      <c r="G172">
        <v>200</v>
      </c>
      <c r="H172" s="1">
        <v>0</v>
      </c>
      <c r="I172" t="str">
        <f>$I171</f>
        <v>DICEMBRE</v>
      </c>
    </row>
    <row r="173" spans="1:9" x14ac:dyDescent="0.35">
      <c r="A173">
        <v>1</v>
      </c>
      <c r="B173">
        <v>100000388</v>
      </c>
      <c r="C173" t="s">
        <v>151</v>
      </c>
      <c r="D173" t="s">
        <v>204</v>
      </c>
      <c r="E173">
        <v>50</v>
      </c>
      <c r="F173">
        <v>0</v>
      </c>
      <c r="G173">
        <v>50</v>
      </c>
      <c r="H173" s="1">
        <v>0</v>
      </c>
      <c r="I173" t="str">
        <f t="shared" ref="I173:I179" si="12">$I172</f>
        <v>DICEMBRE</v>
      </c>
    </row>
    <row r="174" spans="1:9" x14ac:dyDescent="0.35">
      <c r="A174">
        <v>1</v>
      </c>
      <c r="B174">
        <v>100000621</v>
      </c>
      <c r="C174" t="s">
        <v>119</v>
      </c>
      <c r="D174" t="s">
        <v>204</v>
      </c>
      <c r="E174">
        <v>120</v>
      </c>
      <c r="F174">
        <v>0</v>
      </c>
      <c r="G174">
        <v>120</v>
      </c>
      <c r="H174" s="1">
        <v>0</v>
      </c>
      <c r="I174" t="str">
        <f t="shared" si="12"/>
        <v>DICEMBRE</v>
      </c>
    </row>
    <row r="175" spans="1:9" x14ac:dyDescent="0.35">
      <c r="A175">
        <v>1</v>
      </c>
      <c r="B175">
        <v>100000771</v>
      </c>
      <c r="C175" t="s">
        <v>125</v>
      </c>
      <c r="D175" t="s">
        <v>204</v>
      </c>
      <c r="E175">
        <v>10</v>
      </c>
      <c r="F175">
        <v>0</v>
      </c>
      <c r="G175">
        <v>10</v>
      </c>
      <c r="H175" s="1">
        <v>0</v>
      </c>
      <c r="I175" t="str">
        <f t="shared" si="12"/>
        <v>DICEMBRE</v>
      </c>
    </row>
    <row r="176" spans="1:9" x14ac:dyDescent="0.35">
      <c r="A176">
        <v>1</v>
      </c>
      <c r="B176">
        <v>100002244</v>
      </c>
      <c r="C176" t="s">
        <v>47</v>
      </c>
      <c r="D176" t="s">
        <v>204</v>
      </c>
      <c r="E176">
        <v>500</v>
      </c>
      <c r="F176">
        <v>0</v>
      </c>
      <c r="G176">
        <v>500</v>
      </c>
      <c r="H176" s="1">
        <v>0</v>
      </c>
      <c r="I176" t="str">
        <f t="shared" si="12"/>
        <v>DICEMBRE</v>
      </c>
    </row>
    <row r="177" spans="1:9" x14ac:dyDescent="0.35">
      <c r="A177">
        <v>1</v>
      </c>
      <c r="B177">
        <v>100000938</v>
      </c>
      <c r="C177" t="s">
        <v>128</v>
      </c>
      <c r="D177" t="s">
        <v>204</v>
      </c>
      <c r="E177">
        <v>12000</v>
      </c>
      <c r="F177">
        <v>0</v>
      </c>
      <c r="G177">
        <v>12000</v>
      </c>
      <c r="H177" s="1">
        <v>0</v>
      </c>
      <c r="I177" t="str">
        <f t="shared" si="12"/>
        <v>DICEMBRE</v>
      </c>
    </row>
    <row r="178" spans="1:9" x14ac:dyDescent="0.35">
      <c r="A178">
        <v>1</v>
      </c>
      <c r="B178">
        <v>100002921</v>
      </c>
      <c r="C178" t="s">
        <v>136</v>
      </c>
      <c r="D178" t="s">
        <v>204</v>
      </c>
      <c r="E178">
        <v>1200</v>
      </c>
      <c r="F178">
        <v>0</v>
      </c>
      <c r="G178">
        <v>1200</v>
      </c>
      <c r="H178" s="1">
        <v>0</v>
      </c>
      <c r="I178" t="str">
        <f t="shared" si="12"/>
        <v>DICEMBRE</v>
      </c>
    </row>
    <row r="179" spans="1:9" x14ac:dyDescent="0.35">
      <c r="A179">
        <v>1</v>
      </c>
      <c r="B179">
        <v>100005313</v>
      </c>
      <c r="C179" t="s">
        <v>80</v>
      </c>
      <c r="D179" t="s">
        <v>204</v>
      </c>
      <c r="E179">
        <v>10</v>
      </c>
      <c r="F179">
        <v>0</v>
      </c>
      <c r="G179">
        <v>10</v>
      </c>
      <c r="H179" s="1">
        <v>0</v>
      </c>
      <c r="I179" t="str">
        <f t="shared" si="12"/>
        <v>DICEMBRE</v>
      </c>
    </row>
    <row r="180" spans="1:9" x14ac:dyDescent="0.35">
      <c r="H180" s="1"/>
    </row>
    <row r="181" spans="1:9" x14ac:dyDescent="0.35">
      <c r="H181" s="1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C62285-D385-4251-8607-C5CFF36027DC}">
  <dimension ref="A1:I181"/>
  <sheetViews>
    <sheetView zoomScaleNormal="100" workbookViewId="0">
      <selection activeCell="A2" sqref="A2:XFD181"/>
    </sheetView>
  </sheetViews>
  <sheetFormatPr baseColWidth="10" defaultRowHeight="14.5" x14ac:dyDescent="0.35"/>
  <cols>
    <col min="3" max="3" width="47.81640625" bestFit="1" customWidth="1"/>
    <col min="8" max="8" width="28.81640625" hidden="1" customWidth="1"/>
  </cols>
  <sheetData>
    <row r="1" spans="1:9" x14ac:dyDescent="0.35">
      <c r="A1" t="s">
        <v>176</v>
      </c>
      <c r="B1" t="s">
        <v>171</v>
      </c>
      <c r="C1" t="s">
        <v>97</v>
      </c>
      <c r="D1" t="s">
        <v>98</v>
      </c>
      <c r="E1" t="s">
        <v>99</v>
      </c>
      <c r="F1" t="s">
        <v>100</v>
      </c>
      <c r="G1" t="s">
        <v>101</v>
      </c>
      <c r="I1" t="s">
        <v>203</v>
      </c>
    </row>
    <row r="2" spans="1:9" x14ac:dyDescent="0.35">
      <c r="A2">
        <v>106</v>
      </c>
      <c r="B2">
        <v>100006995</v>
      </c>
      <c r="C2" t="s">
        <v>193</v>
      </c>
      <c r="D2">
        <v>12</v>
      </c>
      <c r="E2">
        <v>6</v>
      </c>
      <c r="F2">
        <v>6</v>
      </c>
      <c r="G2" s="1">
        <v>0.5</v>
      </c>
      <c r="I2" t="s">
        <v>201</v>
      </c>
    </row>
    <row r="3" spans="1:9" x14ac:dyDescent="0.35">
      <c r="A3">
        <v>144</v>
      </c>
      <c r="B3">
        <v>100003439</v>
      </c>
      <c r="C3" t="s">
        <v>133</v>
      </c>
      <c r="D3">
        <v>784</v>
      </c>
      <c r="E3">
        <v>336</v>
      </c>
      <c r="F3">
        <v>448</v>
      </c>
      <c r="G3" s="1">
        <v>0.43</v>
      </c>
      <c r="I3" t="str">
        <f t="shared" ref="I3:I19" si="0">$I2</f>
        <v>ENERO</v>
      </c>
    </row>
    <row r="4" spans="1:9" x14ac:dyDescent="0.35">
      <c r="A4">
        <v>127</v>
      </c>
      <c r="B4">
        <v>100001018</v>
      </c>
      <c r="C4" t="s">
        <v>51</v>
      </c>
      <c r="D4">
        <v>700</v>
      </c>
      <c r="E4">
        <v>400</v>
      </c>
      <c r="F4">
        <v>300</v>
      </c>
      <c r="G4" s="1">
        <v>0.56999999999999995</v>
      </c>
      <c r="I4" t="str">
        <f t="shared" si="0"/>
        <v>ENERO</v>
      </c>
    </row>
    <row r="5" spans="1:9" x14ac:dyDescent="0.35">
      <c r="A5">
        <v>207</v>
      </c>
      <c r="B5">
        <v>100001464</v>
      </c>
      <c r="C5" t="s">
        <v>195</v>
      </c>
      <c r="D5">
        <v>200</v>
      </c>
      <c r="E5">
        <v>100</v>
      </c>
      <c r="F5">
        <v>100</v>
      </c>
      <c r="G5" s="1">
        <v>0.5</v>
      </c>
      <c r="I5" t="str">
        <f t="shared" si="0"/>
        <v>ENERO</v>
      </c>
    </row>
    <row r="6" spans="1:9" x14ac:dyDescent="0.35">
      <c r="A6">
        <v>217</v>
      </c>
      <c r="B6">
        <v>100000046</v>
      </c>
      <c r="C6" t="s">
        <v>6</v>
      </c>
      <c r="D6">
        <v>600</v>
      </c>
      <c r="E6">
        <v>0</v>
      </c>
      <c r="F6">
        <v>600</v>
      </c>
      <c r="G6" s="1">
        <v>0</v>
      </c>
      <c r="H6" t="s">
        <v>96</v>
      </c>
      <c r="I6" t="str">
        <f t="shared" si="0"/>
        <v>ENERO</v>
      </c>
    </row>
    <row r="7" spans="1:9" x14ac:dyDescent="0.35">
      <c r="A7">
        <v>218</v>
      </c>
      <c r="B7">
        <v>100002074</v>
      </c>
      <c r="C7" t="s">
        <v>9</v>
      </c>
      <c r="D7">
        <v>240</v>
      </c>
      <c r="E7">
        <v>0</v>
      </c>
      <c r="F7">
        <v>240</v>
      </c>
      <c r="G7" s="1">
        <v>0</v>
      </c>
      <c r="H7" t="s">
        <v>96</v>
      </c>
      <c r="I7" t="str">
        <f t="shared" si="0"/>
        <v>ENERO</v>
      </c>
    </row>
    <row r="8" spans="1:9" x14ac:dyDescent="0.35">
      <c r="A8">
        <v>219</v>
      </c>
      <c r="B8">
        <v>100004356</v>
      </c>
      <c r="C8" t="s">
        <v>156</v>
      </c>
      <c r="D8">
        <v>2</v>
      </c>
      <c r="E8">
        <v>0</v>
      </c>
      <c r="F8">
        <v>2</v>
      </c>
      <c r="G8" s="1">
        <v>0</v>
      </c>
      <c r="H8" t="s">
        <v>96</v>
      </c>
      <c r="I8" t="str">
        <f t="shared" si="0"/>
        <v>ENERO</v>
      </c>
    </row>
    <row r="9" spans="1:9" x14ac:dyDescent="0.35">
      <c r="A9">
        <v>220</v>
      </c>
      <c r="B9">
        <v>100004355</v>
      </c>
      <c r="C9" t="s">
        <v>23</v>
      </c>
      <c r="D9">
        <v>25</v>
      </c>
      <c r="E9">
        <v>0</v>
      </c>
      <c r="F9">
        <v>25</v>
      </c>
      <c r="G9" s="1">
        <v>0</v>
      </c>
      <c r="H9" t="s">
        <v>95</v>
      </c>
      <c r="I9" t="str">
        <f t="shared" si="0"/>
        <v>ENERO</v>
      </c>
    </row>
    <row r="10" spans="1:9" x14ac:dyDescent="0.35">
      <c r="A10">
        <v>221</v>
      </c>
      <c r="B10">
        <v>100000535</v>
      </c>
      <c r="C10" t="s">
        <v>182</v>
      </c>
      <c r="D10">
        <v>200</v>
      </c>
      <c r="E10">
        <v>0</v>
      </c>
      <c r="F10">
        <v>200</v>
      </c>
      <c r="G10" s="1">
        <v>0</v>
      </c>
      <c r="H10" t="s">
        <v>96</v>
      </c>
      <c r="I10" t="str">
        <f t="shared" si="0"/>
        <v>ENERO</v>
      </c>
    </row>
    <row r="11" spans="1:9" x14ac:dyDescent="0.35">
      <c r="A11">
        <v>222</v>
      </c>
      <c r="B11">
        <v>100000730</v>
      </c>
      <c r="C11" t="s">
        <v>196</v>
      </c>
      <c r="D11">
        <v>100</v>
      </c>
      <c r="E11">
        <v>0</v>
      </c>
      <c r="F11">
        <v>100</v>
      </c>
      <c r="G11" s="1">
        <v>0</v>
      </c>
      <c r="H11" t="s">
        <v>96</v>
      </c>
      <c r="I11" t="str">
        <f t="shared" si="0"/>
        <v>ENERO</v>
      </c>
    </row>
    <row r="12" spans="1:9" x14ac:dyDescent="0.35">
      <c r="A12">
        <v>223</v>
      </c>
      <c r="B12">
        <v>100000771</v>
      </c>
      <c r="C12" t="s">
        <v>125</v>
      </c>
      <c r="D12">
        <v>7</v>
      </c>
      <c r="E12">
        <v>0</v>
      </c>
      <c r="F12">
        <v>7</v>
      </c>
      <c r="G12" s="1">
        <v>0</v>
      </c>
      <c r="H12" t="s">
        <v>96</v>
      </c>
      <c r="I12" t="str">
        <f t="shared" si="0"/>
        <v>ENERO</v>
      </c>
    </row>
    <row r="13" spans="1:9" x14ac:dyDescent="0.35">
      <c r="A13">
        <v>224</v>
      </c>
      <c r="B13">
        <v>100003431</v>
      </c>
      <c r="C13" t="s">
        <v>42</v>
      </c>
      <c r="D13">
        <v>780</v>
      </c>
      <c r="E13">
        <v>0</v>
      </c>
      <c r="F13">
        <v>780</v>
      </c>
      <c r="G13" s="1">
        <v>0</v>
      </c>
      <c r="H13" t="s">
        <v>95</v>
      </c>
      <c r="I13" t="str">
        <f t="shared" si="0"/>
        <v>ENERO</v>
      </c>
    </row>
    <row r="14" spans="1:9" x14ac:dyDescent="0.35">
      <c r="A14">
        <v>225</v>
      </c>
      <c r="B14">
        <v>100000918</v>
      </c>
      <c r="C14" t="s">
        <v>46</v>
      </c>
      <c r="D14">
        <v>1000</v>
      </c>
      <c r="E14">
        <v>0</v>
      </c>
      <c r="F14">
        <v>1000</v>
      </c>
      <c r="G14" s="1">
        <v>0</v>
      </c>
      <c r="H14" t="s">
        <v>95</v>
      </c>
      <c r="I14" t="str">
        <f t="shared" si="0"/>
        <v>ENERO</v>
      </c>
    </row>
    <row r="15" spans="1:9" x14ac:dyDescent="0.35">
      <c r="A15">
        <v>226</v>
      </c>
      <c r="B15">
        <v>100001105</v>
      </c>
      <c r="C15" t="s">
        <v>167</v>
      </c>
      <c r="D15">
        <v>1500</v>
      </c>
      <c r="E15">
        <v>0</v>
      </c>
      <c r="F15">
        <v>1500</v>
      </c>
      <c r="G15" s="1">
        <v>0</v>
      </c>
      <c r="H15" t="s">
        <v>96</v>
      </c>
      <c r="I15" t="str">
        <f t="shared" si="0"/>
        <v>ENERO</v>
      </c>
    </row>
    <row r="16" spans="1:9" x14ac:dyDescent="0.35">
      <c r="A16">
        <v>227</v>
      </c>
      <c r="B16">
        <v>100005482</v>
      </c>
      <c r="C16" t="s">
        <v>135</v>
      </c>
      <c r="D16">
        <v>170</v>
      </c>
      <c r="E16">
        <v>0</v>
      </c>
      <c r="F16">
        <v>170</v>
      </c>
      <c r="G16" s="1">
        <v>0</v>
      </c>
      <c r="H16" t="s">
        <v>95</v>
      </c>
      <c r="I16" t="str">
        <f t="shared" si="0"/>
        <v>ENERO</v>
      </c>
    </row>
    <row r="17" spans="1:9" x14ac:dyDescent="0.35">
      <c r="A17">
        <v>228</v>
      </c>
      <c r="B17">
        <v>100001310</v>
      </c>
      <c r="C17" t="s">
        <v>76</v>
      </c>
      <c r="D17">
        <v>10600</v>
      </c>
      <c r="E17">
        <v>0</v>
      </c>
      <c r="F17">
        <v>10600</v>
      </c>
      <c r="G17" s="1">
        <v>0</v>
      </c>
      <c r="H17" t="s">
        <v>95</v>
      </c>
      <c r="I17" t="str">
        <f t="shared" si="0"/>
        <v>ENERO</v>
      </c>
    </row>
    <row r="18" spans="1:9" x14ac:dyDescent="0.35">
      <c r="A18">
        <v>229</v>
      </c>
      <c r="B18">
        <v>100002561</v>
      </c>
      <c r="C18" t="s">
        <v>170</v>
      </c>
      <c r="D18">
        <v>200</v>
      </c>
      <c r="E18">
        <v>0</v>
      </c>
      <c r="F18">
        <v>200</v>
      </c>
      <c r="G18" s="1">
        <v>0</v>
      </c>
      <c r="H18" t="s">
        <v>95</v>
      </c>
      <c r="I18" t="str">
        <f t="shared" si="0"/>
        <v>ENERO</v>
      </c>
    </row>
    <row r="19" spans="1:9" x14ac:dyDescent="0.35">
      <c r="A19">
        <v>230</v>
      </c>
      <c r="B19">
        <v>100001367</v>
      </c>
      <c r="C19" t="s">
        <v>185</v>
      </c>
      <c r="D19">
        <v>10</v>
      </c>
      <c r="E19">
        <v>0</v>
      </c>
      <c r="F19">
        <v>10</v>
      </c>
      <c r="G19" s="1">
        <v>0</v>
      </c>
      <c r="H19" t="s">
        <v>95</v>
      </c>
      <c r="I19" t="str">
        <f t="shared" si="0"/>
        <v>ENERO</v>
      </c>
    </row>
    <row r="20" spans="1:9" x14ac:dyDescent="0.35">
      <c r="A20">
        <v>30</v>
      </c>
      <c r="B20">
        <v>100000281</v>
      </c>
      <c r="C20" t="s">
        <v>16</v>
      </c>
      <c r="D20">
        <v>1000</v>
      </c>
      <c r="E20">
        <v>500</v>
      </c>
      <c r="F20">
        <v>500</v>
      </c>
      <c r="G20" s="1">
        <v>0.5</v>
      </c>
      <c r="I20" t="s">
        <v>197</v>
      </c>
    </row>
    <row r="21" spans="1:9" x14ac:dyDescent="0.35">
      <c r="A21">
        <v>35</v>
      </c>
      <c r="B21">
        <v>100002004</v>
      </c>
      <c r="C21" t="s">
        <v>18</v>
      </c>
      <c r="D21">
        <v>210</v>
      </c>
      <c r="E21">
        <v>90</v>
      </c>
      <c r="F21">
        <v>120</v>
      </c>
      <c r="G21" s="1">
        <v>0.43</v>
      </c>
      <c r="I21" t="str">
        <f>$I20</f>
        <v>FEBRERO</v>
      </c>
    </row>
    <row r="22" spans="1:9" x14ac:dyDescent="0.35">
      <c r="A22">
        <v>197</v>
      </c>
      <c r="B22">
        <v>100006806</v>
      </c>
      <c r="C22" t="s">
        <v>112</v>
      </c>
      <c r="D22">
        <v>10</v>
      </c>
      <c r="E22">
        <v>0</v>
      </c>
      <c r="F22">
        <v>10</v>
      </c>
      <c r="G22" s="1">
        <v>0</v>
      </c>
      <c r="H22" t="s">
        <v>96</v>
      </c>
      <c r="I22" t="str">
        <f t="shared" ref="I22:I32" si="1">$I21</f>
        <v>FEBRERO</v>
      </c>
    </row>
    <row r="23" spans="1:9" x14ac:dyDescent="0.35">
      <c r="A23">
        <v>198</v>
      </c>
      <c r="B23">
        <v>100002903</v>
      </c>
      <c r="C23" t="s">
        <v>192</v>
      </c>
      <c r="D23">
        <v>25</v>
      </c>
      <c r="E23">
        <v>0</v>
      </c>
      <c r="F23">
        <v>25</v>
      </c>
      <c r="G23" s="1">
        <v>0</v>
      </c>
      <c r="H23" t="s">
        <v>96</v>
      </c>
      <c r="I23" t="str">
        <f t="shared" si="1"/>
        <v>FEBRERO</v>
      </c>
    </row>
    <row r="24" spans="1:9" x14ac:dyDescent="0.35">
      <c r="A24">
        <v>199</v>
      </c>
      <c r="B24">
        <v>100000772</v>
      </c>
      <c r="C24" t="s">
        <v>36</v>
      </c>
      <c r="D24">
        <v>100</v>
      </c>
      <c r="E24">
        <v>0</v>
      </c>
      <c r="F24">
        <v>100</v>
      </c>
      <c r="G24" s="1">
        <v>0</v>
      </c>
      <c r="H24" t="s">
        <v>96</v>
      </c>
      <c r="I24" t="str">
        <f t="shared" si="1"/>
        <v>FEBRERO</v>
      </c>
    </row>
    <row r="25" spans="1:9" x14ac:dyDescent="0.35">
      <c r="A25">
        <v>200</v>
      </c>
      <c r="B25">
        <v>100000918</v>
      </c>
      <c r="C25" t="s">
        <v>46</v>
      </c>
      <c r="D25">
        <v>1000</v>
      </c>
      <c r="E25">
        <v>0</v>
      </c>
      <c r="F25">
        <v>1000</v>
      </c>
      <c r="G25" s="1">
        <v>0</v>
      </c>
      <c r="H25" t="s">
        <v>95</v>
      </c>
      <c r="I25" t="str">
        <f t="shared" si="1"/>
        <v>FEBRERO</v>
      </c>
    </row>
    <row r="26" spans="1:9" x14ac:dyDescent="0.35">
      <c r="A26">
        <v>201</v>
      </c>
      <c r="B26">
        <v>100001018</v>
      </c>
      <c r="C26" t="s">
        <v>51</v>
      </c>
      <c r="D26">
        <v>700</v>
      </c>
      <c r="E26">
        <v>0</v>
      </c>
      <c r="F26">
        <v>700</v>
      </c>
      <c r="G26" s="1">
        <v>0</v>
      </c>
      <c r="H26" t="s">
        <v>95</v>
      </c>
      <c r="I26" t="str">
        <f t="shared" si="1"/>
        <v>FEBRERO</v>
      </c>
    </row>
    <row r="27" spans="1:9" x14ac:dyDescent="0.35">
      <c r="A27">
        <v>202</v>
      </c>
      <c r="B27">
        <v>100001143</v>
      </c>
      <c r="C27" t="s">
        <v>137</v>
      </c>
      <c r="D27">
        <v>80000</v>
      </c>
      <c r="E27">
        <v>0</v>
      </c>
      <c r="F27">
        <v>80000</v>
      </c>
      <c r="G27" s="1">
        <v>0</v>
      </c>
      <c r="H27" t="s">
        <v>95</v>
      </c>
      <c r="I27" t="str">
        <f t="shared" si="1"/>
        <v>FEBRERO</v>
      </c>
    </row>
    <row r="28" spans="1:9" x14ac:dyDescent="0.35">
      <c r="A28">
        <v>203</v>
      </c>
      <c r="B28">
        <v>100001199</v>
      </c>
      <c r="C28" t="s">
        <v>164</v>
      </c>
      <c r="D28">
        <v>2000</v>
      </c>
      <c r="E28">
        <v>0</v>
      </c>
      <c r="F28">
        <v>2000</v>
      </c>
      <c r="G28" s="1">
        <v>0</v>
      </c>
      <c r="H28" t="s">
        <v>95</v>
      </c>
      <c r="I28" t="str">
        <f t="shared" si="1"/>
        <v>FEBRERO</v>
      </c>
    </row>
    <row r="29" spans="1:9" x14ac:dyDescent="0.35">
      <c r="A29">
        <v>204</v>
      </c>
      <c r="B29">
        <v>100001310</v>
      </c>
      <c r="C29" t="s">
        <v>76</v>
      </c>
      <c r="D29">
        <v>10600</v>
      </c>
      <c r="E29">
        <v>0</v>
      </c>
      <c r="F29">
        <v>10600</v>
      </c>
      <c r="G29" s="1">
        <v>0</v>
      </c>
      <c r="H29" t="s">
        <v>95</v>
      </c>
      <c r="I29" t="str">
        <f t="shared" si="1"/>
        <v>FEBRERO</v>
      </c>
    </row>
    <row r="30" spans="1:9" x14ac:dyDescent="0.35">
      <c r="A30">
        <v>205</v>
      </c>
      <c r="B30">
        <v>100002561</v>
      </c>
      <c r="C30" t="s">
        <v>170</v>
      </c>
      <c r="D30">
        <v>200</v>
      </c>
      <c r="E30">
        <v>0</v>
      </c>
      <c r="F30">
        <v>200</v>
      </c>
      <c r="G30" s="1">
        <v>0</v>
      </c>
      <c r="H30" t="s">
        <v>95</v>
      </c>
      <c r="I30" t="str">
        <f t="shared" si="1"/>
        <v>FEBRERO</v>
      </c>
    </row>
    <row r="31" spans="1:9" x14ac:dyDescent="0.35">
      <c r="A31">
        <v>206</v>
      </c>
      <c r="B31">
        <v>100004702</v>
      </c>
      <c r="C31" t="s">
        <v>78</v>
      </c>
      <c r="D31">
        <v>650</v>
      </c>
      <c r="E31">
        <v>0</v>
      </c>
      <c r="F31">
        <v>650</v>
      </c>
      <c r="G31" s="1">
        <v>0</v>
      </c>
      <c r="H31" t="s">
        <v>96</v>
      </c>
      <c r="I31" t="str">
        <f t="shared" si="1"/>
        <v>FEBRERO</v>
      </c>
    </row>
    <row r="32" spans="1:9" x14ac:dyDescent="0.35">
      <c r="A32">
        <v>207</v>
      </c>
      <c r="B32">
        <v>100005313</v>
      </c>
      <c r="C32" t="s">
        <v>80</v>
      </c>
      <c r="D32">
        <v>15</v>
      </c>
      <c r="E32">
        <v>0</v>
      </c>
      <c r="F32">
        <v>15</v>
      </c>
      <c r="G32" s="1">
        <v>0</v>
      </c>
      <c r="H32" t="s">
        <v>95</v>
      </c>
      <c r="I32" t="str">
        <f t="shared" si="1"/>
        <v>FEBRERO</v>
      </c>
    </row>
    <row r="33" spans="1:9" x14ac:dyDescent="0.35">
      <c r="A33">
        <v>209</v>
      </c>
      <c r="B33">
        <v>100002000</v>
      </c>
      <c r="C33" t="s">
        <v>2</v>
      </c>
      <c r="D33">
        <v>220</v>
      </c>
      <c r="E33">
        <v>0</v>
      </c>
      <c r="F33">
        <v>220</v>
      </c>
      <c r="G33" s="1">
        <v>0</v>
      </c>
      <c r="H33" t="s">
        <v>199</v>
      </c>
      <c r="I33" t="s">
        <v>198</v>
      </c>
    </row>
    <row r="34" spans="1:9" x14ac:dyDescent="0.35">
      <c r="A34">
        <v>210</v>
      </c>
      <c r="B34">
        <v>100002074</v>
      </c>
      <c r="C34" t="s">
        <v>9</v>
      </c>
      <c r="D34">
        <v>240</v>
      </c>
      <c r="E34">
        <v>0</v>
      </c>
      <c r="F34">
        <v>240</v>
      </c>
      <c r="G34" s="1">
        <v>0</v>
      </c>
      <c r="H34" t="s">
        <v>199</v>
      </c>
      <c r="I34" t="str">
        <f t="shared" ref="I34:I43" si="2">$I33</f>
        <v>MARZO</v>
      </c>
    </row>
    <row r="35" spans="1:9" x14ac:dyDescent="0.35">
      <c r="A35">
        <v>211</v>
      </c>
      <c r="B35">
        <v>100002004</v>
      </c>
      <c r="C35" t="s">
        <v>18</v>
      </c>
      <c r="D35">
        <v>210</v>
      </c>
      <c r="E35">
        <v>0</v>
      </c>
      <c r="F35">
        <v>210</v>
      </c>
      <c r="G35" s="1">
        <v>0</v>
      </c>
      <c r="H35" t="s">
        <v>199</v>
      </c>
      <c r="I35" t="str">
        <f t="shared" si="2"/>
        <v>MARZO</v>
      </c>
    </row>
    <row r="36" spans="1:9" x14ac:dyDescent="0.35">
      <c r="A36">
        <v>212</v>
      </c>
      <c r="B36">
        <v>100000381</v>
      </c>
      <c r="C36" t="s">
        <v>87</v>
      </c>
      <c r="D36">
        <v>180</v>
      </c>
      <c r="E36">
        <v>43</v>
      </c>
      <c r="F36">
        <v>137</v>
      </c>
      <c r="G36" s="1">
        <v>0.24</v>
      </c>
      <c r="H36" t="s">
        <v>199</v>
      </c>
      <c r="I36" t="str">
        <f t="shared" si="2"/>
        <v>MARZO</v>
      </c>
    </row>
    <row r="37" spans="1:9" x14ac:dyDescent="0.35">
      <c r="A37">
        <v>213</v>
      </c>
      <c r="B37">
        <v>100000535</v>
      </c>
      <c r="C37" t="s">
        <v>182</v>
      </c>
      <c r="D37">
        <v>200</v>
      </c>
      <c r="E37">
        <v>100</v>
      </c>
      <c r="F37">
        <v>100</v>
      </c>
      <c r="G37" s="1">
        <v>0.5</v>
      </c>
      <c r="H37" t="s">
        <v>199</v>
      </c>
      <c r="I37" t="str">
        <f t="shared" si="2"/>
        <v>MARZO</v>
      </c>
    </row>
    <row r="38" spans="1:9" x14ac:dyDescent="0.35">
      <c r="A38">
        <v>214</v>
      </c>
      <c r="B38">
        <v>100000551</v>
      </c>
      <c r="C38" t="s">
        <v>26</v>
      </c>
      <c r="D38">
        <v>1300</v>
      </c>
      <c r="E38">
        <v>0</v>
      </c>
      <c r="F38">
        <v>1300</v>
      </c>
      <c r="G38" s="1">
        <v>0</v>
      </c>
      <c r="H38" t="s">
        <v>200</v>
      </c>
      <c r="I38" t="str">
        <f t="shared" si="2"/>
        <v>MARZO</v>
      </c>
    </row>
    <row r="39" spans="1:9" x14ac:dyDescent="0.35">
      <c r="A39">
        <v>215</v>
      </c>
      <c r="B39">
        <v>100001916</v>
      </c>
      <c r="C39" t="s">
        <v>27</v>
      </c>
      <c r="D39">
        <v>200</v>
      </c>
      <c r="E39">
        <v>0</v>
      </c>
      <c r="F39">
        <v>200</v>
      </c>
      <c r="G39" s="1">
        <v>0</v>
      </c>
      <c r="H39" t="s">
        <v>199</v>
      </c>
      <c r="I39" t="str">
        <f t="shared" si="2"/>
        <v>MARZO</v>
      </c>
    </row>
    <row r="40" spans="1:9" x14ac:dyDescent="0.35">
      <c r="A40">
        <v>216</v>
      </c>
      <c r="B40">
        <v>100000688</v>
      </c>
      <c r="C40" t="s">
        <v>120</v>
      </c>
      <c r="D40">
        <v>3000</v>
      </c>
      <c r="E40">
        <v>0</v>
      </c>
      <c r="F40">
        <v>3000</v>
      </c>
      <c r="G40" s="1">
        <v>0</v>
      </c>
      <c r="H40" t="s">
        <v>199</v>
      </c>
      <c r="I40" t="str">
        <f t="shared" si="2"/>
        <v>MARZO</v>
      </c>
    </row>
    <row r="41" spans="1:9" x14ac:dyDescent="0.35">
      <c r="A41">
        <v>217</v>
      </c>
      <c r="B41">
        <v>100000697</v>
      </c>
      <c r="C41" t="s">
        <v>122</v>
      </c>
      <c r="D41">
        <v>360</v>
      </c>
      <c r="E41">
        <v>0</v>
      </c>
      <c r="F41">
        <v>360</v>
      </c>
      <c r="G41" s="1">
        <v>0</v>
      </c>
      <c r="H41" t="s">
        <v>199</v>
      </c>
      <c r="I41" t="str">
        <f t="shared" si="2"/>
        <v>MARZO</v>
      </c>
    </row>
    <row r="42" spans="1:9" x14ac:dyDescent="0.35">
      <c r="A42">
        <v>218</v>
      </c>
      <c r="B42">
        <v>100000772</v>
      </c>
      <c r="C42" t="s">
        <v>36</v>
      </c>
      <c r="D42">
        <v>100</v>
      </c>
      <c r="E42">
        <v>0</v>
      </c>
      <c r="F42">
        <v>100</v>
      </c>
      <c r="G42" s="1">
        <v>0</v>
      </c>
      <c r="H42" t="s">
        <v>199</v>
      </c>
      <c r="I42" t="str">
        <f t="shared" si="2"/>
        <v>MARZO</v>
      </c>
    </row>
    <row r="43" spans="1:9" x14ac:dyDescent="0.35">
      <c r="A43">
        <v>219</v>
      </c>
      <c r="B43">
        <v>100002241</v>
      </c>
      <c r="C43" t="s">
        <v>39</v>
      </c>
      <c r="D43">
        <v>60</v>
      </c>
      <c r="E43">
        <v>0</v>
      </c>
      <c r="F43">
        <v>60</v>
      </c>
      <c r="G43" s="1">
        <v>0</v>
      </c>
      <c r="H43" t="s">
        <v>199</v>
      </c>
      <c r="I43" t="str">
        <f t="shared" si="2"/>
        <v>MARZO</v>
      </c>
    </row>
    <row r="44" spans="1:9" x14ac:dyDescent="0.35">
      <c r="A44">
        <v>220</v>
      </c>
      <c r="B44">
        <v>100000918</v>
      </c>
      <c r="C44" t="s">
        <v>46</v>
      </c>
      <c r="D44">
        <v>1000</v>
      </c>
      <c r="E44">
        <v>0</v>
      </c>
      <c r="F44">
        <v>1000</v>
      </c>
      <c r="G44" s="1">
        <v>0</v>
      </c>
      <c r="H44" t="s">
        <v>200</v>
      </c>
      <c r="I44" t="str">
        <f t="shared" ref="I44:I53" si="3">$I43</f>
        <v>MARZO</v>
      </c>
    </row>
    <row r="45" spans="1:9" x14ac:dyDescent="0.35">
      <c r="A45">
        <v>221</v>
      </c>
      <c r="B45">
        <v>100001016</v>
      </c>
      <c r="C45" t="s">
        <v>50</v>
      </c>
      <c r="D45">
        <v>450</v>
      </c>
      <c r="E45">
        <v>0</v>
      </c>
      <c r="F45">
        <v>450</v>
      </c>
      <c r="G45" s="1">
        <v>0</v>
      </c>
      <c r="H45" t="s">
        <v>200</v>
      </c>
      <c r="I45" t="str">
        <f t="shared" si="3"/>
        <v>MARZO</v>
      </c>
    </row>
    <row r="46" spans="1:9" x14ac:dyDescent="0.35">
      <c r="A46">
        <v>223</v>
      </c>
      <c r="B46">
        <v>100001222</v>
      </c>
      <c r="C46" t="s">
        <v>169</v>
      </c>
      <c r="D46">
        <v>200</v>
      </c>
      <c r="E46">
        <v>100</v>
      </c>
      <c r="F46">
        <v>100</v>
      </c>
      <c r="G46" s="1">
        <v>0.5</v>
      </c>
      <c r="H46" t="s">
        <v>199</v>
      </c>
      <c r="I46" t="str">
        <f t="shared" si="3"/>
        <v>MARZO</v>
      </c>
    </row>
    <row r="47" spans="1:9" x14ac:dyDescent="0.35">
      <c r="A47">
        <v>224</v>
      </c>
      <c r="B47">
        <v>100002906</v>
      </c>
      <c r="C47" t="s">
        <v>67</v>
      </c>
      <c r="D47">
        <v>765</v>
      </c>
      <c r="E47">
        <v>315</v>
      </c>
      <c r="F47">
        <v>450</v>
      </c>
      <c r="G47" s="1">
        <v>0.41</v>
      </c>
      <c r="H47" t="s">
        <v>200</v>
      </c>
      <c r="I47" t="str">
        <f t="shared" si="3"/>
        <v>MARZO</v>
      </c>
    </row>
    <row r="48" spans="1:9" x14ac:dyDescent="0.35">
      <c r="A48">
        <v>225</v>
      </c>
      <c r="B48">
        <v>100001310</v>
      </c>
      <c r="C48" t="s">
        <v>76</v>
      </c>
      <c r="D48">
        <v>10600</v>
      </c>
      <c r="E48">
        <v>0</v>
      </c>
      <c r="F48">
        <v>10600</v>
      </c>
      <c r="G48" s="1">
        <v>0</v>
      </c>
      <c r="H48" t="s">
        <v>200</v>
      </c>
      <c r="I48" t="str">
        <f t="shared" si="3"/>
        <v>MARZO</v>
      </c>
    </row>
    <row r="49" spans="1:9" x14ac:dyDescent="0.35">
      <c r="A49">
        <v>226</v>
      </c>
      <c r="B49">
        <v>100002561</v>
      </c>
      <c r="C49" t="s">
        <v>170</v>
      </c>
      <c r="D49">
        <v>200</v>
      </c>
      <c r="E49">
        <v>0</v>
      </c>
      <c r="F49">
        <v>200</v>
      </c>
      <c r="G49" s="1">
        <v>0</v>
      </c>
      <c r="H49" t="s">
        <v>200</v>
      </c>
      <c r="I49" t="str">
        <f t="shared" si="3"/>
        <v>MARZO</v>
      </c>
    </row>
    <row r="50" spans="1:9" x14ac:dyDescent="0.35">
      <c r="A50">
        <v>227</v>
      </c>
      <c r="B50">
        <v>100001367</v>
      </c>
      <c r="C50" t="s">
        <v>185</v>
      </c>
      <c r="D50">
        <v>10</v>
      </c>
      <c r="E50">
        <v>0</v>
      </c>
      <c r="F50">
        <v>10</v>
      </c>
      <c r="G50" s="1">
        <v>0</v>
      </c>
      <c r="H50" t="s">
        <v>199</v>
      </c>
      <c r="I50" t="str">
        <f t="shared" si="3"/>
        <v>MARZO</v>
      </c>
    </row>
    <row r="51" spans="1:9" x14ac:dyDescent="0.35">
      <c r="A51">
        <v>228</v>
      </c>
      <c r="B51">
        <v>100005313</v>
      </c>
      <c r="C51" t="s">
        <v>80</v>
      </c>
      <c r="D51">
        <v>15</v>
      </c>
      <c r="E51">
        <v>0</v>
      </c>
      <c r="F51">
        <v>15</v>
      </c>
      <c r="G51" s="1">
        <v>0</v>
      </c>
      <c r="H51" t="s">
        <v>200</v>
      </c>
      <c r="I51" t="str">
        <f t="shared" si="3"/>
        <v>MARZO</v>
      </c>
    </row>
    <row r="52" spans="1:9" x14ac:dyDescent="0.35">
      <c r="A52">
        <v>229</v>
      </c>
      <c r="B52">
        <v>100005314</v>
      </c>
      <c r="C52" t="s">
        <v>145</v>
      </c>
      <c r="D52">
        <v>45</v>
      </c>
      <c r="E52">
        <v>0</v>
      </c>
      <c r="F52">
        <v>45</v>
      </c>
      <c r="G52" s="1">
        <v>0</v>
      </c>
      <c r="H52" t="s">
        <v>199</v>
      </c>
      <c r="I52" t="str">
        <f t="shared" si="3"/>
        <v>MARZO</v>
      </c>
    </row>
    <row r="53" spans="1:9" x14ac:dyDescent="0.35">
      <c r="A53">
        <v>230</v>
      </c>
      <c r="B53">
        <v>100004677</v>
      </c>
      <c r="C53" t="s">
        <v>148</v>
      </c>
      <c r="D53">
        <v>10</v>
      </c>
      <c r="E53">
        <v>0</v>
      </c>
      <c r="F53">
        <v>10</v>
      </c>
      <c r="G53" s="1">
        <v>0</v>
      </c>
      <c r="H53" t="s">
        <v>199</v>
      </c>
      <c r="I53" t="str">
        <f t="shared" si="3"/>
        <v>MARZO</v>
      </c>
    </row>
    <row r="54" spans="1:9" x14ac:dyDescent="0.35">
      <c r="A54">
        <v>2</v>
      </c>
      <c r="B54">
        <v>100004700</v>
      </c>
      <c r="C54" t="s">
        <v>1</v>
      </c>
      <c r="D54">
        <v>3600</v>
      </c>
      <c r="E54">
        <v>960</v>
      </c>
      <c r="F54">
        <v>2640</v>
      </c>
      <c r="G54" s="1">
        <v>0.27</v>
      </c>
      <c r="I54" t="s">
        <v>91</v>
      </c>
    </row>
    <row r="55" spans="1:9" x14ac:dyDescent="0.35">
      <c r="A55">
        <v>43</v>
      </c>
      <c r="B55">
        <v>100000371</v>
      </c>
      <c r="C55" t="s">
        <v>111</v>
      </c>
      <c r="D55">
        <v>100</v>
      </c>
      <c r="E55">
        <v>53</v>
      </c>
      <c r="F55">
        <v>47</v>
      </c>
      <c r="G55" s="1">
        <v>0.53</v>
      </c>
      <c r="I55" t="str">
        <f>$I54</f>
        <v>ABRIL</v>
      </c>
    </row>
    <row r="56" spans="1:9" x14ac:dyDescent="0.35">
      <c r="A56">
        <v>105</v>
      </c>
      <c r="B56">
        <v>100000908</v>
      </c>
      <c r="C56" t="s">
        <v>43</v>
      </c>
      <c r="D56">
        <v>10380</v>
      </c>
      <c r="E56">
        <v>5700</v>
      </c>
      <c r="F56">
        <v>4680</v>
      </c>
      <c r="G56" s="1">
        <v>0.55000000000000004</v>
      </c>
      <c r="I56" t="str">
        <f>$I55</f>
        <v>ABRIL</v>
      </c>
    </row>
    <row r="57" spans="1:9" x14ac:dyDescent="0.35">
      <c r="A57">
        <v>205</v>
      </c>
      <c r="B57">
        <v>100002074</v>
      </c>
      <c r="C57" t="s">
        <v>9</v>
      </c>
      <c r="D57">
        <v>240</v>
      </c>
      <c r="E57">
        <v>0</v>
      </c>
      <c r="F57">
        <v>240</v>
      </c>
      <c r="G57" s="1">
        <v>0</v>
      </c>
      <c r="H57" t="s">
        <v>96</v>
      </c>
      <c r="I57" t="str">
        <f t="shared" ref="I57:I67" si="4">$I56</f>
        <v>ABRIL</v>
      </c>
    </row>
    <row r="58" spans="1:9" x14ac:dyDescent="0.35">
      <c r="A58">
        <v>206</v>
      </c>
      <c r="B58">
        <v>100000388</v>
      </c>
      <c r="C58" t="s">
        <v>151</v>
      </c>
      <c r="D58">
        <v>100</v>
      </c>
      <c r="E58">
        <v>0</v>
      </c>
      <c r="F58">
        <v>100</v>
      </c>
      <c r="G58" s="1">
        <v>0</v>
      </c>
      <c r="H58" t="s">
        <v>95</v>
      </c>
      <c r="I58" t="str">
        <f t="shared" si="4"/>
        <v>ABRIL</v>
      </c>
    </row>
    <row r="59" spans="1:9" x14ac:dyDescent="0.35">
      <c r="A59">
        <v>207</v>
      </c>
      <c r="B59">
        <v>100001916</v>
      </c>
      <c r="C59" t="s">
        <v>27</v>
      </c>
      <c r="D59">
        <v>100</v>
      </c>
      <c r="E59">
        <v>0</v>
      </c>
      <c r="F59">
        <v>100</v>
      </c>
      <c r="G59" s="1">
        <v>0</v>
      </c>
      <c r="H59" t="s">
        <v>95</v>
      </c>
      <c r="I59" t="str">
        <f t="shared" si="4"/>
        <v>ABRIL</v>
      </c>
    </row>
    <row r="60" spans="1:9" x14ac:dyDescent="0.35">
      <c r="A60">
        <v>208</v>
      </c>
      <c r="B60">
        <v>100000733</v>
      </c>
      <c r="C60" t="s">
        <v>152</v>
      </c>
      <c r="D60">
        <v>80</v>
      </c>
      <c r="E60">
        <v>0</v>
      </c>
      <c r="F60">
        <v>80</v>
      </c>
      <c r="G60" s="1">
        <v>0</v>
      </c>
      <c r="H60" t="s">
        <v>96</v>
      </c>
      <c r="I60" t="str">
        <f t="shared" si="4"/>
        <v>ABRIL</v>
      </c>
    </row>
    <row r="61" spans="1:9" x14ac:dyDescent="0.35">
      <c r="A61">
        <v>209</v>
      </c>
      <c r="B61">
        <v>100003221</v>
      </c>
      <c r="C61" t="s">
        <v>153</v>
      </c>
      <c r="D61">
        <v>600</v>
      </c>
      <c r="E61">
        <v>0</v>
      </c>
      <c r="F61">
        <v>600</v>
      </c>
      <c r="G61" s="1">
        <v>0</v>
      </c>
      <c r="H61" t="s">
        <v>96</v>
      </c>
      <c r="I61" t="str">
        <f t="shared" si="4"/>
        <v>ABRIL</v>
      </c>
    </row>
    <row r="62" spans="1:9" x14ac:dyDescent="0.35">
      <c r="A62">
        <v>210</v>
      </c>
      <c r="B62">
        <v>100001041</v>
      </c>
      <c r="C62" t="s">
        <v>53</v>
      </c>
      <c r="D62">
        <v>400</v>
      </c>
      <c r="E62">
        <v>0</v>
      </c>
      <c r="F62">
        <v>400</v>
      </c>
      <c r="G62" s="1">
        <v>0</v>
      </c>
      <c r="H62" t="s">
        <v>96</v>
      </c>
      <c r="I62" t="str">
        <f t="shared" si="4"/>
        <v>ABRIL</v>
      </c>
    </row>
    <row r="63" spans="1:9" x14ac:dyDescent="0.35">
      <c r="A63">
        <v>211</v>
      </c>
      <c r="B63">
        <v>100001042</v>
      </c>
      <c r="C63" t="s">
        <v>154</v>
      </c>
      <c r="D63">
        <v>100</v>
      </c>
      <c r="E63">
        <v>0</v>
      </c>
      <c r="F63">
        <v>100</v>
      </c>
      <c r="G63" s="1">
        <v>0</v>
      </c>
      <c r="H63" t="s">
        <v>96</v>
      </c>
      <c r="I63" t="str">
        <f t="shared" si="4"/>
        <v>ABRIL</v>
      </c>
    </row>
    <row r="64" spans="1:9" x14ac:dyDescent="0.35">
      <c r="A64">
        <v>212</v>
      </c>
      <c r="B64">
        <v>100003840</v>
      </c>
      <c r="C64" t="s">
        <v>61</v>
      </c>
      <c r="D64">
        <v>300</v>
      </c>
      <c r="E64">
        <v>0</v>
      </c>
      <c r="F64">
        <v>300</v>
      </c>
      <c r="G64" s="1">
        <v>0</v>
      </c>
      <c r="H64" t="s">
        <v>95</v>
      </c>
      <c r="I64" t="str">
        <f t="shared" si="4"/>
        <v>ABRIL</v>
      </c>
    </row>
    <row r="65" spans="1:9" x14ac:dyDescent="0.35">
      <c r="A65">
        <v>213</v>
      </c>
      <c r="B65">
        <v>100002906</v>
      </c>
      <c r="C65" t="s">
        <v>67</v>
      </c>
      <c r="D65">
        <v>765</v>
      </c>
      <c r="E65">
        <v>0</v>
      </c>
      <c r="F65">
        <v>765</v>
      </c>
      <c r="G65" s="1">
        <v>0</v>
      </c>
      <c r="H65" t="s">
        <v>95</v>
      </c>
      <c r="I65" t="str">
        <f t="shared" si="4"/>
        <v>ABRIL</v>
      </c>
    </row>
    <row r="66" spans="1:9" x14ac:dyDescent="0.35">
      <c r="A66">
        <v>214</v>
      </c>
      <c r="B66">
        <v>100001310</v>
      </c>
      <c r="C66" t="s">
        <v>76</v>
      </c>
      <c r="D66">
        <v>13000</v>
      </c>
      <c r="E66">
        <v>0</v>
      </c>
      <c r="F66">
        <v>13000</v>
      </c>
      <c r="G66" s="1">
        <v>0</v>
      </c>
      <c r="H66" t="s">
        <v>95</v>
      </c>
      <c r="I66" t="str">
        <f t="shared" si="4"/>
        <v>ABRIL</v>
      </c>
    </row>
    <row r="67" spans="1:9" x14ac:dyDescent="0.35">
      <c r="A67">
        <v>215</v>
      </c>
      <c r="B67">
        <v>100004645</v>
      </c>
      <c r="C67" t="s">
        <v>79</v>
      </c>
      <c r="D67">
        <v>95</v>
      </c>
      <c r="E67">
        <v>0</v>
      </c>
      <c r="F67">
        <v>95</v>
      </c>
      <c r="G67" s="1">
        <v>0</v>
      </c>
      <c r="H67" t="s">
        <v>96</v>
      </c>
      <c r="I67" t="str">
        <f t="shared" si="4"/>
        <v>ABRIL</v>
      </c>
    </row>
    <row r="68" spans="1:9" x14ac:dyDescent="0.35">
      <c r="A68">
        <v>20</v>
      </c>
      <c r="B68">
        <v>100000197</v>
      </c>
      <c r="C68" t="s">
        <v>106</v>
      </c>
      <c r="D68">
        <v>2</v>
      </c>
      <c r="E68">
        <v>1</v>
      </c>
      <c r="F68">
        <v>1</v>
      </c>
      <c r="G68" s="1">
        <v>0.5</v>
      </c>
      <c r="I68" t="s">
        <v>92</v>
      </c>
    </row>
    <row r="69" spans="1:9" x14ac:dyDescent="0.35">
      <c r="A69">
        <v>93</v>
      </c>
      <c r="B69">
        <v>100000772</v>
      </c>
      <c r="C69" t="s">
        <v>36</v>
      </c>
      <c r="D69">
        <v>100</v>
      </c>
      <c r="E69">
        <v>50</v>
      </c>
      <c r="F69">
        <v>50</v>
      </c>
      <c r="G69" s="1">
        <v>0.5</v>
      </c>
      <c r="I69" t="str">
        <f>$I68</f>
        <v>MAYO</v>
      </c>
    </row>
    <row r="70" spans="1:9" x14ac:dyDescent="0.35">
      <c r="A70">
        <v>133</v>
      </c>
      <c r="B70">
        <v>100001102</v>
      </c>
      <c r="C70" t="s">
        <v>62</v>
      </c>
      <c r="D70">
        <v>12000</v>
      </c>
      <c r="E70">
        <v>6000</v>
      </c>
      <c r="F70">
        <v>6000</v>
      </c>
      <c r="G70" s="1">
        <v>0.5</v>
      </c>
      <c r="I70" t="str">
        <f t="shared" ref="I70:I89" si="5">$I69</f>
        <v>MAYO</v>
      </c>
    </row>
    <row r="71" spans="1:9" x14ac:dyDescent="0.35">
      <c r="A71">
        <v>188</v>
      </c>
      <c r="B71">
        <v>100000046</v>
      </c>
      <c r="C71" t="s">
        <v>6</v>
      </c>
      <c r="D71">
        <v>600</v>
      </c>
      <c r="E71">
        <v>0</v>
      </c>
      <c r="F71">
        <v>600</v>
      </c>
      <c r="G71" s="1">
        <v>0</v>
      </c>
      <c r="H71" t="s">
        <v>96</v>
      </c>
      <c r="I71" t="str">
        <f t="shared" si="5"/>
        <v>MAYO</v>
      </c>
    </row>
    <row r="72" spans="1:9" x14ac:dyDescent="0.35">
      <c r="A72">
        <v>189</v>
      </c>
      <c r="B72">
        <v>100002092</v>
      </c>
      <c r="C72" t="s">
        <v>12</v>
      </c>
      <c r="D72">
        <v>60</v>
      </c>
      <c r="E72">
        <v>0</v>
      </c>
      <c r="F72">
        <v>60</v>
      </c>
      <c r="G72" s="1">
        <v>0</v>
      </c>
      <c r="H72" t="s">
        <v>96</v>
      </c>
      <c r="I72" t="str">
        <f t="shared" si="5"/>
        <v>MAYO</v>
      </c>
    </row>
    <row r="73" spans="1:9" x14ac:dyDescent="0.35">
      <c r="A73">
        <v>190</v>
      </c>
      <c r="B73">
        <v>100000244</v>
      </c>
      <c r="C73" t="s">
        <v>13</v>
      </c>
      <c r="D73">
        <v>500</v>
      </c>
      <c r="E73">
        <v>0</v>
      </c>
      <c r="F73">
        <v>500</v>
      </c>
      <c r="G73" s="1">
        <v>0</v>
      </c>
      <c r="H73" t="s">
        <v>96</v>
      </c>
      <c r="I73" t="str">
        <f t="shared" si="5"/>
        <v>MAYO</v>
      </c>
    </row>
    <row r="74" spans="1:9" x14ac:dyDescent="0.35">
      <c r="A74">
        <v>1</v>
      </c>
      <c r="B74">
        <v>100004000</v>
      </c>
      <c r="C74" t="s">
        <v>172</v>
      </c>
      <c r="D74">
        <v>10</v>
      </c>
      <c r="E74">
        <v>0</v>
      </c>
      <c r="F74">
        <v>10</v>
      </c>
      <c r="G74" s="1">
        <v>0</v>
      </c>
      <c r="I74" t="str">
        <f t="shared" si="5"/>
        <v>MAYO</v>
      </c>
    </row>
    <row r="75" spans="1:9" x14ac:dyDescent="0.35">
      <c r="A75">
        <v>1</v>
      </c>
      <c r="B75">
        <v>100004001</v>
      </c>
      <c r="C75" t="s">
        <v>22</v>
      </c>
      <c r="D75">
        <v>16</v>
      </c>
      <c r="E75">
        <v>0</v>
      </c>
      <c r="F75">
        <v>16</v>
      </c>
      <c r="G75" s="1">
        <v>0</v>
      </c>
      <c r="I75" t="str">
        <f t="shared" si="5"/>
        <v>MAYO</v>
      </c>
    </row>
    <row r="76" spans="1:9" x14ac:dyDescent="0.35">
      <c r="A76">
        <v>191</v>
      </c>
      <c r="B76">
        <v>100000529</v>
      </c>
      <c r="C76" t="s">
        <v>25</v>
      </c>
      <c r="D76">
        <v>100</v>
      </c>
      <c r="E76">
        <v>0</v>
      </c>
      <c r="F76">
        <v>100</v>
      </c>
      <c r="G76" s="1">
        <v>0</v>
      </c>
      <c r="H76" t="s">
        <v>96</v>
      </c>
      <c r="I76" t="str">
        <f t="shared" si="5"/>
        <v>MAYO</v>
      </c>
    </row>
    <row r="77" spans="1:9" x14ac:dyDescent="0.35">
      <c r="A77">
        <v>192</v>
      </c>
      <c r="B77">
        <v>100003448</v>
      </c>
      <c r="C77" t="s">
        <v>32</v>
      </c>
      <c r="D77">
        <v>230</v>
      </c>
      <c r="E77">
        <v>0</v>
      </c>
      <c r="F77">
        <v>230</v>
      </c>
      <c r="G77" s="1">
        <v>0</v>
      </c>
      <c r="H77" t="s">
        <v>95</v>
      </c>
      <c r="I77" t="str">
        <f t="shared" si="5"/>
        <v>MAYO</v>
      </c>
    </row>
    <row r="78" spans="1:9" x14ac:dyDescent="0.35">
      <c r="A78">
        <v>193</v>
      </c>
      <c r="B78">
        <v>100000721</v>
      </c>
      <c r="C78" t="s">
        <v>124</v>
      </c>
      <c r="D78">
        <v>120</v>
      </c>
      <c r="E78">
        <v>0</v>
      </c>
      <c r="F78">
        <v>120</v>
      </c>
      <c r="G78" s="1">
        <v>0</v>
      </c>
      <c r="H78" t="s">
        <v>96</v>
      </c>
      <c r="I78" t="str">
        <f t="shared" si="5"/>
        <v>MAYO</v>
      </c>
    </row>
    <row r="79" spans="1:9" x14ac:dyDescent="0.35">
      <c r="A79">
        <v>194</v>
      </c>
      <c r="B79">
        <v>100000918</v>
      </c>
      <c r="C79" t="s">
        <v>46</v>
      </c>
      <c r="D79">
        <v>1000</v>
      </c>
      <c r="E79">
        <v>0</v>
      </c>
      <c r="F79">
        <v>1000</v>
      </c>
      <c r="G79" s="1">
        <v>0</v>
      </c>
      <c r="H79" t="s">
        <v>96</v>
      </c>
      <c r="I79" t="str">
        <f t="shared" si="5"/>
        <v>MAYO</v>
      </c>
    </row>
    <row r="80" spans="1:9" x14ac:dyDescent="0.35">
      <c r="A80">
        <v>195</v>
      </c>
      <c r="B80">
        <v>100001016</v>
      </c>
      <c r="C80" t="s">
        <v>50</v>
      </c>
      <c r="D80">
        <v>450</v>
      </c>
      <c r="E80">
        <v>0</v>
      </c>
      <c r="F80">
        <v>450</v>
      </c>
      <c r="G80" s="1">
        <v>0</v>
      </c>
      <c r="H80" t="s">
        <v>95</v>
      </c>
      <c r="I80" t="str">
        <f t="shared" si="5"/>
        <v>MAYO</v>
      </c>
    </row>
    <row r="81" spans="1:9" x14ac:dyDescent="0.35">
      <c r="A81">
        <v>196</v>
      </c>
      <c r="B81">
        <v>100001041</v>
      </c>
      <c r="C81" t="s">
        <v>53</v>
      </c>
      <c r="D81">
        <v>400</v>
      </c>
      <c r="E81">
        <v>0</v>
      </c>
      <c r="F81">
        <v>400</v>
      </c>
      <c r="G81" s="1">
        <v>0</v>
      </c>
      <c r="H81" t="s">
        <v>96</v>
      </c>
      <c r="I81" t="str">
        <f t="shared" si="5"/>
        <v>MAYO</v>
      </c>
    </row>
    <row r="82" spans="1:9" x14ac:dyDescent="0.35">
      <c r="A82">
        <v>197</v>
      </c>
      <c r="B82">
        <v>100001052</v>
      </c>
      <c r="C82" t="s">
        <v>56</v>
      </c>
      <c r="D82">
        <v>800</v>
      </c>
      <c r="E82">
        <v>0</v>
      </c>
      <c r="F82">
        <v>800</v>
      </c>
      <c r="G82" s="1">
        <v>0</v>
      </c>
      <c r="H82" t="s">
        <v>95</v>
      </c>
      <c r="I82" t="str">
        <f t="shared" si="5"/>
        <v>MAYO</v>
      </c>
    </row>
    <row r="83" spans="1:9" x14ac:dyDescent="0.35">
      <c r="A83">
        <v>198</v>
      </c>
      <c r="B83">
        <v>100002254</v>
      </c>
      <c r="C83" t="s">
        <v>60</v>
      </c>
      <c r="D83">
        <v>20</v>
      </c>
      <c r="E83">
        <v>0</v>
      </c>
      <c r="F83">
        <v>20</v>
      </c>
      <c r="G83" s="1">
        <v>0</v>
      </c>
      <c r="H83" t="s">
        <v>95</v>
      </c>
      <c r="I83" t="str">
        <f t="shared" si="5"/>
        <v>MAYO</v>
      </c>
    </row>
    <row r="84" spans="1:9" x14ac:dyDescent="0.35">
      <c r="A84">
        <v>199</v>
      </c>
      <c r="B84">
        <v>100005482</v>
      </c>
      <c r="C84" t="s">
        <v>135</v>
      </c>
      <c r="D84">
        <v>170</v>
      </c>
      <c r="E84">
        <v>0</v>
      </c>
      <c r="F84">
        <v>170</v>
      </c>
      <c r="G84" s="1">
        <v>0</v>
      </c>
      <c r="H84" t="s">
        <v>95</v>
      </c>
      <c r="I84" t="str">
        <f t="shared" si="5"/>
        <v>MAYO</v>
      </c>
    </row>
    <row r="85" spans="1:9" x14ac:dyDescent="0.35">
      <c r="A85">
        <v>200</v>
      </c>
      <c r="B85">
        <v>100001199</v>
      </c>
      <c r="C85" t="s">
        <v>164</v>
      </c>
      <c r="D85">
        <v>2000</v>
      </c>
      <c r="E85">
        <v>0</v>
      </c>
      <c r="F85">
        <v>2000</v>
      </c>
      <c r="G85" s="1">
        <v>0</v>
      </c>
      <c r="H85" t="s">
        <v>96</v>
      </c>
      <c r="I85" t="str">
        <f t="shared" si="5"/>
        <v>MAYO</v>
      </c>
    </row>
    <row r="86" spans="1:9" x14ac:dyDescent="0.35">
      <c r="A86">
        <v>201</v>
      </c>
      <c r="B86">
        <v>100002261</v>
      </c>
      <c r="C86" t="s">
        <v>139</v>
      </c>
      <c r="D86">
        <v>15840</v>
      </c>
      <c r="E86">
        <v>0</v>
      </c>
      <c r="F86">
        <v>15840</v>
      </c>
      <c r="G86" s="1">
        <v>0</v>
      </c>
      <c r="H86" t="s">
        <v>95</v>
      </c>
      <c r="I86" t="str">
        <f t="shared" si="5"/>
        <v>MAYO</v>
      </c>
    </row>
    <row r="87" spans="1:9" x14ac:dyDescent="0.35">
      <c r="A87">
        <v>202</v>
      </c>
      <c r="B87">
        <v>100001260</v>
      </c>
      <c r="C87" t="s">
        <v>73</v>
      </c>
      <c r="D87">
        <v>160</v>
      </c>
      <c r="E87">
        <v>0</v>
      </c>
      <c r="F87">
        <v>160</v>
      </c>
      <c r="G87" s="1">
        <v>0</v>
      </c>
      <c r="H87" t="s">
        <v>95</v>
      </c>
      <c r="I87" t="str">
        <f t="shared" si="5"/>
        <v>MAYO</v>
      </c>
    </row>
    <row r="88" spans="1:9" x14ac:dyDescent="0.35">
      <c r="A88">
        <v>203</v>
      </c>
      <c r="B88">
        <v>100001310</v>
      </c>
      <c r="C88" t="s">
        <v>76</v>
      </c>
      <c r="D88">
        <v>13000</v>
      </c>
      <c r="E88">
        <v>0</v>
      </c>
      <c r="F88">
        <v>13000</v>
      </c>
      <c r="G88" s="1">
        <v>0</v>
      </c>
      <c r="H88" t="s">
        <v>95</v>
      </c>
      <c r="I88" t="str">
        <f t="shared" si="5"/>
        <v>MAYO</v>
      </c>
    </row>
    <row r="89" spans="1:9" x14ac:dyDescent="0.35">
      <c r="A89">
        <v>204</v>
      </c>
      <c r="B89">
        <v>100001551</v>
      </c>
      <c r="C89" t="s">
        <v>86</v>
      </c>
      <c r="D89">
        <v>400</v>
      </c>
      <c r="E89">
        <v>0</v>
      </c>
      <c r="F89">
        <v>400</v>
      </c>
      <c r="G89" s="1">
        <v>0</v>
      </c>
      <c r="H89" t="s">
        <v>95</v>
      </c>
      <c r="I89" t="str">
        <f t="shared" si="5"/>
        <v>MAYO</v>
      </c>
    </row>
    <row r="90" spans="1:9" x14ac:dyDescent="0.35">
      <c r="A90">
        <v>99</v>
      </c>
      <c r="B90">
        <v>100000908</v>
      </c>
      <c r="C90" t="s">
        <v>43</v>
      </c>
      <c r="D90">
        <v>10380</v>
      </c>
      <c r="E90">
        <v>5310</v>
      </c>
      <c r="F90">
        <v>5070</v>
      </c>
      <c r="G90" s="1">
        <v>0.51</v>
      </c>
      <c r="I90" t="s">
        <v>93</v>
      </c>
    </row>
    <row r="91" spans="1:9" x14ac:dyDescent="0.35">
      <c r="A91">
        <v>159</v>
      </c>
      <c r="B91">
        <v>100001255</v>
      </c>
      <c r="C91" t="s">
        <v>71</v>
      </c>
      <c r="D91">
        <v>240</v>
      </c>
      <c r="E91">
        <v>30</v>
      </c>
      <c r="F91">
        <v>210</v>
      </c>
      <c r="G91" s="1">
        <v>0.12</v>
      </c>
      <c r="I91" t="str">
        <f>$I90</f>
        <v>JUNIO</v>
      </c>
    </row>
    <row r="92" spans="1:9" x14ac:dyDescent="0.35">
      <c r="A92">
        <v>195</v>
      </c>
      <c r="B92">
        <v>100005268</v>
      </c>
      <c r="C92" t="s">
        <v>11</v>
      </c>
      <c r="D92">
        <v>15</v>
      </c>
      <c r="E92">
        <v>0</v>
      </c>
      <c r="F92">
        <v>15</v>
      </c>
      <c r="G92" s="1">
        <v>0</v>
      </c>
      <c r="H92" t="s">
        <v>95</v>
      </c>
      <c r="I92" t="str">
        <f t="shared" ref="I92:I99" si="6">$I91</f>
        <v>JUNIO</v>
      </c>
    </row>
    <row r="93" spans="1:9" x14ac:dyDescent="0.35">
      <c r="A93">
        <v>196</v>
      </c>
      <c r="B93">
        <v>100000241</v>
      </c>
      <c r="C93" t="s">
        <v>107</v>
      </c>
      <c r="D93">
        <v>200</v>
      </c>
      <c r="E93">
        <v>0</v>
      </c>
      <c r="F93">
        <v>200</v>
      </c>
      <c r="G93" s="1">
        <v>0</v>
      </c>
      <c r="H93" t="s">
        <v>96</v>
      </c>
      <c r="I93" t="str">
        <f t="shared" si="6"/>
        <v>JUNIO</v>
      </c>
    </row>
    <row r="94" spans="1:9" x14ac:dyDescent="0.35">
      <c r="A94">
        <v>197</v>
      </c>
      <c r="B94">
        <v>100000772</v>
      </c>
      <c r="C94" t="s">
        <v>36</v>
      </c>
      <c r="D94">
        <v>100</v>
      </c>
      <c r="E94">
        <v>0</v>
      </c>
      <c r="F94">
        <v>100</v>
      </c>
      <c r="G94" s="1">
        <v>0</v>
      </c>
      <c r="H94" t="s">
        <v>95</v>
      </c>
      <c r="I94" t="str">
        <f t="shared" si="6"/>
        <v>JUNIO</v>
      </c>
    </row>
    <row r="95" spans="1:9" x14ac:dyDescent="0.35">
      <c r="A95">
        <v>198</v>
      </c>
      <c r="B95">
        <v>100000809</v>
      </c>
      <c r="C95" t="s">
        <v>89</v>
      </c>
      <c r="D95">
        <v>180</v>
      </c>
      <c r="E95">
        <v>0</v>
      </c>
      <c r="F95">
        <v>180</v>
      </c>
      <c r="G95" s="1">
        <v>0</v>
      </c>
      <c r="H95" t="s">
        <v>95</v>
      </c>
      <c r="I95" t="str">
        <f t="shared" si="6"/>
        <v>JUNIO</v>
      </c>
    </row>
    <row r="96" spans="1:9" x14ac:dyDescent="0.35">
      <c r="A96">
        <v>199</v>
      </c>
      <c r="B96">
        <v>100004066</v>
      </c>
      <c r="C96" t="s">
        <v>49</v>
      </c>
      <c r="D96">
        <v>2400</v>
      </c>
      <c r="E96">
        <v>0</v>
      </c>
      <c r="F96">
        <v>2400</v>
      </c>
      <c r="G96" s="1">
        <v>0</v>
      </c>
      <c r="H96" t="s">
        <v>96</v>
      </c>
      <c r="I96" t="str">
        <f t="shared" si="6"/>
        <v>JUNIO</v>
      </c>
    </row>
    <row r="97" spans="1:9" x14ac:dyDescent="0.35">
      <c r="A97">
        <v>200</v>
      </c>
      <c r="B97">
        <v>100001222</v>
      </c>
      <c r="C97" t="s">
        <v>169</v>
      </c>
      <c r="D97">
        <v>100</v>
      </c>
      <c r="E97">
        <v>0</v>
      </c>
      <c r="F97">
        <v>100</v>
      </c>
      <c r="G97" s="1">
        <v>0</v>
      </c>
      <c r="H97" t="s">
        <v>96</v>
      </c>
      <c r="I97" t="str">
        <f t="shared" si="6"/>
        <v>JUNIO</v>
      </c>
    </row>
    <row r="98" spans="1:9" x14ac:dyDescent="0.35">
      <c r="A98">
        <v>201</v>
      </c>
      <c r="B98">
        <v>100002561</v>
      </c>
      <c r="C98" t="s">
        <v>170</v>
      </c>
      <c r="D98">
        <v>200</v>
      </c>
      <c r="E98">
        <v>0</v>
      </c>
      <c r="F98">
        <v>200</v>
      </c>
      <c r="G98" s="1">
        <v>0</v>
      </c>
      <c r="H98" t="s">
        <v>96</v>
      </c>
      <c r="I98" t="str">
        <f t="shared" si="6"/>
        <v>JUNIO</v>
      </c>
    </row>
    <row r="99" spans="1:9" x14ac:dyDescent="0.35">
      <c r="A99">
        <v>202</v>
      </c>
      <c r="B99">
        <v>100004116</v>
      </c>
      <c r="C99" t="s">
        <v>81</v>
      </c>
      <c r="D99">
        <v>19</v>
      </c>
      <c r="E99">
        <v>0</v>
      </c>
      <c r="F99">
        <v>19</v>
      </c>
      <c r="G99" s="1">
        <v>0</v>
      </c>
      <c r="H99" t="s">
        <v>96</v>
      </c>
      <c r="I99" t="str">
        <f t="shared" si="6"/>
        <v>JUNIO</v>
      </c>
    </row>
    <row r="100" spans="1:9" x14ac:dyDescent="0.35">
      <c r="A100">
        <v>41</v>
      </c>
      <c r="B100">
        <v>100002037</v>
      </c>
      <c r="C100" t="s">
        <v>21</v>
      </c>
      <c r="D100">
        <v>660</v>
      </c>
      <c r="E100">
        <v>360</v>
      </c>
      <c r="F100">
        <v>300</v>
      </c>
      <c r="G100" s="1">
        <v>0.55000000000000004</v>
      </c>
      <c r="I100" t="s">
        <v>173</v>
      </c>
    </row>
    <row r="101" spans="1:9" x14ac:dyDescent="0.35">
      <c r="A101">
        <v>172</v>
      </c>
      <c r="B101">
        <v>100000308</v>
      </c>
      <c r="C101" t="s">
        <v>174</v>
      </c>
      <c r="D101">
        <v>560</v>
      </c>
      <c r="E101">
        <v>0</v>
      </c>
      <c r="F101">
        <v>560</v>
      </c>
      <c r="G101" s="1">
        <v>0</v>
      </c>
      <c r="H101" t="s">
        <v>96</v>
      </c>
      <c r="I101" t="s">
        <v>173</v>
      </c>
    </row>
    <row r="102" spans="1:9" x14ac:dyDescent="0.35">
      <c r="A102">
        <v>173</v>
      </c>
      <c r="B102">
        <v>100000381</v>
      </c>
      <c r="C102" t="s">
        <v>87</v>
      </c>
      <c r="D102">
        <v>180</v>
      </c>
      <c r="E102">
        <v>0</v>
      </c>
      <c r="F102">
        <v>180</v>
      </c>
      <c r="G102" s="1">
        <v>0</v>
      </c>
      <c r="H102" t="s">
        <v>175</v>
      </c>
      <c r="I102" t="str">
        <f>$I101</f>
        <v xml:space="preserve">JULIO </v>
      </c>
    </row>
    <row r="103" spans="1:9" x14ac:dyDescent="0.35">
      <c r="A103">
        <v>174</v>
      </c>
      <c r="B103">
        <v>100004001</v>
      </c>
      <c r="C103" t="s">
        <v>22</v>
      </c>
      <c r="D103">
        <v>16</v>
      </c>
      <c r="E103">
        <v>0</v>
      </c>
      <c r="F103">
        <v>16</v>
      </c>
      <c r="G103" s="1">
        <v>0</v>
      </c>
      <c r="H103" t="s">
        <v>96</v>
      </c>
      <c r="I103" t="str">
        <f t="shared" ref="I103:I110" si="7">$I102</f>
        <v xml:space="preserve">JULIO </v>
      </c>
    </row>
    <row r="104" spans="1:9" x14ac:dyDescent="0.35">
      <c r="A104">
        <v>175</v>
      </c>
      <c r="B104">
        <v>100000649</v>
      </c>
      <c r="C104" t="s">
        <v>31</v>
      </c>
      <c r="D104">
        <v>10</v>
      </c>
      <c r="E104">
        <v>0</v>
      </c>
      <c r="F104">
        <v>10</v>
      </c>
      <c r="G104" s="1">
        <v>0</v>
      </c>
      <c r="H104" t="s">
        <v>96</v>
      </c>
      <c r="I104" t="str">
        <f t="shared" si="7"/>
        <v xml:space="preserve">JULIO </v>
      </c>
    </row>
    <row r="105" spans="1:9" x14ac:dyDescent="0.35">
      <c r="A105">
        <v>176</v>
      </c>
      <c r="B105">
        <v>100000809</v>
      </c>
      <c r="C105" t="s">
        <v>89</v>
      </c>
      <c r="D105">
        <v>180</v>
      </c>
      <c r="E105">
        <v>0</v>
      </c>
      <c r="F105">
        <v>180</v>
      </c>
      <c r="G105" s="1">
        <v>0</v>
      </c>
      <c r="H105" t="s">
        <v>175</v>
      </c>
      <c r="I105" t="str">
        <f t="shared" si="7"/>
        <v xml:space="preserve">JULIO </v>
      </c>
    </row>
    <row r="106" spans="1:9" x14ac:dyDescent="0.35">
      <c r="A106">
        <v>177</v>
      </c>
      <c r="B106">
        <v>100002921</v>
      </c>
      <c r="C106" t="s">
        <v>136</v>
      </c>
      <c r="D106">
        <v>1200</v>
      </c>
      <c r="E106">
        <v>0</v>
      </c>
      <c r="F106">
        <v>1200</v>
      </c>
      <c r="G106" s="1">
        <v>0</v>
      </c>
      <c r="H106" t="s">
        <v>175</v>
      </c>
      <c r="I106" t="str">
        <f t="shared" si="7"/>
        <v xml:space="preserve">JULIO </v>
      </c>
    </row>
    <row r="107" spans="1:9" x14ac:dyDescent="0.35">
      <c r="A107">
        <v>178</v>
      </c>
      <c r="B107">
        <v>100003413</v>
      </c>
      <c r="C107" t="s">
        <v>138</v>
      </c>
      <c r="D107">
        <v>24</v>
      </c>
      <c r="E107">
        <v>0</v>
      </c>
      <c r="F107">
        <v>24</v>
      </c>
      <c r="G107" s="1">
        <v>0</v>
      </c>
      <c r="H107" t="s">
        <v>96</v>
      </c>
      <c r="I107" t="str">
        <f t="shared" si="7"/>
        <v xml:space="preserve">JULIO </v>
      </c>
    </row>
    <row r="108" spans="1:9" x14ac:dyDescent="0.35">
      <c r="A108">
        <v>179</v>
      </c>
      <c r="B108">
        <v>100001232</v>
      </c>
      <c r="C108" t="s">
        <v>68</v>
      </c>
      <c r="D108">
        <v>5000</v>
      </c>
      <c r="E108">
        <v>0</v>
      </c>
      <c r="F108">
        <v>5000</v>
      </c>
      <c r="G108" s="1">
        <v>0</v>
      </c>
      <c r="H108" t="s">
        <v>175</v>
      </c>
      <c r="I108" t="str">
        <f t="shared" si="7"/>
        <v xml:space="preserve">JULIO </v>
      </c>
    </row>
    <row r="109" spans="1:9" x14ac:dyDescent="0.35">
      <c r="A109">
        <v>180</v>
      </c>
      <c r="B109">
        <v>100002269</v>
      </c>
      <c r="C109" t="s">
        <v>82</v>
      </c>
      <c r="D109">
        <v>8</v>
      </c>
      <c r="E109">
        <v>0</v>
      </c>
      <c r="F109">
        <v>8</v>
      </c>
      <c r="G109" s="1">
        <v>0</v>
      </c>
      <c r="H109" t="s">
        <v>96</v>
      </c>
      <c r="I109" t="str">
        <f t="shared" si="7"/>
        <v xml:space="preserve">JULIO </v>
      </c>
    </row>
    <row r="110" spans="1:9" x14ac:dyDescent="0.35">
      <c r="A110">
        <v>181</v>
      </c>
      <c r="B110">
        <v>100004675</v>
      </c>
      <c r="C110" t="s">
        <v>83</v>
      </c>
      <c r="D110">
        <v>4</v>
      </c>
      <c r="E110">
        <v>0</v>
      </c>
      <c r="F110">
        <v>4</v>
      </c>
      <c r="G110" s="1">
        <v>0</v>
      </c>
      <c r="H110" t="s">
        <v>175</v>
      </c>
      <c r="I110" t="str">
        <f t="shared" si="7"/>
        <v xml:space="preserve">JULIO </v>
      </c>
    </row>
    <row r="111" spans="1:9" x14ac:dyDescent="0.35">
      <c r="A111">
        <v>2</v>
      </c>
      <c r="B111">
        <v>100004700</v>
      </c>
      <c r="C111" t="s">
        <v>1</v>
      </c>
      <c r="D111">
        <v>4080</v>
      </c>
      <c r="E111">
        <v>480</v>
      </c>
      <c r="F111">
        <v>3600</v>
      </c>
      <c r="G111" s="1">
        <v>0.12</v>
      </c>
      <c r="I111" t="s">
        <v>94</v>
      </c>
    </row>
    <row r="112" spans="1:9" x14ac:dyDescent="0.35">
      <c r="A112">
        <v>42</v>
      </c>
      <c r="B112">
        <v>100002037</v>
      </c>
      <c r="C112" t="s">
        <v>21</v>
      </c>
      <c r="D112">
        <v>780</v>
      </c>
      <c r="E112">
        <v>420</v>
      </c>
      <c r="F112">
        <v>360</v>
      </c>
      <c r="G112" s="1">
        <v>0.54</v>
      </c>
      <c r="I112" t="str">
        <f>$I111</f>
        <v>AGOSTO</v>
      </c>
    </row>
    <row r="113" spans="1:9" x14ac:dyDescent="0.35">
      <c r="A113">
        <v>66</v>
      </c>
      <c r="B113">
        <v>100000772</v>
      </c>
      <c r="C113" t="s">
        <v>36</v>
      </c>
      <c r="D113">
        <v>100</v>
      </c>
      <c r="E113">
        <v>30</v>
      </c>
      <c r="F113">
        <v>70</v>
      </c>
      <c r="G113" s="1">
        <v>0.3</v>
      </c>
      <c r="I113" t="str">
        <f>$I112</f>
        <v>AGOSTO</v>
      </c>
    </row>
    <row r="114" spans="1:9" x14ac:dyDescent="0.35">
      <c r="A114">
        <v>90</v>
      </c>
      <c r="B114">
        <v>100001020</v>
      </c>
      <c r="C114" t="s">
        <v>52</v>
      </c>
      <c r="D114">
        <v>5500</v>
      </c>
      <c r="E114">
        <v>2900</v>
      </c>
      <c r="F114">
        <v>2600</v>
      </c>
      <c r="G114" s="1">
        <v>0.53</v>
      </c>
      <c r="I114" t="str">
        <f t="shared" ref="I114:I120" si="8">$I113</f>
        <v>AGOSTO</v>
      </c>
    </row>
    <row r="115" spans="1:9" x14ac:dyDescent="0.35">
      <c r="A115">
        <v>150</v>
      </c>
      <c r="B115">
        <v>100000381</v>
      </c>
      <c r="C115" t="s">
        <v>87</v>
      </c>
      <c r="D115">
        <v>180</v>
      </c>
      <c r="E115">
        <v>0</v>
      </c>
      <c r="F115">
        <v>180</v>
      </c>
      <c r="G115" s="1">
        <v>0</v>
      </c>
      <c r="H115" t="s">
        <v>95</v>
      </c>
      <c r="I115" t="str">
        <f t="shared" si="8"/>
        <v>AGOSTO</v>
      </c>
    </row>
    <row r="116" spans="1:9" x14ac:dyDescent="0.35">
      <c r="A116">
        <v>151</v>
      </c>
      <c r="B116">
        <v>100004642</v>
      </c>
      <c r="C116" t="s">
        <v>88</v>
      </c>
      <c r="D116">
        <v>30</v>
      </c>
      <c r="E116">
        <v>0</v>
      </c>
      <c r="F116">
        <v>30</v>
      </c>
      <c r="G116" s="1">
        <v>0</v>
      </c>
      <c r="H116" t="s">
        <v>95</v>
      </c>
      <c r="I116" t="str">
        <f t="shared" si="8"/>
        <v>AGOSTO</v>
      </c>
    </row>
    <row r="117" spans="1:9" x14ac:dyDescent="0.35">
      <c r="A117">
        <v>152</v>
      </c>
      <c r="B117">
        <v>100000809</v>
      </c>
      <c r="C117" t="s">
        <v>89</v>
      </c>
      <c r="D117">
        <v>180</v>
      </c>
      <c r="E117">
        <v>0</v>
      </c>
      <c r="F117">
        <v>180</v>
      </c>
      <c r="G117" s="1">
        <v>0</v>
      </c>
      <c r="H117" t="s">
        <v>95</v>
      </c>
      <c r="I117" t="str">
        <f t="shared" si="8"/>
        <v>AGOSTO</v>
      </c>
    </row>
    <row r="118" spans="1:9" x14ac:dyDescent="0.35">
      <c r="A118">
        <v>153</v>
      </c>
      <c r="B118">
        <v>100005505</v>
      </c>
      <c r="C118" t="s">
        <v>90</v>
      </c>
      <c r="D118">
        <v>40</v>
      </c>
      <c r="E118">
        <v>0</v>
      </c>
      <c r="F118">
        <v>40</v>
      </c>
      <c r="G118" s="1">
        <v>0</v>
      </c>
      <c r="H118" t="s">
        <v>96</v>
      </c>
      <c r="I118" t="str">
        <f t="shared" si="8"/>
        <v>AGOSTO</v>
      </c>
    </row>
    <row r="119" spans="1:9" x14ac:dyDescent="0.35">
      <c r="A119">
        <v>154</v>
      </c>
      <c r="B119">
        <v>100005302</v>
      </c>
      <c r="C119" t="s">
        <v>58</v>
      </c>
      <c r="D119">
        <v>40</v>
      </c>
      <c r="E119">
        <v>0</v>
      </c>
      <c r="F119">
        <v>40</v>
      </c>
      <c r="G119" s="1">
        <v>0</v>
      </c>
      <c r="H119" t="s">
        <v>95</v>
      </c>
      <c r="I119" t="str">
        <f t="shared" si="8"/>
        <v>AGOSTO</v>
      </c>
    </row>
    <row r="120" spans="1:9" x14ac:dyDescent="0.35">
      <c r="A120">
        <v>155</v>
      </c>
      <c r="B120">
        <v>100004632</v>
      </c>
      <c r="C120" t="s">
        <v>59</v>
      </c>
      <c r="D120">
        <v>40</v>
      </c>
      <c r="E120">
        <v>0</v>
      </c>
      <c r="F120">
        <v>40</v>
      </c>
      <c r="G120" s="1">
        <v>0</v>
      </c>
      <c r="H120" t="s">
        <v>95</v>
      </c>
      <c r="I120" t="str">
        <f t="shared" si="8"/>
        <v>AGOSTO</v>
      </c>
    </row>
    <row r="121" spans="1:9" x14ac:dyDescent="0.35">
      <c r="A121">
        <v>1</v>
      </c>
      <c r="B121">
        <v>100000003</v>
      </c>
      <c r="C121" t="s">
        <v>0</v>
      </c>
      <c r="D121">
        <v>2500</v>
      </c>
      <c r="E121">
        <v>700</v>
      </c>
      <c r="F121">
        <v>1800</v>
      </c>
      <c r="G121" s="1">
        <v>0.28000000000000003</v>
      </c>
      <c r="I121" t="s">
        <v>177</v>
      </c>
    </row>
    <row r="122" spans="1:9" x14ac:dyDescent="0.35">
      <c r="A122">
        <v>161</v>
      </c>
      <c r="B122">
        <v>100001466</v>
      </c>
      <c r="C122" t="s">
        <v>84</v>
      </c>
      <c r="D122">
        <v>4200</v>
      </c>
      <c r="E122">
        <v>2070</v>
      </c>
      <c r="F122">
        <v>2130</v>
      </c>
      <c r="G122" s="1">
        <v>0.49</v>
      </c>
      <c r="I122" t="str">
        <f>$I121</f>
        <v>SEPTIEMBRE</v>
      </c>
    </row>
    <row r="123" spans="1:9" x14ac:dyDescent="0.35">
      <c r="A123">
        <v>169</v>
      </c>
      <c r="B123">
        <v>100001902</v>
      </c>
      <c r="C123" t="s">
        <v>15</v>
      </c>
      <c r="D123">
        <v>50000</v>
      </c>
      <c r="E123">
        <v>0</v>
      </c>
      <c r="F123">
        <v>50000</v>
      </c>
      <c r="G123" s="1">
        <v>0</v>
      </c>
      <c r="H123" t="s">
        <v>95</v>
      </c>
      <c r="I123" t="str">
        <f t="shared" ref="I123:I133" si="9">$I122</f>
        <v>SEPTIEMBRE</v>
      </c>
    </row>
    <row r="124" spans="1:9" x14ac:dyDescent="0.35">
      <c r="A124">
        <v>170</v>
      </c>
      <c r="B124">
        <v>100003422</v>
      </c>
      <c r="C124" t="s">
        <v>108</v>
      </c>
      <c r="D124">
        <v>1200</v>
      </c>
      <c r="E124">
        <v>0</v>
      </c>
      <c r="F124">
        <v>1200</v>
      </c>
      <c r="G124" s="1">
        <v>0</v>
      </c>
      <c r="H124" t="s">
        <v>95</v>
      </c>
      <c r="I124" t="str">
        <f t="shared" si="9"/>
        <v>SEPTIEMBRE</v>
      </c>
    </row>
    <row r="125" spans="1:9" x14ac:dyDescent="0.35">
      <c r="A125">
        <v>171</v>
      </c>
      <c r="B125">
        <v>100000381</v>
      </c>
      <c r="C125" t="s">
        <v>87</v>
      </c>
      <c r="D125">
        <v>180</v>
      </c>
      <c r="E125">
        <v>0</v>
      </c>
      <c r="F125">
        <v>180</v>
      </c>
      <c r="G125" s="1">
        <v>0</v>
      </c>
      <c r="H125" t="s">
        <v>96</v>
      </c>
      <c r="I125" t="str">
        <f t="shared" si="9"/>
        <v>SEPTIEMBRE</v>
      </c>
    </row>
    <row r="126" spans="1:9" x14ac:dyDescent="0.35">
      <c r="A126">
        <v>172</v>
      </c>
      <c r="B126">
        <v>100001903</v>
      </c>
      <c r="C126" t="s">
        <v>155</v>
      </c>
      <c r="D126">
        <v>10</v>
      </c>
      <c r="E126">
        <v>0</v>
      </c>
      <c r="F126">
        <v>10</v>
      </c>
      <c r="G126" s="1">
        <v>0</v>
      </c>
      <c r="H126" t="s">
        <v>96</v>
      </c>
      <c r="I126" t="str">
        <f t="shared" si="9"/>
        <v>SEPTIEMBRE</v>
      </c>
    </row>
    <row r="127" spans="1:9" x14ac:dyDescent="0.35">
      <c r="A127">
        <v>173</v>
      </c>
      <c r="B127">
        <v>100000535</v>
      </c>
      <c r="C127" t="s">
        <v>182</v>
      </c>
      <c r="D127">
        <v>300</v>
      </c>
      <c r="E127">
        <v>0</v>
      </c>
      <c r="F127">
        <v>300</v>
      </c>
      <c r="G127" s="1">
        <v>0</v>
      </c>
      <c r="H127" t="s">
        <v>95</v>
      </c>
      <c r="I127" t="str">
        <f t="shared" si="9"/>
        <v>SEPTIEMBRE</v>
      </c>
    </row>
    <row r="128" spans="1:9" x14ac:dyDescent="0.35">
      <c r="A128">
        <v>174</v>
      </c>
      <c r="B128">
        <v>100000908</v>
      </c>
      <c r="C128" t="s">
        <v>43</v>
      </c>
      <c r="D128">
        <v>10380</v>
      </c>
      <c r="E128">
        <v>0</v>
      </c>
      <c r="F128">
        <v>10380</v>
      </c>
      <c r="G128" s="1">
        <v>0</v>
      </c>
      <c r="H128" t="s">
        <v>96</v>
      </c>
      <c r="I128" t="str">
        <f t="shared" si="9"/>
        <v>SEPTIEMBRE</v>
      </c>
    </row>
    <row r="129" spans="1:9" x14ac:dyDescent="0.35">
      <c r="A129">
        <v>175</v>
      </c>
      <c r="B129">
        <v>100005505</v>
      </c>
      <c r="C129" t="s">
        <v>90</v>
      </c>
      <c r="D129">
        <v>40</v>
      </c>
      <c r="E129">
        <v>0</v>
      </c>
      <c r="F129">
        <v>40</v>
      </c>
      <c r="G129" s="1">
        <v>0</v>
      </c>
      <c r="H129" t="s">
        <v>95</v>
      </c>
      <c r="I129" t="str">
        <f t="shared" si="9"/>
        <v>SEPTIEMBRE</v>
      </c>
    </row>
    <row r="130" spans="1:9" x14ac:dyDescent="0.35">
      <c r="A130">
        <v>176</v>
      </c>
      <c r="B130">
        <v>100004066</v>
      </c>
      <c r="C130" t="s">
        <v>49</v>
      </c>
      <c r="D130">
        <v>3600</v>
      </c>
      <c r="E130">
        <v>0</v>
      </c>
      <c r="F130">
        <v>3600</v>
      </c>
      <c r="G130" s="1">
        <v>0</v>
      </c>
      <c r="H130" t="s">
        <v>96</v>
      </c>
      <c r="I130" t="str">
        <f t="shared" si="9"/>
        <v>SEPTIEMBRE</v>
      </c>
    </row>
    <row r="131" spans="1:9" x14ac:dyDescent="0.35">
      <c r="A131">
        <v>177</v>
      </c>
      <c r="B131">
        <v>100002921</v>
      </c>
      <c r="C131" t="s">
        <v>136</v>
      </c>
      <c r="D131">
        <v>1200</v>
      </c>
      <c r="E131">
        <v>0</v>
      </c>
      <c r="F131">
        <v>1200</v>
      </c>
      <c r="G131" s="1">
        <v>0</v>
      </c>
      <c r="H131" t="s">
        <v>95</v>
      </c>
      <c r="I131" t="str">
        <f t="shared" si="9"/>
        <v>SEPTIEMBRE</v>
      </c>
    </row>
    <row r="132" spans="1:9" x14ac:dyDescent="0.35">
      <c r="A132">
        <v>178</v>
      </c>
      <c r="B132">
        <v>100001260</v>
      </c>
      <c r="C132" t="s">
        <v>73</v>
      </c>
      <c r="D132">
        <v>160</v>
      </c>
      <c r="E132">
        <v>0</v>
      </c>
      <c r="F132">
        <v>160</v>
      </c>
      <c r="G132" s="1">
        <v>0</v>
      </c>
      <c r="H132" t="s">
        <v>95</v>
      </c>
      <c r="I132" t="str">
        <f t="shared" si="9"/>
        <v>SEPTIEMBRE</v>
      </c>
    </row>
    <row r="133" spans="1:9" x14ac:dyDescent="0.35">
      <c r="A133">
        <v>179</v>
      </c>
      <c r="B133">
        <v>100002314</v>
      </c>
      <c r="C133" t="s">
        <v>74</v>
      </c>
      <c r="D133">
        <v>8</v>
      </c>
      <c r="E133">
        <v>0</v>
      </c>
      <c r="F133">
        <v>8</v>
      </c>
      <c r="G133" s="1">
        <v>0</v>
      </c>
      <c r="H133" t="s">
        <v>96</v>
      </c>
      <c r="I133" t="str">
        <f t="shared" si="9"/>
        <v>SEPTIEMBRE</v>
      </c>
    </row>
    <row r="134" spans="1:9" x14ac:dyDescent="0.35">
      <c r="A134">
        <v>180</v>
      </c>
      <c r="B134">
        <v>100001463</v>
      </c>
      <c r="C134" t="s">
        <v>183</v>
      </c>
      <c r="D134">
        <v>660</v>
      </c>
      <c r="E134">
        <v>0</v>
      </c>
      <c r="F134">
        <v>660</v>
      </c>
      <c r="G134" s="1">
        <v>0</v>
      </c>
      <c r="H134" t="s">
        <v>95</v>
      </c>
      <c r="I134" t="str">
        <f>$I133</f>
        <v>SEPTIEMBRE</v>
      </c>
    </row>
    <row r="135" spans="1:9" x14ac:dyDescent="0.35">
      <c r="A135">
        <v>1</v>
      </c>
      <c r="B135">
        <v>100000368</v>
      </c>
      <c r="C135" t="s">
        <v>110</v>
      </c>
      <c r="D135">
        <v>100</v>
      </c>
      <c r="E135">
        <v>0</v>
      </c>
      <c r="F135">
        <v>100</v>
      </c>
      <c r="G135" s="1">
        <v>0</v>
      </c>
      <c r="I135" t="str">
        <f t="shared" ref="I135:I139" si="10">$I134</f>
        <v>SEPTIEMBRE</v>
      </c>
    </row>
    <row r="136" spans="1:9" x14ac:dyDescent="0.35">
      <c r="A136">
        <v>1</v>
      </c>
      <c r="B136">
        <v>100000486</v>
      </c>
      <c r="C136" t="s">
        <v>205</v>
      </c>
      <c r="D136">
        <v>6</v>
      </c>
      <c r="E136">
        <v>0</v>
      </c>
      <c r="F136">
        <v>6</v>
      </c>
      <c r="G136" s="1">
        <v>0</v>
      </c>
      <c r="I136" t="str">
        <f t="shared" si="10"/>
        <v>SEPTIEMBRE</v>
      </c>
    </row>
    <row r="137" spans="1:9" x14ac:dyDescent="0.35">
      <c r="A137">
        <v>1</v>
      </c>
      <c r="B137">
        <v>100000763</v>
      </c>
      <c r="C137" t="s">
        <v>179</v>
      </c>
      <c r="D137">
        <v>300</v>
      </c>
      <c r="E137">
        <v>0</v>
      </c>
      <c r="F137">
        <v>300</v>
      </c>
      <c r="G137" s="1">
        <v>0</v>
      </c>
      <c r="I137" t="str">
        <f t="shared" si="10"/>
        <v>SEPTIEMBRE</v>
      </c>
    </row>
    <row r="138" spans="1:9" x14ac:dyDescent="0.35">
      <c r="A138">
        <v>1</v>
      </c>
      <c r="B138">
        <v>100000772</v>
      </c>
      <c r="C138" t="s">
        <v>36</v>
      </c>
      <c r="D138">
        <v>100</v>
      </c>
      <c r="E138">
        <v>0</v>
      </c>
      <c r="F138">
        <v>100</v>
      </c>
      <c r="G138" s="1">
        <v>0</v>
      </c>
      <c r="I138" t="str">
        <f t="shared" si="10"/>
        <v>SEPTIEMBRE</v>
      </c>
    </row>
    <row r="139" spans="1:9" x14ac:dyDescent="0.35">
      <c r="A139">
        <v>1</v>
      </c>
      <c r="B139">
        <v>100001068</v>
      </c>
      <c r="C139" t="s">
        <v>206</v>
      </c>
      <c r="D139">
        <v>100</v>
      </c>
      <c r="E139">
        <v>0</v>
      </c>
      <c r="F139">
        <v>100</v>
      </c>
      <c r="G139" s="1">
        <v>0</v>
      </c>
      <c r="I139" t="str">
        <f t="shared" si="10"/>
        <v>SEPTIEMBRE</v>
      </c>
    </row>
    <row r="140" spans="1:9" x14ac:dyDescent="0.35">
      <c r="A140">
        <v>49</v>
      </c>
      <c r="B140">
        <v>100002037</v>
      </c>
      <c r="C140" t="s">
        <v>21</v>
      </c>
      <c r="D140">
        <v>1200</v>
      </c>
      <c r="E140">
        <v>600</v>
      </c>
      <c r="F140">
        <v>600</v>
      </c>
      <c r="G140" s="1">
        <v>0.5</v>
      </c>
      <c r="I140" t="s">
        <v>184</v>
      </c>
    </row>
    <row r="141" spans="1:9" x14ac:dyDescent="0.35">
      <c r="A141">
        <v>76</v>
      </c>
      <c r="B141">
        <v>100004648</v>
      </c>
      <c r="C141" t="s">
        <v>33</v>
      </c>
      <c r="D141">
        <v>52</v>
      </c>
      <c r="E141">
        <v>22</v>
      </c>
      <c r="F141">
        <v>30</v>
      </c>
      <c r="G141" s="1">
        <v>0.42</v>
      </c>
      <c r="I141" t="str">
        <f>$I140</f>
        <v>OCTUBRE</v>
      </c>
    </row>
    <row r="142" spans="1:9" x14ac:dyDescent="0.35">
      <c r="A142">
        <v>173</v>
      </c>
      <c r="B142">
        <v>100001466</v>
      </c>
      <c r="C142" t="s">
        <v>84</v>
      </c>
      <c r="D142">
        <v>4200</v>
      </c>
      <c r="E142">
        <v>160</v>
      </c>
      <c r="F142">
        <v>4040</v>
      </c>
      <c r="G142" s="1">
        <v>0.04</v>
      </c>
      <c r="I142" t="str">
        <f t="shared" ref="I142:I151" si="11">$I141</f>
        <v>OCTUBRE</v>
      </c>
    </row>
    <row r="143" spans="1:9" x14ac:dyDescent="0.35">
      <c r="A143">
        <v>178</v>
      </c>
      <c r="B143">
        <v>100005268</v>
      </c>
      <c r="C143" t="s">
        <v>11</v>
      </c>
      <c r="D143">
        <v>45</v>
      </c>
      <c r="E143">
        <v>0</v>
      </c>
      <c r="F143">
        <v>45</v>
      </c>
      <c r="G143" s="1">
        <v>0</v>
      </c>
      <c r="H143" t="s">
        <v>96</v>
      </c>
      <c r="I143" t="str">
        <f t="shared" si="11"/>
        <v>OCTUBRE</v>
      </c>
    </row>
    <row r="144" spans="1:9" x14ac:dyDescent="0.35">
      <c r="A144">
        <v>179</v>
      </c>
      <c r="B144">
        <v>100004006</v>
      </c>
      <c r="C144" t="s">
        <v>115</v>
      </c>
      <c r="D144">
        <v>810</v>
      </c>
      <c r="E144">
        <v>0</v>
      </c>
      <c r="F144">
        <v>810</v>
      </c>
      <c r="G144" s="1">
        <v>0</v>
      </c>
      <c r="H144" t="s">
        <v>95</v>
      </c>
      <c r="I144" t="str">
        <f t="shared" si="11"/>
        <v>OCTUBRE</v>
      </c>
    </row>
    <row r="145" spans="1:9" x14ac:dyDescent="0.35">
      <c r="A145">
        <v>180</v>
      </c>
      <c r="B145">
        <v>100000535</v>
      </c>
      <c r="C145" t="s">
        <v>182</v>
      </c>
      <c r="D145">
        <v>200</v>
      </c>
      <c r="E145">
        <v>0</v>
      </c>
      <c r="F145">
        <v>200</v>
      </c>
      <c r="G145" s="1">
        <v>0</v>
      </c>
      <c r="H145" t="s">
        <v>96</v>
      </c>
      <c r="I145" t="str">
        <f t="shared" si="11"/>
        <v>OCTUBRE</v>
      </c>
    </row>
    <row r="146" spans="1:9" x14ac:dyDescent="0.35">
      <c r="A146">
        <v>181</v>
      </c>
      <c r="B146">
        <v>100000809</v>
      </c>
      <c r="C146" t="s">
        <v>89</v>
      </c>
      <c r="D146">
        <v>180</v>
      </c>
      <c r="E146">
        <v>0</v>
      </c>
      <c r="F146">
        <v>180</v>
      </c>
      <c r="G146" s="1">
        <v>0</v>
      </c>
      <c r="H146" t="s">
        <v>95</v>
      </c>
      <c r="I146" t="str">
        <f t="shared" si="11"/>
        <v>OCTUBRE</v>
      </c>
    </row>
    <row r="147" spans="1:9" x14ac:dyDescent="0.35">
      <c r="A147">
        <v>182</v>
      </c>
      <c r="B147">
        <v>100004354</v>
      </c>
      <c r="C147" t="s">
        <v>72</v>
      </c>
      <c r="D147">
        <v>280</v>
      </c>
      <c r="E147">
        <v>0</v>
      </c>
      <c r="F147">
        <v>280</v>
      </c>
      <c r="G147" s="1">
        <v>0</v>
      </c>
      <c r="H147" t="s">
        <v>96</v>
      </c>
      <c r="I147" t="str">
        <f t="shared" si="11"/>
        <v>OCTUBRE</v>
      </c>
    </row>
    <row r="148" spans="1:9" x14ac:dyDescent="0.35">
      <c r="A148">
        <v>183</v>
      </c>
      <c r="B148">
        <v>100002314</v>
      </c>
      <c r="C148" t="s">
        <v>74</v>
      </c>
      <c r="D148">
        <v>8</v>
      </c>
      <c r="E148">
        <v>0</v>
      </c>
      <c r="F148">
        <v>8</v>
      </c>
      <c r="G148" s="1">
        <v>0</v>
      </c>
      <c r="H148" t="s">
        <v>96</v>
      </c>
      <c r="I148" t="str">
        <f t="shared" si="11"/>
        <v>OCTUBRE</v>
      </c>
    </row>
    <row r="149" spans="1:9" x14ac:dyDescent="0.35">
      <c r="A149">
        <v>184</v>
      </c>
      <c r="B149">
        <v>100002919</v>
      </c>
      <c r="C149" t="s">
        <v>75</v>
      </c>
      <c r="D149">
        <v>2500</v>
      </c>
      <c r="E149">
        <v>0</v>
      </c>
      <c r="F149">
        <v>2500</v>
      </c>
      <c r="G149" s="1">
        <v>0</v>
      </c>
      <c r="H149" t="s">
        <v>95</v>
      </c>
      <c r="I149" t="str">
        <f t="shared" si="11"/>
        <v>OCTUBRE</v>
      </c>
    </row>
    <row r="150" spans="1:9" x14ac:dyDescent="0.35">
      <c r="A150">
        <v>185</v>
      </c>
      <c r="B150">
        <v>100002919</v>
      </c>
      <c r="C150" t="s">
        <v>75</v>
      </c>
      <c r="D150">
        <v>2450</v>
      </c>
      <c r="E150">
        <v>0</v>
      </c>
      <c r="F150">
        <v>2450</v>
      </c>
      <c r="G150" s="1">
        <v>0</v>
      </c>
      <c r="H150" t="s">
        <v>95</v>
      </c>
      <c r="I150" t="str">
        <f t="shared" si="11"/>
        <v>OCTUBRE</v>
      </c>
    </row>
    <row r="151" spans="1:9" x14ac:dyDescent="0.35">
      <c r="A151">
        <v>186</v>
      </c>
      <c r="B151">
        <v>100004675</v>
      </c>
      <c r="C151" t="s">
        <v>83</v>
      </c>
      <c r="D151">
        <v>8</v>
      </c>
      <c r="E151">
        <v>0</v>
      </c>
      <c r="F151">
        <v>8</v>
      </c>
      <c r="G151" s="1">
        <v>0</v>
      </c>
      <c r="H151" t="s">
        <v>96</v>
      </c>
      <c r="I151" t="str">
        <f t="shared" si="11"/>
        <v>OCTUBRE</v>
      </c>
    </row>
    <row r="152" spans="1:9" x14ac:dyDescent="0.35">
      <c r="A152">
        <v>46</v>
      </c>
      <c r="B152">
        <v>100002037</v>
      </c>
      <c r="C152" t="s">
        <v>21</v>
      </c>
      <c r="D152">
        <v>1200</v>
      </c>
      <c r="E152">
        <v>660</v>
      </c>
      <c r="F152">
        <v>540</v>
      </c>
      <c r="G152" s="1">
        <v>0.55000000000000004</v>
      </c>
      <c r="I152" t="s">
        <v>202</v>
      </c>
    </row>
    <row r="153" spans="1:9" x14ac:dyDescent="0.35">
      <c r="A153">
        <v>176</v>
      </c>
      <c r="B153">
        <v>100003423</v>
      </c>
      <c r="C153" t="s">
        <v>186</v>
      </c>
      <c r="D153">
        <v>270</v>
      </c>
      <c r="E153">
        <v>0</v>
      </c>
      <c r="F153">
        <v>270</v>
      </c>
      <c r="G153" s="1">
        <v>0</v>
      </c>
      <c r="H153" t="s">
        <v>95</v>
      </c>
      <c r="I153" t="str">
        <f>$I152</f>
        <v>NOVIEMBRE</v>
      </c>
    </row>
    <row r="154" spans="1:9" x14ac:dyDescent="0.35">
      <c r="A154">
        <v>177</v>
      </c>
      <c r="B154">
        <v>100000046</v>
      </c>
      <c r="C154" t="s">
        <v>6</v>
      </c>
      <c r="D154">
        <v>1300</v>
      </c>
      <c r="E154">
        <v>0</v>
      </c>
      <c r="F154">
        <v>1300</v>
      </c>
      <c r="G154" s="1">
        <v>0</v>
      </c>
      <c r="H154" t="s">
        <v>96</v>
      </c>
      <c r="I154" t="str">
        <f t="shared" ref="I154:I164" si="12">$I153</f>
        <v>NOVIEMBRE</v>
      </c>
    </row>
    <row r="155" spans="1:9" x14ac:dyDescent="0.35">
      <c r="A155">
        <v>178</v>
      </c>
      <c r="B155">
        <v>100003422</v>
      </c>
      <c r="C155" t="s">
        <v>108</v>
      </c>
      <c r="D155">
        <v>1200</v>
      </c>
      <c r="E155">
        <v>0</v>
      </c>
      <c r="F155">
        <v>1200</v>
      </c>
      <c r="G155" s="1">
        <v>0</v>
      </c>
      <c r="H155" t="s">
        <v>95</v>
      </c>
      <c r="I155" t="str">
        <f t="shared" si="12"/>
        <v>NOVIEMBRE</v>
      </c>
    </row>
    <row r="156" spans="1:9" x14ac:dyDescent="0.35">
      <c r="A156">
        <v>179</v>
      </c>
      <c r="B156">
        <v>100001903</v>
      </c>
      <c r="C156" t="s">
        <v>155</v>
      </c>
      <c r="D156">
        <v>10</v>
      </c>
      <c r="E156">
        <v>0</v>
      </c>
      <c r="F156">
        <v>10</v>
      </c>
      <c r="G156" s="1">
        <v>0</v>
      </c>
      <c r="H156" t="s">
        <v>96</v>
      </c>
      <c r="I156" t="str">
        <f t="shared" si="12"/>
        <v>NOVIEMBRE</v>
      </c>
    </row>
    <row r="157" spans="1:9" x14ac:dyDescent="0.35">
      <c r="A157">
        <v>180</v>
      </c>
      <c r="B157">
        <v>100002040</v>
      </c>
      <c r="C157" t="s">
        <v>24</v>
      </c>
      <c r="D157">
        <v>250</v>
      </c>
      <c r="E157">
        <v>0</v>
      </c>
      <c r="F157">
        <v>250</v>
      </c>
      <c r="G157" s="1">
        <v>0</v>
      </c>
      <c r="H157" t="s">
        <v>95</v>
      </c>
      <c r="I157" t="str">
        <f t="shared" si="12"/>
        <v>NOVIEMBRE</v>
      </c>
    </row>
    <row r="158" spans="1:9" x14ac:dyDescent="0.35">
      <c r="A158">
        <v>181</v>
      </c>
      <c r="B158">
        <v>100000908</v>
      </c>
      <c r="C158" t="s">
        <v>43</v>
      </c>
      <c r="D158">
        <v>15000</v>
      </c>
      <c r="E158">
        <v>0</v>
      </c>
      <c r="F158">
        <v>15000</v>
      </c>
      <c r="G158" s="1">
        <v>0</v>
      </c>
      <c r="H158" t="s">
        <v>95</v>
      </c>
      <c r="I158" t="str">
        <f t="shared" si="12"/>
        <v>NOVIEMBRE</v>
      </c>
    </row>
    <row r="159" spans="1:9" x14ac:dyDescent="0.35">
      <c r="A159">
        <v>182</v>
      </c>
      <c r="B159">
        <v>100005505</v>
      </c>
      <c r="C159" t="s">
        <v>90</v>
      </c>
      <c r="D159">
        <v>40</v>
      </c>
      <c r="E159">
        <v>0</v>
      </c>
      <c r="F159">
        <v>40</v>
      </c>
      <c r="G159" s="1">
        <v>0</v>
      </c>
      <c r="H159" t="s">
        <v>95</v>
      </c>
      <c r="I159" t="str">
        <f t="shared" si="12"/>
        <v>NOVIEMBRE</v>
      </c>
    </row>
    <row r="160" spans="1:9" x14ac:dyDescent="0.35">
      <c r="A160">
        <v>183</v>
      </c>
      <c r="B160">
        <v>100000944</v>
      </c>
      <c r="C160" t="s">
        <v>48</v>
      </c>
      <c r="D160">
        <v>510</v>
      </c>
      <c r="E160">
        <v>0</v>
      </c>
      <c r="F160">
        <v>510</v>
      </c>
      <c r="G160" s="1">
        <v>0</v>
      </c>
      <c r="H160" t="s">
        <v>96</v>
      </c>
      <c r="I160" t="str">
        <f t="shared" si="12"/>
        <v>NOVIEMBRE</v>
      </c>
    </row>
    <row r="161" spans="1:9" x14ac:dyDescent="0.35">
      <c r="A161">
        <v>184</v>
      </c>
      <c r="B161">
        <v>100003413</v>
      </c>
      <c r="C161" t="s">
        <v>138</v>
      </c>
      <c r="D161">
        <v>24</v>
      </c>
      <c r="E161">
        <v>0</v>
      </c>
      <c r="F161">
        <v>24</v>
      </c>
      <c r="G161" s="1">
        <v>0</v>
      </c>
      <c r="H161" t="s">
        <v>96</v>
      </c>
      <c r="I161" t="str">
        <f t="shared" si="12"/>
        <v>NOVIEMBRE</v>
      </c>
    </row>
    <row r="162" spans="1:9" x14ac:dyDescent="0.35">
      <c r="A162">
        <v>185</v>
      </c>
      <c r="B162">
        <v>100002314</v>
      </c>
      <c r="C162" t="s">
        <v>74</v>
      </c>
      <c r="D162">
        <v>8</v>
      </c>
      <c r="E162">
        <v>0</v>
      </c>
      <c r="F162">
        <v>8</v>
      </c>
      <c r="G162" s="1">
        <v>0</v>
      </c>
      <c r="H162" t="s">
        <v>96</v>
      </c>
      <c r="I162" t="str">
        <f t="shared" si="12"/>
        <v>NOVIEMBRE</v>
      </c>
    </row>
    <row r="163" spans="1:9" x14ac:dyDescent="0.35">
      <c r="A163">
        <v>186</v>
      </c>
      <c r="B163">
        <v>100004493</v>
      </c>
      <c r="C163" t="s">
        <v>77</v>
      </c>
      <c r="D163">
        <v>28</v>
      </c>
      <c r="E163">
        <v>0</v>
      </c>
      <c r="F163">
        <v>28</v>
      </c>
      <c r="G163" s="1">
        <v>0</v>
      </c>
      <c r="H163" t="s">
        <v>95</v>
      </c>
      <c r="I163" t="str">
        <f t="shared" si="12"/>
        <v>NOVIEMBRE</v>
      </c>
    </row>
    <row r="164" spans="1:9" x14ac:dyDescent="0.35">
      <c r="A164">
        <v>187</v>
      </c>
      <c r="B164">
        <v>100001466</v>
      </c>
      <c r="C164" t="s">
        <v>84</v>
      </c>
      <c r="D164">
        <v>4200</v>
      </c>
      <c r="E164">
        <v>0</v>
      </c>
      <c r="F164">
        <v>4200</v>
      </c>
      <c r="G164" s="1">
        <v>0</v>
      </c>
      <c r="H164" t="s">
        <v>95</v>
      </c>
      <c r="I164" t="str">
        <f t="shared" si="12"/>
        <v>NOVIEMBRE</v>
      </c>
    </row>
    <row r="165" spans="1:9" x14ac:dyDescent="0.35">
      <c r="A165">
        <v>29</v>
      </c>
      <c r="B165">
        <v>100003423</v>
      </c>
      <c r="C165" t="s">
        <v>14</v>
      </c>
      <c r="D165">
        <v>270</v>
      </c>
      <c r="E165">
        <v>150</v>
      </c>
      <c r="F165">
        <v>120</v>
      </c>
      <c r="G165" s="1">
        <v>0.56000000000000005</v>
      </c>
      <c r="I165" t="s">
        <v>187</v>
      </c>
    </row>
    <row r="166" spans="1:9" x14ac:dyDescent="0.35">
      <c r="A166">
        <v>217</v>
      </c>
      <c r="B166">
        <v>100002092</v>
      </c>
      <c r="C166" t="s">
        <v>12</v>
      </c>
      <c r="D166">
        <v>60</v>
      </c>
      <c r="E166">
        <v>0</v>
      </c>
      <c r="F166">
        <v>60</v>
      </c>
      <c r="G166" s="1">
        <v>0</v>
      </c>
      <c r="H166" t="s">
        <v>96</v>
      </c>
      <c r="I166" t="str">
        <f>$I165</f>
        <v>DICIEMBRE</v>
      </c>
    </row>
    <row r="167" spans="1:9" x14ac:dyDescent="0.35">
      <c r="A167">
        <v>218</v>
      </c>
      <c r="B167">
        <v>100003422</v>
      </c>
      <c r="C167" t="s">
        <v>108</v>
      </c>
      <c r="D167">
        <v>4800</v>
      </c>
      <c r="E167">
        <v>0</v>
      </c>
      <c r="F167">
        <v>4800</v>
      </c>
      <c r="G167" s="1">
        <v>0</v>
      </c>
      <c r="H167" t="s">
        <v>95</v>
      </c>
      <c r="I167" t="str">
        <f t="shared" ref="I167:I173" si="13">$I166</f>
        <v>DICIEMBRE</v>
      </c>
    </row>
    <row r="168" spans="1:9" x14ac:dyDescent="0.35">
      <c r="A168">
        <v>219</v>
      </c>
      <c r="B168">
        <v>100002037</v>
      </c>
      <c r="C168" t="s">
        <v>21</v>
      </c>
      <c r="D168">
        <v>1200</v>
      </c>
      <c r="E168">
        <v>0</v>
      </c>
      <c r="F168">
        <v>1200</v>
      </c>
      <c r="G168" s="1">
        <v>0</v>
      </c>
      <c r="H168" t="s">
        <v>95</v>
      </c>
      <c r="I168" t="str">
        <f t="shared" si="13"/>
        <v>DICIEMBRE</v>
      </c>
    </row>
    <row r="169" spans="1:9" x14ac:dyDescent="0.35">
      <c r="A169">
        <v>220</v>
      </c>
      <c r="B169">
        <v>100000535</v>
      </c>
      <c r="C169" t="s">
        <v>182</v>
      </c>
      <c r="D169">
        <v>200</v>
      </c>
      <c r="E169">
        <v>0</v>
      </c>
      <c r="F169">
        <v>200</v>
      </c>
      <c r="G169" s="1">
        <v>0</v>
      </c>
      <c r="H169" t="s">
        <v>95</v>
      </c>
      <c r="I169" t="str">
        <f t="shared" si="13"/>
        <v>DICIEMBRE</v>
      </c>
    </row>
    <row r="170" spans="1:9" x14ac:dyDescent="0.35">
      <c r="A170">
        <v>221</v>
      </c>
      <c r="B170">
        <v>100002361</v>
      </c>
      <c r="C170" t="s">
        <v>158</v>
      </c>
      <c r="D170">
        <v>20</v>
      </c>
      <c r="E170">
        <v>0</v>
      </c>
      <c r="F170">
        <v>20</v>
      </c>
      <c r="G170" s="1">
        <v>0</v>
      </c>
      <c r="H170" t="s">
        <v>96</v>
      </c>
      <c r="I170" t="str">
        <f t="shared" si="13"/>
        <v>DICIEMBRE</v>
      </c>
    </row>
    <row r="171" spans="1:9" x14ac:dyDescent="0.35">
      <c r="A171">
        <v>222</v>
      </c>
      <c r="B171">
        <v>100003431</v>
      </c>
      <c r="C171" t="s">
        <v>42</v>
      </c>
      <c r="D171">
        <v>1500</v>
      </c>
      <c r="E171">
        <v>0</v>
      </c>
      <c r="F171">
        <v>1500</v>
      </c>
      <c r="G171" s="1">
        <v>0</v>
      </c>
      <c r="H171" t="s">
        <v>190</v>
      </c>
      <c r="I171" t="str">
        <f t="shared" si="13"/>
        <v>DICIEMBRE</v>
      </c>
    </row>
    <row r="172" spans="1:9" x14ac:dyDescent="0.35">
      <c r="A172">
        <v>223</v>
      </c>
      <c r="B172">
        <v>100004493</v>
      </c>
      <c r="C172" t="s">
        <v>77</v>
      </c>
      <c r="D172">
        <v>28</v>
      </c>
      <c r="E172">
        <v>0</v>
      </c>
      <c r="F172">
        <v>28</v>
      </c>
      <c r="G172" s="1">
        <v>0</v>
      </c>
      <c r="H172" t="s">
        <v>95</v>
      </c>
      <c r="I172" t="str">
        <f t="shared" si="13"/>
        <v>DICIEMBRE</v>
      </c>
    </row>
    <row r="173" spans="1:9" x14ac:dyDescent="0.35">
      <c r="A173">
        <v>224</v>
      </c>
      <c r="B173">
        <v>100001466</v>
      </c>
      <c r="C173" t="s">
        <v>84</v>
      </c>
      <c r="D173">
        <v>4200</v>
      </c>
      <c r="E173">
        <v>0</v>
      </c>
      <c r="F173">
        <v>4200</v>
      </c>
      <c r="G173" s="1">
        <v>0</v>
      </c>
      <c r="H173" t="s">
        <v>95</v>
      </c>
      <c r="I173" t="str">
        <f t="shared" si="13"/>
        <v>DICIEMBRE</v>
      </c>
    </row>
    <row r="174" spans="1:9" x14ac:dyDescent="0.35">
      <c r="G174" s="1"/>
    </row>
    <row r="175" spans="1:9" x14ac:dyDescent="0.35">
      <c r="G175" s="1"/>
    </row>
    <row r="176" spans="1:9" x14ac:dyDescent="0.35">
      <c r="G176" s="1"/>
    </row>
    <row r="177" spans="7:7" x14ac:dyDescent="0.35">
      <c r="G177" s="1"/>
    </row>
    <row r="178" spans="7:7" x14ac:dyDescent="0.35">
      <c r="G178" s="1"/>
    </row>
    <row r="179" spans="7:7" x14ac:dyDescent="0.35">
      <c r="G179" s="1"/>
    </row>
    <row r="180" spans="7:7" x14ac:dyDescent="0.35">
      <c r="G180" s="1"/>
    </row>
    <row r="181" spans="7:7" x14ac:dyDescent="0.35">
      <c r="G181" s="1"/>
    </row>
  </sheetData>
  <phoneticPr fontId="1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AA17B6-63BD-4672-8E5E-386075DAD790}">
  <sheetPr filterMode="1"/>
  <dimension ref="A1:H116"/>
  <sheetViews>
    <sheetView topLeftCell="B1" workbookViewId="0">
      <selection activeCell="C2" sqref="C2"/>
    </sheetView>
  </sheetViews>
  <sheetFormatPr baseColWidth="10" defaultRowHeight="14.5" x14ac:dyDescent="0.35"/>
  <cols>
    <col min="3" max="3" width="46" bestFit="1" customWidth="1"/>
  </cols>
  <sheetData>
    <row r="1" spans="1:8" x14ac:dyDescent="0.35">
      <c r="A1" t="s">
        <v>176</v>
      </c>
      <c r="B1" t="s">
        <v>171</v>
      </c>
      <c r="C1" t="s">
        <v>97</v>
      </c>
      <c r="D1" t="s">
        <v>98</v>
      </c>
      <c r="E1" t="s">
        <v>99</v>
      </c>
      <c r="F1" t="s">
        <v>100</v>
      </c>
      <c r="G1" t="s">
        <v>101</v>
      </c>
      <c r="H1" t="s">
        <v>203</v>
      </c>
    </row>
    <row r="2" spans="1:8" x14ac:dyDescent="0.35">
      <c r="A2">
        <v>1</v>
      </c>
      <c r="B2">
        <v>100000115</v>
      </c>
      <c r="C2" t="s">
        <v>208</v>
      </c>
      <c r="D2">
        <v>100</v>
      </c>
      <c r="E2">
        <v>0</v>
      </c>
      <c r="F2">
        <v>100</v>
      </c>
      <c r="G2" s="1">
        <v>0</v>
      </c>
      <c r="H2" t="s">
        <v>201</v>
      </c>
    </row>
    <row r="3" spans="1:8" x14ac:dyDescent="0.35">
      <c r="A3">
        <v>1</v>
      </c>
      <c r="B3">
        <v>100000170</v>
      </c>
      <c r="C3" t="s">
        <v>10</v>
      </c>
      <c r="D3">
        <v>200</v>
      </c>
      <c r="E3">
        <v>0</v>
      </c>
      <c r="F3">
        <v>200</v>
      </c>
      <c r="G3" s="1">
        <v>0</v>
      </c>
      <c r="H3" t="s">
        <v>201</v>
      </c>
    </row>
    <row r="4" spans="1:8" x14ac:dyDescent="0.35">
      <c r="A4">
        <v>1</v>
      </c>
      <c r="B4">
        <v>100000309</v>
      </c>
      <c r="C4" t="s">
        <v>188</v>
      </c>
      <c r="D4">
        <v>1500</v>
      </c>
      <c r="E4">
        <v>0</v>
      </c>
      <c r="F4">
        <v>1500</v>
      </c>
      <c r="G4" s="1">
        <v>0</v>
      </c>
      <c r="H4" t="s">
        <v>201</v>
      </c>
    </row>
    <row r="5" spans="1:8" x14ac:dyDescent="0.35">
      <c r="A5">
        <v>1</v>
      </c>
      <c r="B5">
        <v>100000368</v>
      </c>
      <c r="C5" t="s">
        <v>110</v>
      </c>
      <c r="D5">
        <v>100</v>
      </c>
      <c r="E5">
        <v>0</v>
      </c>
      <c r="F5">
        <v>100</v>
      </c>
      <c r="G5" s="1">
        <v>0</v>
      </c>
      <c r="H5" t="s">
        <v>201</v>
      </c>
    </row>
    <row r="6" spans="1:8" x14ac:dyDescent="0.35">
      <c r="A6">
        <v>1</v>
      </c>
      <c r="B6">
        <v>100000389</v>
      </c>
      <c r="C6" t="s">
        <v>189</v>
      </c>
      <c r="D6">
        <v>32</v>
      </c>
      <c r="E6">
        <v>0</v>
      </c>
      <c r="F6">
        <v>32</v>
      </c>
      <c r="G6" s="1">
        <v>0</v>
      </c>
      <c r="H6" t="s">
        <v>201</v>
      </c>
    </row>
    <row r="7" spans="1:8" x14ac:dyDescent="0.35">
      <c r="A7">
        <v>1</v>
      </c>
      <c r="B7">
        <v>100002208</v>
      </c>
      <c r="C7" t="s">
        <v>113</v>
      </c>
      <c r="D7">
        <v>50</v>
      </c>
      <c r="E7">
        <v>0</v>
      </c>
      <c r="F7">
        <v>50</v>
      </c>
      <c r="G7" s="1">
        <v>0</v>
      </c>
      <c r="H7" t="s">
        <v>201</v>
      </c>
    </row>
    <row r="8" spans="1:8" x14ac:dyDescent="0.35">
      <c r="A8">
        <v>1</v>
      </c>
      <c r="B8">
        <v>100002308</v>
      </c>
      <c r="C8" t="s">
        <v>210</v>
      </c>
      <c r="D8">
        <v>3</v>
      </c>
      <c r="E8">
        <v>0</v>
      </c>
      <c r="F8">
        <v>3</v>
      </c>
      <c r="G8" s="1">
        <v>0</v>
      </c>
      <c r="H8" t="s">
        <v>201</v>
      </c>
    </row>
    <row r="9" spans="1:8" x14ac:dyDescent="0.35">
      <c r="A9">
        <v>1</v>
      </c>
      <c r="B9">
        <v>100002037</v>
      </c>
      <c r="C9" t="s">
        <v>21</v>
      </c>
      <c r="D9">
        <v>720</v>
      </c>
      <c r="E9">
        <v>0</v>
      </c>
      <c r="F9">
        <v>720</v>
      </c>
      <c r="G9" s="1">
        <v>0</v>
      </c>
      <c r="H9" t="s">
        <v>201</v>
      </c>
    </row>
    <row r="10" spans="1:8" x14ac:dyDescent="0.35">
      <c r="A10">
        <v>1</v>
      </c>
      <c r="B10">
        <v>100002903</v>
      </c>
      <c r="C10" t="s">
        <v>192</v>
      </c>
      <c r="D10">
        <v>30</v>
      </c>
      <c r="E10">
        <v>0</v>
      </c>
      <c r="F10">
        <v>30</v>
      </c>
      <c r="G10" s="1">
        <v>0</v>
      </c>
      <c r="H10" t="s">
        <v>201</v>
      </c>
    </row>
    <row r="11" spans="1:8" x14ac:dyDescent="0.35">
      <c r="A11">
        <v>1</v>
      </c>
      <c r="B11">
        <v>100000693</v>
      </c>
      <c r="C11" t="s">
        <v>121</v>
      </c>
      <c r="D11">
        <v>100</v>
      </c>
      <c r="E11">
        <v>0</v>
      </c>
      <c r="F11">
        <v>100</v>
      </c>
      <c r="G11" s="1">
        <v>0</v>
      </c>
      <c r="H11" t="s">
        <v>201</v>
      </c>
    </row>
    <row r="12" spans="1:8" x14ac:dyDescent="0.35">
      <c r="A12">
        <v>1</v>
      </c>
      <c r="B12">
        <v>100000763</v>
      </c>
      <c r="C12" t="s">
        <v>179</v>
      </c>
      <c r="D12">
        <v>200</v>
      </c>
      <c r="E12">
        <v>0</v>
      </c>
      <c r="F12">
        <v>200</v>
      </c>
      <c r="G12" s="1">
        <v>0</v>
      </c>
      <c r="H12" t="s">
        <v>201</v>
      </c>
    </row>
    <row r="13" spans="1:8" x14ac:dyDescent="0.35">
      <c r="A13">
        <v>1</v>
      </c>
      <c r="B13">
        <v>100006440</v>
      </c>
      <c r="C13" t="s">
        <v>161</v>
      </c>
      <c r="D13">
        <v>1</v>
      </c>
      <c r="E13">
        <v>0</v>
      </c>
      <c r="F13">
        <v>1</v>
      </c>
      <c r="G13" s="1">
        <v>0</v>
      </c>
      <c r="H13" t="s">
        <v>201</v>
      </c>
    </row>
    <row r="14" spans="1:8" x14ac:dyDescent="0.35">
      <c r="A14">
        <v>1</v>
      </c>
      <c r="B14">
        <v>100000908</v>
      </c>
      <c r="C14" t="s">
        <v>43</v>
      </c>
      <c r="D14">
        <v>10380</v>
      </c>
      <c r="E14">
        <v>0</v>
      </c>
      <c r="F14">
        <v>10380</v>
      </c>
      <c r="G14" s="1">
        <v>0</v>
      </c>
      <c r="H14" t="s">
        <v>201</v>
      </c>
    </row>
    <row r="15" spans="1:8" x14ac:dyDescent="0.35">
      <c r="A15">
        <v>1</v>
      </c>
      <c r="B15">
        <v>100000964</v>
      </c>
      <c r="C15" t="s">
        <v>44</v>
      </c>
      <c r="D15">
        <v>400</v>
      </c>
      <c r="E15">
        <v>0</v>
      </c>
      <c r="F15">
        <v>400</v>
      </c>
      <c r="G15" s="1">
        <v>0</v>
      </c>
      <c r="H15" t="s">
        <v>201</v>
      </c>
    </row>
    <row r="16" spans="1:8" x14ac:dyDescent="0.35">
      <c r="A16">
        <v>1</v>
      </c>
      <c r="B16">
        <v>100001084</v>
      </c>
      <c r="C16" t="s">
        <v>57</v>
      </c>
      <c r="D16">
        <v>180</v>
      </c>
      <c r="E16">
        <v>0</v>
      </c>
      <c r="F16">
        <v>180</v>
      </c>
      <c r="G16" s="1">
        <v>0</v>
      </c>
      <c r="H16" t="s">
        <v>201</v>
      </c>
    </row>
    <row r="17" spans="1:8" x14ac:dyDescent="0.35">
      <c r="A17">
        <v>1</v>
      </c>
      <c r="B17">
        <v>100003903</v>
      </c>
      <c r="C17" t="s">
        <v>64</v>
      </c>
      <c r="D17">
        <v>990</v>
      </c>
      <c r="E17">
        <v>540</v>
      </c>
      <c r="F17">
        <v>450</v>
      </c>
      <c r="G17" s="1">
        <v>0.55000000000000004</v>
      </c>
      <c r="H17" t="s">
        <v>201</v>
      </c>
    </row>
    <row r="18" spans="1:8" x14ac:dyDescent="0.35">
      <c r="A18">
        <v>1</v>
      </c>
      <c r="B18">
        <v>100003413</v>
      </c>
      <c r="C18" t="s">
        <v>138</v>
      </c>
      <c r="D18">
        <v>15</v>
      </c>
      <c r="E18">
        <v>0</v>
      </c>
      <c r="F18">
        <v>15</v>
      </c>
      <c r="G18" s="1">
        <v>0</v>
      </c>
      <c r="H18" t="s">
        <v>201</v>
      </c>
    </row>
    <row r="19" spans="1:8" x14ac:dyDescent="0.35">
      <c r="A19">
        <v>1</v>
      </c>
      <c r="B19">
        <v>100001199</v>
      </c>
      <c r="C19" t="s">
        <v>164</v>
      </c>
      <c r="D19">
        <v>500</v>
      </c>
      <c r="E19">
        <v>0</v>
      </c>
      <c r="F19">
        <v>500</v>
      </c>
      <c r="G19" s="1">
        <v>0</v>
      </c>
      <c r="H19" t="s">
        <v>201</v>
      </c>
    </row>
    <row r="20" spans="1:8" x14ac:dyDescent="0.35">
      <c r="A20">
        <v>1</v>
      </c>
      <c r="B20">
        <v>100001358</v>
      </c>
      <c r="C20" t="s">
        <v>144</v>
      </c>
      <c r="D20">
        <v>10</v>
      </c>
      <c r="E20">
        <v>0</v>
      </c>
      <c r="F20">
        <v>10</v>
      </c>
      <c r="G20" s="1">
        <v>0</v>
      </c>
      <c r="H20" t="s">
        <v>201</v>
      </c>
    </row>
    <row r="21" spans="1:8" x14ac:dyDescent="0.35">
      <c r="A21">
        <v>1</v>
      </c>
      <c r="B21">
        <v>100001466</v>
      </c>
      <c r="C21" t="s">
        <v>84</v>
      </c>
      <c r="D21">
        <v>3240</v>
      </c>
      <c r="E21">
        <v>0</v>
      </c>
      <c r="F21">
        <v>3240</v>
      </c>
      <c r="G21" s="1">
        <v>0</v>
      </c>
      <c r="H21" t="s">
        <v>201</v>
      </c>
    </row>
    <row r="22" spans="1:8" x14ac:dyDescent="0.35">
      <c r="A22">
        <v>1</v>
      </c>
      <c r="B22">
        <v>100002295</v>
      </c>
      <c r="C22" t="s">
        <v>213</v>
      </c>
      <c r="D22">
        <v>800</v>
      </c>
      <c r="E22">
        <v>0</v>
      </c>
      <c r="F22">
        <v>800</v>
      </c>
      <c r="G22" s="1">
        <v>0</v>
      </c>
      <c r="H22" t="s">
        <v>201</v>
      </c>
    </row>
    <row r="23" spans="1:8" x14ac:dyDescent="0.35">
      <c r="A23">
        <v>1</v>
      </c>
      <c r="B23">
        <v>100004677</v>
      </c>
      <c r="C23" t="s">
        <v>148</v>
      </c>
      <c r="D23">
        <v>20</v>
      </c>
      <c r="E23">
        <v>10</v>
      </c>
      <c r="F23">
        <v>10</v>
      </c>
      <c r="G23" s="1">
        <v>0.5</v>
      </c>
      <c r="H23" t="s">
        <v>215</v>
      </c>
    </row>
    <row r="24" spans="1:8" x14ac:dyDescent="0.35">
      <c r="A24">
        <v>1</v>
      </c>
      <c r="B24">
        <v>100000809</v>
      </c>
      <c r="C24" t="s">
        <v>89</v>
      </c>
      <c r="D24">
        <v>300</v>
      </c>
      <c r="E24">
        <v>0</v>
      </c>
      <c r="F24">
        <v>300</v>
      </c>
      <c r="G24" s="1">
        <v>0</v>
      </c>
      <c r="H24" t="s">
        <v>215</v>
      </c>
    </row>
    <row r="25" spans="1:8" x14ac:dyDescent="0.35">
      <c r="A25">
        <v>1</v>
      </c>
      <c r="B25">
        <v>100000908</v>
      </c>
      <c r="C25" t="s">
        <v>43</v>
      </c>
      <c r="D25">
        <v>10380</v>
      </c>
      <c r="E25">
        <v>0</v>
      </c>
      <c r="F25">
        <v>10380</v>
      </c>
      <c r="G25" s="1">
        <v>0</v>
      </c>
      <c r="H25" t="s">
        <v>215</v>
      </c>
    </row>
    <row r="26" spans="1:8" x14ac:dyDescent="0.35">
      <c r="A26">
        <v>1</v>
      </c>
      <c r="B26">
        <v>100003439</v>
      </c>
      <c r="C26" t="s">
        <v>133</v>
      </c>
      <c r="D26">
        <v>1120</v>
      </c>
      <c r="E26">
        <v>0</v>
      </c>
      <c r="F26">
        <v>1120</v>
      </c>
      <c r="G26" s="1">
        <v>0</v>
      </c>
      <c r="H26" t="s">
        <v>215</v>
      </c>
    </row>
    <row r="27" spans="1:8" x14ac:dyDescent="0.35">
      <c r="A27">
        <v>1</v>
      </c>
      <c r="B27">
        <v>100001084</v>
      </c>
      <c r="C27" t="s">
        <v>57</v>
      </c>
      <c r="D27">
        <v>180</v>
      </c>
      <c r="E27">
        <v>0</v>
      </c>
      <c r="F27">
        <v>180</v>
      </c>
      <c r="G27" s="1">
        <v>0</v>
      </c>
      <c r="H27" t="s">
        <v>215</v>
      </c>
    </row>
    <row r="28" spans="1:8" x14ac:dyDescent="0.35">
      <c r="A28">
        <v>1</v>
      </c>
      <c r="B28">
        <v>100002254</v>
      </c>
      <c r="C28" t="s">
        <v>60</v>
      </c>
      <c r="D28">
        <v>25</v>
      </c>
      <c r="E28">
        <v>0</v>
      </c>
      <c r="F28">
        <v>25</v>
      </c>
      <c r="G28" s="1">
        <v>0</v>
      </c>
      <c r="H28" t="s">
        <v>215</v>
      </c>
    </row>
    <row r="29" spans="1:8" x14ac:dyDescent="0.35">
      <c r="A29">
        <v>1</v>
      </c>
      <c r="B29">
        <v>100003904</v>
      </c>
      <c r="C29" t="s">
        <v>143</v>
      </c>
      <c r="D29">
        <v>30</v>
      </c>
      <c r="E29">
        <v>0</v>
      </c>
      <c r="F29">
        <v>30</v>
      </c>
      <c r="G29" s="1">
        <v>0</v>
      </c>
      <c r="H29" t="s">
        <v>215</v>
      </c>
    </row>
    <row r="30" spans="1:8" x14ac:dyDescent="0.35">
      <c r="A30">
        <v>1</v>
      </c>
      <c r="B30">
        <v>100002269</v>
      </c>
      <c r="C30" t="s">
        <v>82</v>
      </c>
      <c r="D30">
        <v>8</v>
      </c>
      <c r="E30">
        <v>0</v>
      </c>
      <c r="F30">
        <v>8</v>
      </c>
      <c r="G30" s="1">
        <v>0</v>
      </c>
      <c r="H30" t="s">
        <v>215</v>
      </c>
    </row>
    <row r="31" spans="1:8" x14ac:dyDescent="0.35">
      <c r="A31">
        <v>1</v>
      </c>
      <c r="B31">
        <v>100001547</v>
      </c>
      <c r="C31" t="s">
        <v>147</v>
      </c>
      <c r="D31">
        <v>120</v>
      </c>
      <c r="E31">
        <v>0</v>
      </c>
      <c r="F31">
        <v>120</v>
      </c>
      <c r="G31" s="1">
        <v>0</v>
      </c>
      <c r="H31" t="s">
        <v>215</v>
      </c>
    </row>
    <row r="32" spans="1:8" x14ac:dyDescent="0.35">
      <c r="A32">
        <v>1</v>
      </c>
      <c r="B32">
        <v>100002347</v>
      </c>
      <c r="C32" t="s">
        <v>17</v>
      </c>
      <c r="D32">
        <v>150</v>
      </c>
      <c r="E32">
        <v>84</v>
      </c>
      <c r="F32">
        <v>66</v>
      </c>
      <c r="G32" s="1">
        <v>0.56000000000000005</v>
      </c>
      <c r="H32" t="s">
        <v>198</v>
      </c>
    </row>
    <row r="33" spans="1:8" x14ac:dyDescent="0.35">
      <c r="A33">
        <v>1</v>
      </c>
      <c r="B33">
        <v>100000772</v>
      </c>
      <c r="C33" t="s">
        <v>36</v>
      </c>
      <c r="D33">
        <v>90</v>
      </c>
      <c r="E33">
        <v>50</v>
      </c>
      <c r="F33">
        <v>40</v>
      </c>
      <c r="G33" s="1">
        <v>0.56000000000000005</v>
      </c>
      <c r="H33" t="s">
        <v>198</v>
      </c>
    </row>
    <row r="34" spans="1:8" x14ac:dyDescent="0.35">
      <c r="A34">
        <v>1</v>
      </c>
      <c r="B34">
        <v>100001232</v>
      </c>
      <c r="C34" t="s">
        <v>68</v>
      </c>
      <c r="D34">
        <v>5000</v>
      </c>
      <c r="E34">
        <v>1000</v>
      </c>
      <c r="F34">
        <v>4000</v>
      </c>
      <c r="G34" s="1">
        <v>0.2</v>
      </c>
      <c r="H34" t="s">
        <v>198</v>
      </c>
    </row>
    <row r="35" spans="1:8" x14ac:dyDescent="0.35">
      <c r="A35">
        <v>1</v>
      </c>
      <c r="B35">
        <v>100000194</v>
      </c>
      <c r="C35" t="s">
        <v>105</v>
      </c>
      <c r="D35">
        <v>200</v>
      </c>
      <c r="E35">
        <v>0</v>
      </c>
      <c r="F35">
        <v>200</v>
      </c>
      <c r="G35" s="1">
        <v>0</v>
      </c>
      <c r="H35" t="s">
        <v>198</v>
      </c>
    </row>
    <row r="36" spans="1:8" x14ac:dyDescent="0.35">
      <c r="A36">
        <v>1</v>
      </c>
      <c r="B36">
        <v>100000358</v>
      </c>
      <c r="C36" t="s">
        <v>109</v>
      </c>
      <c r="D36">
        <v>300</v>
      </c>
      <c r="E36">
        <v>0</v>
      </c>
      <c r="F36">
        <v>300</v>
      </c>
      <c r="G36" s="1">
        <v>0</v>
      </c>
      <c r="H36" t="s">
        <v>198</v>
      </c>
    </row>
    <row r="37" spans="1:8" x14ac:dyDescent="0.35">
      <c r="A37">
        <v>1</v>
      </c>
      <c r="B37">
        <v>100003905</v>
      </c>
      <c r="C37" t="s">
        <v>191</v>
      </c>
      <c r="D37">
        <v>25</v>
      </c>
      <c r="E37">
        <v>0</v>
      </c>
      <c r="F37">
        <v>25</v>
      </c>
      <c r="G37" s="1">
        <v>0</v>
      </c>
      <c r="H37" t="s">
        <v>198</v>
      </c>
    </row>
    <row r="38" spans="1:8" x14ac:dyDescent="0.35">
      <c r="A38">
        <v>1</v>
      </c>
      <c r="B38">
        <v>100002037</v>
      </c>
      <c r="C38" t="s">
        <v>21</v>
      </c>
      <c r="D38">
        <v>720</v>
      </c>
      <c r="E38">
        <v>0</v>
      </c>
      <c r="F38">
        <v>720</v>
      </c>
      <c r="G38" s="1">
        <v>0</v>
      </c>
      <c r="H38" t="s">
        <v>198</v>
      </c>
    </row>
    <row r="39" spans="1:8" x14ac:dyDescent="0.35">
      <c r="A39">
        <v>1</v>
      </c>
      <c r="B39">
        <v>100005505</v>
      </c>
      <c r="C39" t="s">
        <v>90</v>
      </c>
      <c r="D39">
        <v>120</v>
      </c>
      <c r="E39">
        <v>0</v>
      </c>
      <c r="F39">
        <v>120</v>
      </c>
      <c r="G39" s="1">
        <v>0</v>
      </c>
      <c r="H39" t="s">
        <v>198</v>
      </c>
    </row>
    <row r="40" spans="1:8" x14ac:dyDescent="0.35">
      <c r="A40">
        <v>1</v>
      </c>
      <c r="B40">
        <v>100005299</v>
      </c>
      <c r="C40" t="s">
        <v>55</v>
      </c>
      <c r="D40">
        <v>5</v>
      </c>
      <c r="E40">
        <v>0</v>
      </c>
      <c r="F40">
        <v>5</v>
      </c>
      <c r="G40" s="1">
        <v>0</v>
      </c>
      <c r="H40" t="s">
        <v>198</v>
      </c>
    </row>
    <row r="41" spans="1:8" x14ac:dyDescent="0.35">
      <c r="A41">
        <v>1</v>
      </c>
      <c r="B41">
        <v>100001084</v>
      </c>
      <c r="C41" t="s">
        <v>57</v>
      </c>
      <c r="D41">
        <v>180</v>
      </c>
      <c r="E41">
        <v>0</v>
      </c>
      <c r="F41">
        <v>180</v>
      </c>
      <c r="G41" s="1">
        <v>0</v>
      </c>
      <c r="H41" t="s">
        <v>198</v>
      </c>
    </row>
    <row r="42" spans="1:8" x14ac:dyDescent="0.35">
      <c r="A42">
        <v>1</v>
      </c>
      <c r="B42">
        <v>100002254</v>
      </c>
      <c r="C42" t="s">
        <v>60</v>
      </c>
      <c r="D42">
        <v>25</v>
      </c>
      <c r="E42">
        <v>0</v>
      </c>
      <c r="F42">
        <v>25</v>
      </c>
      <c r="G42" s="1">
        <v>0</v>
      </c>
      <c r="H42" t="s">
        <v>198</v>
      </c>
    </row>
    <row r="43" spans="1:8" x14ac:dyDescent="0.35">
      <c r="A43">
        <v>1</v>
      </c>
      <c r="B43">
        <v>100001124</v>
      </c>
      <c r="C43" t="s">
        <v>212</v>
      </c>
      <c r="D43">
        <v>3200</v>
      </c>
      <c r="E43">
        <v>0</v>
      </c>
      <c r="F43">
        <v>3200</v>
      </c>
      <c r="G43" s="1">
        <v>0</v>
      </c>
      <c r="H43" t="s">
        <v>198</v>
      </c>
    </row>
    <row r="44" spans="1:8" x14ac:dyDescent="0.35">
      <c r="A44">
        <v>1</v>
      </c>
      <c r="B44">
        <v>100001466</v>
      </c>
      <c r="C44" t="s">
        <v>84</v>
      </c>
      <c r="D44">
        <v>3240</v>
      </c>
      <c r="E44">
        <v>0</v>
      </c>
      <c r="F44">
        <v>3240</v>
      </c>
      <c r="G44" s="1">
        <v>0</v>
      </c>
      <c r="H44" t="s">
        <v>198</v>
      </c>
    </row>
    <row r="45" spans="1:8" x14ac:dyDescent="0.35">
      <c r="A45">
        <v>1</v>
      </c>
      <c r="B45">
        <v>100001603</v>
      </c>
      <c r="C45" t="s">
        <v>181</v>
      </c>
      <c r="D45">
        <v>20</v>
      </c>
      <c r="E45">
        <v>0</v>
      </c>
      <c r="F45">
        <v>20</v>
      </c>
      <c r="G45" s="1">
        <v>0</v>
      </c>
      <c r="H45" t="s">
        <v>198</v>
      </c>
    </row>
    <row r="46" spans="1:8" x14ac:dyDescent="0.35">
      <c r="A46">
        <v>1</v>
      </c>
      <c r="B46">
        <v>100003423</v>
      </c>
      <c r="C46" t="s">
        <v>186</v>
      </c>
      <c r="D46">
        <v>300</v>
      </c>
      <c r="E46">
        <v>0</v>
      </c>
      <c r="F46">
        <v>300</v>
      </c>
      <c r="G46" s="1">
        <v>0</v>
      </c>
      <c r="H46" t="s">
        <v>198</v>
      </c>
    </row>
    <row r="47" spans="1:8" x14ac:dyDescent="0.35">
      <c r="A47">
        <v>1</v>
      </c>
      <c r="B47">
        <v>100000368</v>
      </c>
      <c r="C47" t="s">
        <v>110</v>
      </c>
      <c r="D47">
        <v>100</v>
      </c>
      <c r="E47">
        <v>0</v>
      </c>
      <c r="F47">
        <v>100</v>
      </c>
      <c r="G47" s="1">
        <v>0</v>
      </c>
      <c r="H47" t="s">
        <v>198</v>
      </c>
    </row>
    <row r="48" spans="1:8" x14ac:dyDescent="0.35">
      <c r="A48">
        <v>1</v>
      </c>
      <c r="B48">
        <v>100002208</v>
      </c>
      <c r="C48" t="s">
        <v>113</v>
      </c>
      <c r="D48">
        <v>50</v>
      </c>
      <c r="E48">
        <v>0</v>
      </c>
      <c r="F48">
        <v>50</v>
      </c>
      <c r="G48" s="1">
        <v>0</v>
      </c>
      <c r="H48" t="s">
        <v>198</v>
      </c>
    </row>
    <row r="49" spans="1:8" x14ac:dyDescent="0.35">
      <c r="A49">
        <v>1</v>
      </c>
      <c r="B49">
        <v>100000553</v>
      </c>
      <c r="C49" t="s">
        <v>116</v>
      </c>
      <c r="D49">
        <v>50</v>
      </c>
      <c r="E49">
        <v>0</v>
      </c>
      <c r="F49">
        <v>50</v>
      </c>
      <c r="G49" s="1">
        <v>0</v>
      </c>
      <c r="H49" t="s">
        <v>198</v>
      </c>
    </row>
    <row r="50" spans="1:8" x14ac:dyDescent="0.35">
      <c r="A50">
        <v>1</v>
      </c>
      <c r="B50">
        <v>100002903</v>
      </c>
      <c r="C50" t="s">
        <v>192</v>
      </c>
      <c r="D50">
        <v>30</v>
      </c>
      <c r="E50">
        <v>0</v>
      </c>
      <c r="F50">
        <v>30</v>
      </c>
      <c r="G50" s="1">
        <v>0</v>
      </c>
      <c r="H50" t="s">
        <v>198</v>
      </c>
    </row>
    <row r="51" spans="1:8" x14ac:dyDescent="0.35">
      <c r="A51">
        <v>1</v>
      </c>
      <c r="B51">
        <v>100001184</v>
      </c>
      <c r="C51" t="s">
        <v>168</v>
      </c>
      <c r="D51">
        <v>100</v>
      </c>
      <c r="E51">
        <v>0</v>
      </c>
      <c r="F51">
        <v>100</v>
      </c>
      <c r="G51" s="1">
        <v>0</v>
      </c>
      <c r="H51" t="s">
        <v>198</v>
      </c>
    </row>
    <row r="52" spans="1:8" x14ac:dyDescent="0.35">
      <c r="A52">
        <v>1</v>
      </c>
      <c r="B52">
        <v>100002295</v>
      </c>
      <c r="C52" t="s">
        <v>213</v>
      </c>
      <c r="D52">
        <v>800</v>
      </c>
      <c r="E52">
        <v>0</v>
      </c>
      <c r="F52">
        <v>800</v>
      </c>
      <c r="G52" s="1">
        <v>0</v>
      </c>
      <c r="H52" t="s">
        <v>198</v>
      </c>
    </row>
    <row r="53" spans="1:8" x14ac:dyDescent="0.35">
      <c r="A53">
        <v>1</v>
      </c>
      <c r="B53">
        <v>100001568</v>
      </c>
      <c r="C53" t="s">
        <v>150</v>
      </c>
      <c r="D53">
        <v>59</v>
      </c>
      <c r="E53">
        <v>0</v>
      </c>
      <c r="F53">
        <v>59</v>
      </c>
      <c r="G53" s="1">
        <v>0</v>
      </c>
      <c r="H53" t="s">
        <v>198</v>
      </c>
    </row>
    <row r="54" spans="1:8" x14ac:dyDescent="0.35">
      <c r="A54">
        <v>1</v>
      </c>
      <c r="B54">
        <v>100003423</v>
      </c>
      <c r="C54" t="s">
        <v>186</v>
      </c>
      <c r="D54">
        <v>300</v>
      </c>
      <c r="E54">
        <v>0</v>
      </c>
      <c r="F54">
        <v>300</v>
      </c>
      <c r="G54" s="1">
        <v>0</v>
      </c>
      <c r="H54" t="s">
        <v>91</v>
      </c>
    </row>
    <row r="55" spans="1:8" x14ac:dyDescent="0.35">
      <c r="A55">
        <v>1</v>
      </c>
      <c r="B55">
        <v>100000085</v>
      </c>
      <c r="C55" t="s">
        <v>7</v>
      </c>
      <c r="D55">
        <v>110</v>
      </c>
      <c r="E55">
        <v>0</v>
      </c>
      <c r="F55">
        <v>110</v>
      </c>
      <c r="G55" s="1">
        <v>0</v>
      </c>
      <c r="H55" t="s">
        <v>91</v>
      </c>
    </row>
    <row r="56" spans="1:8" x14ac:dyDescent="0.35">
      <c r="A56">
        <v>1</v>
      </c>
      <c r="B56">
        <v>100005325</v>
      </c>
      <c r="C56" t="s">
        <v>103</v>
      </c>
      <c r="D56">
        <v>896</v>
      </c>
      <c r="E56">
        <v>0</v>
      </c>
      <c r="F56">
        <v>896</v>
      </c>
      <c r="G56" s="1">
        <v>0</v>
      </c>
      <c r="H56" t="s">
        <v>91</v>
      </c>
    </row>
    <row r="57" spans="1:8" x14ac:dyDescent="0.35">
      <c r="A57">
        <v>1</v>
      </c>
      <c r="B57">
        <v>100000115</v>
      </c>
      <c r="C57" t="s">
        <v>208</v>
      </c>
      <c r="D57">
        <v>100</v>
      </c>
      <c r="E57">
        <v>0</v>
      </c>
      <c r="F57">
        <v>100</v>
      </c>
      <c r="G57" s="1">
        <v>0</v>
      </c>
      <c r="H57" t="s">
        <v>91</v>
      </c>
    </row>
    <row r="58" spans="1:8" x14ac:dyDescent="0.35">
      <c r="A58">
        <v>1</v>
      </c>
      <c r="B58">
        <v>100000126</v>
      </c>
      <c r="C58" t="s">
        <v>8</v>
      </c>
      <c r="D58">
        <v>1000</v>
      </c>
      <c r="E58">
        <v>0</v>
      </c>
      <c r="F58">
        <v>1000</v>
      </c>
      <c r="G58" s="1">
        <v>0</v>
      </c>
      <c r="H58" t="s">
        <v>91</v>
      </c>
    </row>
    <row r="59" spans="1:8" x14ac:dyDescent="0.35">
      <c r="A59">
        <v>1</v>
      </c>
      <c r="B59">
        <v>100003406</v>
      </c>
      <c r="C59" t="s">
        <v>209</v>
      </c>
      <c r="D59">
        <v>5</v>
      </c>
      <c r="E59">
        <v>0</v>
      </c>
      <c r="F59">
        <v>5</v>
      </c>
      <c r="G59" s="1">
        <v>0</v>
      </c>
      <c r="H59" t="s">
        <v>91</v>
      </c>
    </row>
    <row r="60" spans="1:8" x14ac:dyDescent="0.35">
      <c r="A60">
        <v>1</v>
      </c>
      <c r="B60">
        <v>100005282</v>
      </c>
      <c r="C60" t="s">
        <v>178</v>
      </c>
      <c r="D60">
        <v>40</v>
      </c>
      <c r="E60">
        <v>0</v>
      </c>
      <c r="F60">
        <v>40</v>
      </c>
      <c r="G60" s="1">
        <v>0</v>
      </c>
      <c r="H60" t="s">
        <v>91</v>
      </c>
    </row>
    <row r="61" spans="1:8" x14ac:dyDescent="0.35">
      <c r="A61">
        <v>1</v>
      </c>
      <c r="B61">
        <v>100005535</v>
      </c>
      <c r="C61" t="s">
        <v>165</v>
      </c>
      <c r="D61">
        <v>50</v>
      </c>
      <c r="E61">
        <v>0</v>
      </c>
      <c r="F61">
        <v>50</v>
      </c>
      <c r="G61" s="1">
        <v>0</v>
      </c>
      <c r="H61" t="s">
        <v>91</v>
      </c>
    </row>
    <row r="62" spans="1:8" x14ac:dyDescent="0.35">
      <c r="A62">
        <v>1</v>
      </c>
      <c r="B62">
        <v>100000368</v>
      </c>
      <c r="C62" t="s">
        <v>110</v>
      </c>
      <c r="D62">
        <v>100</v>
      </c>
      <c r="E62">
        <v>0</v>
      </c>
      <c r="F62">
        <v>100</v>
      </c>
      <c r="G62" s="1">
        <v>0</v>
      </c>
      <c r="H62" t="s">
        <v>91</v>
      </c>
    </row>
    <row r="63" spans="1:8" x14ac:dyDescent="0.35">
      <c r="A63">
        <v>1</v>
      </c>
      <c r="B63">
        <v>100000381</v>
      </c>
      <c r="C63" t="s">
        <v>87</v>
      </c>
      <c r="D63">
        <v>200</v>
      </c>
      <c r="E63">
        <v>0</v>
      </c>
      <c r="F63">
        <v>200</v>
      </c>
      <c r="G63" s="1">
        <v>0</v>
      </c>
      <c r="H63" t="s">
        <v>91</v>
      </c>
    </row>
    <row r="64" spans="1:8" x14ac:dyDescent="0.35">
      <c r="A64">
        <v>1</v>
      </c>
      <c r="B64">
        <v>100000381</v>
      </c>
      <c r="C64" t="s">
        <v>87</v>
      </c>
      <c r="D64">
        <v>100</v>
      </c>
      <c r="E64">
        <v>0</v>
      </c>
      <c r="F64">
        <v>100</v>
      </c>
      <c r="G64" s="1">
        <v>0</v>
      </c>
      <c r="H64" t="s">
        <v>91</v>
      </c>
    </row>
    <row r="65" spans="1:8" x14ac:dyDescent="0.35">
      <c r="A65">
        <v>1</v>
      </c>
      <c r="B65">
        <v>100002208</v>
      </c>
      <c r="C65" t="s">
        <v>113</v>
      </c>
      <c r="D65">
        <v>30</v>
      </c>
      <c r="E65">
        <v>0</v>
      </c>
      <c r="F65">
        <v>30</v>
      </c>
      <c r="G65" s="1">
        <v>0</v>
      </c>
      <c r="H65" t="s">
        <v>91</v>
      </c>
    </row>
    <row r="66" spans="1:8" x14ac:dyDescent="0.35">
      <c r="A66">
        <v>1</v>
      </c>
      <c r="B66">
        <v>100002308</v>
      </c>
      <c r="C66" t="s">
        <v>210</v>
      </c>
      <c r="D66">
        <v>3</v>
      </c>
      <c r="E66">
        <v>0</v>
      </c>
      <c r="F66">
        <v>3</v>
      </c>
      <c r="G66" s="1">
        <v>0</v>
      </c>
      <c r="H66" t="s">
        <v>91</v>
      </c>
    </row>
    <row r="67" spans="1:8" x14ac:dyDescent="0.35">
      <c r="A67">
        <v>1</v>
      </c>
      <c r="B67">
        <v>100002308</v>
      </c>
      <c r="C67" t="s">
        <v>210</v>
      </c>
      <c r="D67">
        <v>3</v>
      </c>
      <c r="E67">
        <v>0</v>
      </c>
      <c r="F67">
        <v>3</v>
      </c>
      <c r="G67" s="1">
        <v>0</v>
      </c>
      <c r="H67" t="s">
        <v>91</v>
      </c>
    </row>
    <row r="68" spans="1:8" x14ac:dyDescent="0.35">
      <c r="A68">
        <v>1</v>
      </c>
      <c r="B68">
        <v>100002037</v>
      </c>
      <c r="C68" t="s">
        <v>21</v>
      </c>
      <c r="D68">
        <v>720</v>
      </c>
      <c r="E68">
        <v>0</v>
      </c>
      <c r="F68">
        <v>720</v>
      </c>
      <c r="G68" s="1">
        <v>0</v>
      </c>
      <c r="H68" t="s">
        <v>91</v>
      </c>
    </row>
    <row r="69" spans="1:8" x14ac:dyDescent="0.35">
      <c r="A69">
        <v>1</v>
      </c>
      <c r="B69">
        <v>100000553</v>
      </c>
      <c r="C69" t="s">
        <v>116</v>
      </c>
      <c r="D69">
        <v>50</v>
      </c>
      <c r="E69">
        <v>0</v>
      </c>
      <c r="F69">
        <v>50</v>
      </c>
      <c r="G69" s="1">
        <v>0</v>
      </c>
      <c r="H69" t="s">
        <v>91</v>
      </c>
    </row>
    <row r="70" spans="1:8" x14ac:dyDescent="0.35">
      <c r="A70">
        <v>1</v>
      </c>
      <c r="B70">
        <v>100002903</v>
      </c>
      <c r="C70" t="s">
        <v>192</v>
      </c>
      <c r="D70">
        <v>30</v>
      </c>
      <c r="E70">
        <v>0</v>
      </c>
      <c r="F70">
        <v>30</v>
      </c>
      <c r="G70" s="1">
        <v>0</v>
      </c>
      <c r="H70" t="s">
        <v>91</v>
      </c>
    </row>
    <row r="71" spans="1:8" x14ac:dyDescent="0.35">
      <c r="A71">
        <v>1</v>
      </c>
      <c r="B71">
        <v>100000715</v>
      </c>
      <c r="C71" t="s">
        <v>211</v>
      </c>
      <c r="D71">
        <v>10</v>
      </c>
      <c r="E71">
        <v>0</v>
      </c>
      <c r="F71">
        <v>10</v>
      </c>
      <c r="G71" s="1">
        <v>0</v>
      </c>
      <c r="H71" t="s">
        <v>91</v>
      </c>
    </row>
    <row r="72" spans="1:8" x14ac:dyDescent="0.35">
      <c r="A72">
        <v>1</v>
      </c>
      <c r="B72">
        <v>100000763</v>
      </c>
      <c r="C72" t="s">
        <v>179</v>
      </c>
      <c r="D72">
        <v>200</v>
      </c>
      <c r="E72">
        <v>0</v>
      </c>
      <c r="F72">
        <v>200</v>
      </c>
      <c r="G72" s="1">
        <v>0</v>
      </c>
      <c r="H72" t="s">
        <v>91</v>
      </c>
    </row>
    <row r="73" spans="1:8" x14ac:dyDescent="0.35">
      <c r="A73">
        <v>1</v>
      </c>
      <c r="B73">
        <v>100000829</v>
      </c>
      <c r="C73" t="s">
        <v>180</v>
      </c>
      <c r="D73">
        <v>20</v>
      </c>
      <c r="E73">
        <v>0</v>
      </c>
      <c r="F73">
        <v>20</v>
      </c>
      <c r="G73" s="1">
        <v>0</v>
      </c>
      <c r="H73" t="s">
        <v>91</v>
      </c>
    </row>
    <row r="74" spans="1:8" x14ac:dyDescent="0.35">
      <c r="A74">
        <v>1</v>
      </c>
      <c r="B74">
        <v>100002241</v>
      </c>
      <c r="C74" t="s">
        <v>39</v>
      </c>
      <c r="D74">
        <v>64</v>
      </c>
      <c r="E74">
        <v>0</v>
      </c>
      <c r="F74">
        <v>64</v>
      </c>
      <c r="G74" s="1">
        <v>0</v>
      </c>
      <c r="H74" t="s">
        <v>91</v>
      </c>
    </row>
    <row r="75" spans="1:8" x14ac:dyDescent="0.35">
      <c r="A75">
        <v>1</v>
      </c>
      <c r="B75">
        <v>100005505</v>
      </c>
      <c r="C75" t="s">
        <v>90</v>
      </c>
      <c r="D75">
        <v>120</v>
      </c>
      <c r="E75">
        <v>0</v>
      </c>
      <c r="F75">
        <v>120</v>
      </c>
      <c r="G75" s="1">
        <v>0</v>
      </c>
      <c r="H75" t="s">
        <v>91</v>
      </c>
    </row>
    <row r="76" spans="1:8" x14ac:dyDescent="0.35">
      <c r="A76">
        <v>1</v>
      </c>
      <c r="B76">
        <v>100005299</v>
      </c>
      <c r="C76" t="s">
        <v>55</v>
      </c>
      <c r="D76">
        <v>5</v>
      </c>
      <c r="E76">
        <v>0</v>
      </c>
      <c r="F76">
        <v>5</v>
      </c>
      <c r="G76" s="1">
        <v>0</v>
      </c>
      <c r="H76" t="s">
        <v>91</v>
      </c>
    </row>
    <row r="77" spans="1:8" x14ac:dyDescent="0.35">
      <c r="A77">
        <v>1</v>
      </c>
      <c r="B77">
        <v>100006171</v>
      </c>
      <c r="C77" t="s">
        <v>132</v>
      </c>
      <c r="D77">
        <v>30</v>
      </c>
      <c r="E77">
        <v>0</v>
      </c>
      <c r="F77">
        <v>30</v>
      </c>
      <c r="G77" s="1">
        <v>0</v>
      </c>
      <c r="H77" t="s">
        <v>91</v>
      </c>
    </row>
    <row r="78" spans="1:8" x14ac:dyDescent="0.35">
      <c r="A78">
        <v>1</v>
      </c>
      <c r="B78">
        <v>100002254</v>
      </c>
      <c r="C78" t="s">
        <v>60</v>
      </c>
      <c r="D78">
        <v>25</v>
      </c>
      <c r="E78">
        <v>0</v>
      </c>
      <c r="F78">
        <v>25</v>
      </c>
      <c r="G78" s="1">
        <v>0</v>
      </c>
      <c r="H78" t="s">
        <v>91</v>
      </c>
    </row>
    <row r="79" spans="1:8" x14ac:dyDescent="0.35">
      <c r="A79">
        <v>1</v>
      </c>
      <c r="B79">
        <v>100001124</v>
      </c>
      <c r="C79" t="s">
        <v>212</v>
      </c>
      <c r="D79">
        <v>3200</v>
      </c>
      <c r="E79">
        <v>0</v>
      </c>
      <c r="F79">
        <v>3200</v>
      </c>
      <c r="G79" s="1">
        <v>0</v>
      </c>
      <c r="H79" t="s">
        <v>91</v>
      </c>
    </row>
    <row r="80" spans="1:8" x14ac:dyDescent="0.35">
      <c r="A80">
        <v>1</v>
      </c>
      <c r="B80">
        <v>100003903</v>
      </c>
      <c r="C80" t="s">
        <v>64</v>
      </c>
      <c r="D80">
        <v>990</v>
      </c>
      <c r="E80">
        <v>0</v>
      </c>
      <c r="F80">
        <v>990</v>
      </c>
      <c r="G80" s="1">
        <v>0</v>
      </c>
      <c r="H80" t="s">
        <v>91</v>
      </c>
    </row>
    <row r="81" spans="1:8" x14ac:dyDescent="0.35">
      <c r="A81">
        <v>1</v>
      </c>
      <c r="B81">
        <v>100001232</v>
      </c>
      <c r="C81" t="s">
        <v>68</v>
      </c>
      <c r="D81">
        <v>5000</v>
      </c>
      <c r="E81">
        <v>0</v>
      </c>
      <c r="F81">
        <v>5000</v>
      </c>
      <c r="G81" s="1">
        <v>0</v>
      </c>
      <c r="H81" t="s">
        <v>91</v>
      </c>
    </row>
    <row r="82" spans="1:8" x14ac:dyDescent="0.35">
      <c r="A82">
        <v>1</v>
      </c>
      <c r="B82">
        <v>100002295</v>
      </c>
      <c r="C82" t="s">
        <v>213</v>
      </c>
      <c r="D82">
        <v>800</v>
      </c>
      <c r="E82">
        <v>0</v>
      </c>
      <c r="F82">
        <v>800</v>
      </c>
      <c r="G82" s="1">
        <v>0</v>
      </c>
      <c r="H82" t="s">
        <v>91</v>
      </c>
    </row>
    <row r="83" spans="1:8" x14ac:dyDescent="0.35">
      <c r="A83">
        <v>1</v>
      </c>
      <c r="B83">
        <v>100001568</v>
      </c>
      <c r="C83" t="s">
        <v>150</v>
      </c>
      <c r="D83">
        <v>59</v>
      </c>
      <c r="E83">
        <v>0</v>
      </c>
      <c r="F83">
        <v>59</v>
      </c>
      <c r="G83" s="1">
        <v>0</v>
      </c>
      <c r="H83" t="s">
        <v>91</v>
      </c>
    </row>
    <row r="84" spans="1:8" x14ac:dyDescent="0.35">
      <c r="A84">
        <v>1</v>
      </c>
      <c r="B84">
        <v>100000085</v>
      </c>
      <c r="C84" t="s">
        <v>7</v>
      </c>
      <c r="D84">
        <v>110</v>
      </c>
      <c r="E84">
        <v>0</v>
      </c>
      <c r="F84">
        <v>110</v>
      </c>
      <c r="G84" s="1">
        <v>0</v>
      </c>
      <c r="H84" t="s">
        <v>92</v>
      </c>
    </row>
    <row r="85" spans="1:8" x14ac:dyDescent="0.35">
      <c r="A85">
        <v>1</v>
      </c>
      <c r="B85">
        <v>100000115</v>
      </c>
      <c r="C85" t="s">
        <v>208</v>
      </c>
      <c r="D85">
        <v>100</v>
      </c>
      <c r="E85">
        <v>0</v>
      </c>
      <c r="F85">
        <v>100</v>
      </c>
      <c r="G85" s="1">
        <v>0</v>
      </c>
      <c r="H85" t="s">
        <v>92</v>
      </c>
    </row>
    <row r="86" spans="1:8" x14ac:dyDescent="0.35">
      <c r="A86">
        <v>1</v>
      </c>
      <c r="B86">
        <v>100000126</v>
      </c>
      <c r="C86" t="s">
        <v>8</v>
      </c>
      <c r="D86">
        <v>1000</v>
      </c>
      <c r="E86">
        <v>0</v>
      </c>
      <c r="F86">
        <v>1000</v>
      </c>
      <c r="G86" s="1">
        <v>0</v>
      </c>
      <c r="H86" t="s">
        <v>92</v>
      </c>
    </row>
    <row r="87" spans="1:8" x14ac:dyDescent="0.35">
      <c r="A87">
        <v>1</v>
      </c>
      <c r="B87">
        <v>100005282</v>
      </c>
      <c r="C87" t="s">
        <v>178</v>
      </c>
      <c r="D87">
        <v>40</v>
      </c>
      <c r="E87">
        <v>0</v>
      </c>
      <c r="F87">
        <v>40</v>
      </c>
      <c r="G87" s="1">
        <v>0</v>
      </c>
      <c r="H87" t="s">
        <v>92</v>
      </c>
    </row>
    <row r="88" spans="1:8" x14ac:dyDescent="0.35">
      <c r="A88">
        <v>1</v>
      </c>
      <c r="B88">
        <v>100003423</v>
      </c>
      <c r="C88" t="s">
        <v>14</v>
      </c>
      <c r="D88">
        <v>300</v>
      </c>
      <c r="E88">
        <v>0</v>
      </c>
      <c r="F88">
        <v>300</v>
      </c>
      <c r="G88" s="1">
        <v>0</v>
      </c>
      <c r="H88" t="s">
        <v>92</v>
      </c>
    </row>
    <row r="89" spans="1:8" x14ac:dyDescent="0.35">
      <c r="A89">
        <v>1</v>
      </c>
      <c r="B89">
        <v>100000368</v>
      </c>
      <c r="C89" t="s">
        <v>110</v>
      </c>
      <c r="D89">
        <v>100</v>
      </c>
      <c r="E89">
        <v>0</v>
      </c>
      <c r="F89">
        <v>100</v>
      </c>
      <c r="G89" s="1">
        <v>0</v>
      </c>
      <c r="H89" t="s">
        <v>92</v>
      </c>
    </row>
    <row r="90" spans="1:8" x14ac:dyDescent="0.35">
      <c r="A90">
        <v>1</v>
      </c>
      <c r="B90">
        <v>100002308</v>
      </c>
      <c r="C90" t="s">
        <v>210</v>
      </c>
      <c r="D90">
        <v>3</v>
      </c>
      <c r="E90">
        <v>0</v>
      </c>
      <c r="F90">
        <v>3</v>
      </c>
      <c r="G90" s="1">
        <v>0</v>
      </c>
      <c r="H90" t="s">
        <v>92</v>
      </c>
    </row>
    <row r="91" spans="1:8" x14ac:dyDescent="0.35">
      <c r="A91">
        <v>1</v>
      </c>
      <c r="B91">
        <v>100002308</v>
      </c>
      <c r="C91" t="s">
        <v>210</v>
      </c>
      <c r="D91">
        <v>3</v>
      </c>
      <c r="E91">
        <v>0</v>
      </c>
      <c r="F91">
        <v>3</v>
      </c>
      <c r="G91" s="1">
        <v>0</v>
      </c>
      <c r="H91" t="s">
        <v>92</v>
      </c>
    </row>
    <row r="92" spans="1:8" x14ac:dyDescent="0.35">
      <c r="A92">
        <v>1</v>
      </c>
      <c r="B92">
        <v>100002037</v>
      </c>
      <c r="C92" t="s">
        <v>21</v>
      </c>
      <c r="D92">
        <v>720</v>
      </c>
      <c r="E92">
        <v>0</v>
      </c>
      <c r="F92">
        <v>720</v>
      </c>
      <c r="G92" s="1">
        <v>0</v>
      </c>
      <c r="H92" t="s">
        <v>92</v>
      </c>
    </row>
    <row r="93" spans="1:8" x14ac:dyDescent="0.35">
      <c r="A93">
        <v>1</v>
      </c>
      <c r="B93">
        <v>100000553</v>
      </c>
      <c r="C93" t="s">
        <v>116</v>
      </c>
      <c r="D93">
        <v>50</v>
      </c>
      <c r="E93">
        <v>0</v>
      </c>
      <c r="F93">
        <v>50</v>
      </c>
      <c r="G93" s="1">
        <v>0</v>
      </c>
      <c r="H93" t="s">
        <v>92</v>
      </c>
    </row>
    <row r="94" spans="1:8" x14ac:dyDescent="0.35">
      <c r="A94">
        <v>1</v>
      </c>
      <c r="B94">
        <v>100002903</v>
      </c>
      <c r="C94" t="s">
        <v>192</v>
      </c>
      <c r="D94">
        <v>30</v>
      </c>
      <c r="E94">
        <v>0</v>
      </c>
      <c r="F94">
        <v>30</v>
      </c>
      <c r="G94" s="1">
        <v>0</v>
      </c>
      <c r="H94" t="s">
        <v>92</v>
      </c>
    </row>
    <row r="95" spans="1:8" x14ac:dyDescent="0.35">
      <c r="A95">
        <v>1</v>
      </c>
      <c r="B95">
        <v>100004642</v>
      </c>
      <c r="C95" t="s">
        <v>88</v>
      </c>
      <c r="D95">
        <v>30</v>
      </c>
      <c r="E95">
        <v>0</v>
      </c>
      <c r="F95">
        <v>30</v>
      </c>
      <c r="G95" s="1">
        <v>0</v>
      </c>
      <c r="H95" t="s">
        <v>92</v>
      </c>
    </row>
    <row r="96" spans="1:8" x14ac:dyDescent="0.35">
      <c r="A96">
        <v>1</v>
      </c>
      <c r="B96">
        <v>100000715</v>
      </c>
      <c r="C96" t="s">
        <v>211</v>
      </c>
      <c r="D96">
        <v>10</v>
      </c>
      <c r="E96">
        <v>0</v>
      </c>
      <c r="F96">
        <v>10</v>
      </c>
      <c r="G96" s="1">
        <v>0</v>
      </c>
      <c r="H96" t="s">
        <v>92</v>
      </c>
    </row>
    <row r="97" spans="1:8" x14ac:dyDescent="0.35">
      <c r="A97">
        <v>1</v>
      </c>
      <c r="B97">
        <v>100000763</v>
      </c>
      <c r="C97" t="s">
        <v>179</v>
      </c>
      <c r="D97">
        <v>200</v>
      </c>
      <c r="E97">
        <v>0</v>
      </c>
      <c r="F97">
        <v>200</v>
      </c>
      <c r="G97" s="1">
        <v>0</v>
      </c>
      <c r="H97" t="s">
        <v>92</v>
      </c>
    </row>
    <row r="98" spans="1:8" x14ac:dyDescent="0.35">
      <c r="A98">
        <v>1</v>
      </c>
      <c r="B98">
        <v>100001037</v>
      </c>
      <c r="C98" t="s">
        <v>216</v>
      </c>
      <c r="D98">
        <v>50</v>
      </c>
      <c r="E98">
        <v>0</v>
      </c>
      <c r="F98">
        <v>50</v>
      </c>
      <c r="G98" s="1">
        <v>0</v>
      </c>
      <c r="H98" t="s">
        <v>92</v>
      </c>
    </row>
    <row r="99" spans="1:8" x14ac:dyDescent="0.35">
      <c r="A99">
        <v>1</v>
      </c>
      <c r="B99">
        <v>100001053</v>
      </c>
      <c r="C99" t="s">
        <v>130</v>
      </c>
      <c r="D99">
        <v>400</v>
      </c>
      <c r="E99">
        <v>0</v>
      </c>
      <c r="F99">
        <v>400</v>
      </c>
      <c r="G99" s="1">
        <v>0</v>
      </c>
      <c r="H99" t="s">
        <v>92</v>
      </c>
    </row>
    <row r="100" spans="1:8" x14ac:dyDescent="0.35">
      <c r="A100">
        <v>1</v>
      </c>
      <c r="B100">
        <v>100003439</v>
      </c>
      <c r="C100" t="s">
        <v>133</v>
      </c>
      <c r="D100">
        <v>560</v>
      </c>
      <c r="E100">
        <v>0</v>
      </c>
      <c r="F100">
        <v>560</v>
      </c>
      <c r="G100" s="1">
        <v>0</v>
      </c>
      <c r="H100" t="s">
        <v>92</v>
      </c>
    </row>
    <row r="101" spans="1:8" x14ac:dyDescent="0.35">
      <c r="A101">
        <v>1</v>
      </c>
      <c r="B101">
        <v>100001084</v>
      </c>
      <c r="C101" t="s">
        <v>57</v>
      </c>
      <c r="D101">
        <v>180</v>
      </c>
      <c r="E101">
        <v>0</v>
      </c>
      <c r="F101">
        <v>180</v>
      </c>
      <c r="G101" s="1">
        <v>0</v>
      </c>
      <c r="H101" t="s">
        <v>92</v>
      </c>
    </row>
    <row r="102" spans="1:8" x14ac:dyDescent="0.35">
      <c r="A102">
        <v>1</v>
      </c>
      <c r="B102">
        <v>100002254</v>
      </c>
      <c r="C102" t="s">
        <v>60</v>
      </c>
      <c r="D102">
        <v>25</v>
      </c>
      <c r="E102">
        <v>0</v>
      </c>
      <c r="F102">
        <v>25</v>
      </c>
      <c r="G102" s="1">
        <v>0</v>
      </c>
      <c r="H102" t="s">
        <v>92</v>
      </c>
    </row>
    <row r="103" spans="1:8" x14ac:dyDescent="0.35">
      <c r="A103">
        <v>1</v>
      </c>
      <c r="B103">
        <v>100001124</v>
      </c>
      <c r="C103" t="s">
        <v>212</v>
      </c>
      <c r="D103">
        <v>3200</v>
      </c>
      <c r="E103">
        <v>0</v>
      </c>
      <c r="F103">
        <v>3200</v>
      </c>
      <c r="G103" s="1">
        <v>0</v>
      </c>
      <c r="H103" t="s">
        <v>92</v>
      </c>
    </row>
    <row r="104" spans="1:8" x14ac:dyDescent="0.35">
      <c r="A104">
        <v>1</v>
      </c>
      <c r="B104">
        <v>100001470</v>
      </c>
      <c r="C104" t="s">
        <v>85</v>
      </c>
      <c r="D104">
        <v>756</v>
      </c>
      <c r="E104">
        <v>0</v>
      </c>
      <c r="F104">
        <v>756</v>
      </c>
      <c r="G104" s="1">
        <v>0</v>
      </c>
      <c r="H104" t="s">
        <v>92</v>
      </c>
    </row>
    <row r="105" spans="1:8" x14ac:dyDescent="0.35">
      <c r="A105">
        <v>1</v>
      </c>
      <c r="B105">
        <v>100001568</v>
      </c>
      <c r="C105" t="s">
        <v>150</v>
      </c>
      <c r="D105">
        <v>59</v>
      </c>
      <c r="E105">
        <v>0</v>
      </c>
      <c r="F105">
        <v>59</v>
      </c>
      <c r="G105" s="1">
        <v>0</v>
      </c>
      <c r="H105" t="s">
        <v>92</v>
      </c>
    </row>
    <row r="106" spans="1:8" x14ac:dyDescent="0.35">
      <c r="A106">
        <v>1</v>
      </c>
      <c r="B106">
        <v>100001568</v>
      </c>
      <c r="C106" t="s">
        <v>150</v>
      </c>
      <c r="D106">
        <v>70</v>
      </c>
      <c r="E106">
        <v>0</v>
      </c>
      <c r="F106">
        <v>70</v>
      </c>
      <c r="G106" s="1">
        <v>0</v>
      </c>
      <c r="H106" t="s">
        <v>92</v>
      </c>
    </row>
    <row r="107" spans="1:8" x14ac:dyDescent="0.35">
      <c r="G107" s="1"/>
    </row>
    <row r="108" spans="1:8" x14ac:dyDescent="0.35">
      <c r="G108" s="1"/>
    </row>
    <row r="109" spans="1:8" x14ac:dyDescent="0.35">
      <c r="G109" s="1"/>
    </row>
    <row r="110" spans="1:8" x14ac:dyDescent="0.35">
      <c r="G110" s="1"/>
    </row>
    <row r="111" spans="1:8" x14ac:dyDescent="0.35">
      <c r="G111" s="1"/>
    </row>
    <row r="112" spans="1:8" x14ac:dyDescent="0.35">
      <c r="G112" s="1"/>
    </row>
    <row r="113" spans="7:7" x14ac:dyDescent="0.35">
      <c r="G113" s="1"/>
    </row>
    <row r="114" spans="7:7" x14ac:dyDescent="0.35">
      <c r="G114" s="1"/>
    </row>
    <row r="115" spans="7:7" x14ac:dyDescent="0.35">
      <c r="G115" s="1"/>
    </row>
    <row r="116" spans="7:7" x14ac:dyDescent="0.35">
      <c r="G116" s="1"/>
    </row>
  </sheetData>
  <autoFilter ref="A1:I106" xr:uid="{8BAA17B6-63BD-4672-8E5E-386075DAD790}">
    <filterColumn colId="6">
      <filters>
        <filter val="0"/>
        <filter val="0%"/>
      </filters>
    </filterColumn>
  </autoFilter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11</vt:i4>
      </vt:variant>
    </vt:vector>
  </HeadingPairs>
  <TitlesOfParts>
    <vt:vector size="11" baseType="lpstr">
      <vt:lpstr>Anexo Cumplimiento Cenabast </vt:lpstr>
      <vt:lpstr>IC 0% 2023-2025 Resultados</vt:lpstr>
      <vt:lpstr>IC 0% 2023</vt:lpstr>
      <vt:lpstr>IC 0% 2024</vt:lpstr>
      <vt:lpstr>IC 0% 2025</vt:lpstr>
      <vt:lpstr>Cruce con Pareto</vt:lpstr>
      <vt:lpstr>IC 0% 2023-2025</vt:lpstr>
      <vt:lpstr>IC 50% abajo 2023-2025</vt:lpstr>
      <vt:lpstr>2023</vt:lpstr>
      <vt:lpstr>2024</vt:lpstr>
      <vt:lpstr>2025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Farmacia</dc:creator>
  <cp:lastModifiedBy>Evelyn Castro</cp:lastModifiedBy>
  <dcterms:created xsi:type="dcterms:W3CDTF">2015-06-05T18:19:34Z</dcterms:created>
  <dcterms:modified xsi:type="dcterms:W3CDTF">2025-10-04T03:22:04Z</dcterms:modified>
</cp:coreProperties>
</file>