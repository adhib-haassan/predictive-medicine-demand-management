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c0b010b5f11b40e/Escritorio/3. Proyecto TFG/TFG/Bases de datos/Bases de Datos Final/"/>
    </mc:Choice>
  </mc:AlternateContent>
  <xr:revisionPtr revIDLastSave="77" documentId="8_{C27A8B26-C8E7-4989-A77C-C3EC7763EA9A}" xr6:coauthVersionLast="47" xr6:coauthVersionMax="47" xr10:uidLastSave="{34454249-B8A5-46E9-B150-8EA5EAF6E8B3}"/>
  <bookViews>
    <workbookView xWindow="-110" yWindow="-110" windowWidth="19420" windowHeight="10300" xr2:uid="{CCD5BF92-2466-4D26-AC48-2983C9D1092A}"/>
  </bookViews>
  <sheets>
    <sheet name="Clasif. ABC-XYZ FO 2023-2024" sheetId="1" r:id="rId1"/>
    <sheet name="Clasif. ABC-XYZ FC 2023-2024" sheetId="2" r:id="rId2"/>
    <sheet name="Tabla 6" sheetId="3" r:id="rId3"/>
  </sheets>
  <definedNames>
    <definedName name="_xlnm._FilterDatabase" localSheetId="1" hidden="1">'Clasif. ABC-XYZ FC 2023-2024'!$A$3:$BP$277</definedName>
    <definedName name="_xlnm._FilterDatabase" localSheetId="0" hidden="1">'Clasif. ABC-XYZ FO 2023-2024'!$A$3:$BF$101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" l="1"/>
  <c r="E12" i="3" s="1"/>
  <c r="AN101" i="1"/>
  <c r="B13" i="3"/>
  <c r="C11" i="3" s="1"/>
  <c r="F11" i="3"/>
  <c r="G11" i="3" s="1"/>
  <c r="F10" i="3"/>
  <c r="D6" i="3"/>
  <c r="E5" i="3" s="1"/>
  <c r="B6" i="3"/>
  <c r="C5" i="3" s="1"/>
  <c r="F3" i="3"/>
  <c r="G3" i="3" l="1"/>
  <c r="C3" i="3"/>
  <c r="C4" i="3"/>
  <c r="E11" i="3"/>
  <c r="G10" i="3"/>
  <c r="C12" i="3"/>
  <c r="C10" i="3"/>
  <c r="F4" i="3"/>
  <c r="G4" i="3" s="1"/>
  <c r="E4" i="3"/>
  <c r="E3" i="3"/>
  <c r="E10" i="3"/>
  <c r="E13" i="3" s="1"/>
  <c r="F12" i="3"/>
  <c r="G12" i="3" s="1"/>
  <c r="E6" i="3" l="1"/>
  <c r="C6" i="3"/>
  <c r="C13" i="3"/>
  <c r="F5" i="3"/>
  <c r="G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jefe farmacia hosp.</author>
  </authors>
  <commentList>
    <comment ref="C55" authorId="0" shapeId="0" xr:uid="{EA86F2C6-2A57-44A0-A49D-EAFBCCE2BEEE}">
      <text>
        <r>
          <rPr>
            <sz val="9"/>
            <color indexed="81"/>
            <rFont val="Tahoma"/>
            <family val="2"/>
          </rPr>
          <t>Apidra</t>
        </r>
      </text>
    </comment>
  </commentList>
</comments>
</file>

<file path=xl/sharedStrings.xml><?xml version="1.0" encoding="utf-8"?>
<sst xmlns="http://schemas.openxmlformats.org/spreadsheetml/2006/main" count="3126" uniqueCount="855">
  <si>
    <t>Informe Consumo Anual Medicamentos</t>
  </si>
  <si>
    <t>Producto</t>
  </si>
  <si>
    <t>Código</t>
  </si>
  <si>
    <t>Medicamento</t>
  </si>
  <si>
    <t>UM</t>
  </si>
  <si>
    <t>PPP</t>
  </si>
  <si>
    <t>subunidad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</si>
  <si>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</si>
  <si>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</si>
  <si>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</si>
  <si>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</si>
  <si>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</si>
  <si>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</si>
  <si>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</si>
  <si>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</si>
  <si>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</si>
  <si>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</si>
  <si>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</si>
  <si>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</si>
  <si>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Consumo anual 2023</t>
  </si>
  <si>
    <t>Consumo anual 2024</t>
  </si>
  <si>
    <t>Consumo anual 2023-24</t>
  </si>
  <si>
    <t>Consumo Promedio mensual 2023</t>
  </si>
  <si>
    <t>Consumo Promedio mensual 2024</t>
  </si>
  <si>
    <t>Consumo Promedio mensual 2023-24</t>
  </si>
  <si>
    <t>80/20</t>
  </si>
  <si>
    <t>DST 2023-24</t>
  </si>
  <si>
    <t>coeficiente de variación (CV)</t>
  </si>
  <si>
    <t>Valor Consumo Anual 2023-24</t>
  </si>
  <si>
    <t>Porcentaje del Total</t>
  </si>
  <si>
    <t>Porcentaje Acumulado</t>
  </si>
  <si>
    <t>Clasificación ABC</t>
  </si>
  <si>
    <t>Clasificación XYZ</t>
  </si>
  <si>
    <t>Clasificación ABC/XYZ</t>
  </si>
  <si>
    <t>Stock a Junio 2025</t>
  </si>
  <si>
    <t>Meses de inventario</t>
  </si>
  <si>
    <t>Punto de repo</t>
  </si>
  <si>
    <t>Stock Crítico</t>
  </si>
  <si>
    <t>(Condición crítica)</t>
  </si>
  <si>
    <t>Demanada diaria</t>
  </si>
  <si>
    <t>tiempo prom entrega</t>
  </si>
  <si>
    <t xml:space="preserve">Stock de seguridad </t>
  </si>
  <si>
    <t>Punto de reorden en base datos</t>
  </si>
  <si>
    <t>PEMBROLIZUMAB 100MG/4ML</t>
  </si>
  <si>
    <t>AM</t>
  </si>
  <si>
    <t>FO</t>
  </si>
  <si>
    <t>NIVOLUMAB SOL INY FA 100 MG</t>
  </si>
  <si>
    <t>FA</t>
  </si>
  <si>
    <t>PERTUZUMAB 420MG SOL INY. FA</t>
  </si>
  <si>
    <t>TRASTUZUMAB EMTANSINA (TDM-1) 160MG</t>
  </si>
  <si>
    <t>OCTREOTIDE FA 20MG FRASCO AMPOLLA INYECTABLE</t>
  </si>
  <si>
    <t>NIVOLUMAB SOL INY FA 40 MG</t>
  </si>
  <si>
    <t>NILOTINIB CAPSULAS 200 MG</t>
  </si>
  <si>
    <t>CM</t>
  </si>
  <si>
    <t>FILGRASTIM JERINGA PRECARGADA 300 MG (ESTUDIO MOVILIZACION CD 34)</t>
  </si>
  <si>
    <t>JER</t>
  </si>
  <si>
    <t>PEGFILGRASTIM 6 MG/0.6 ML (JERINGA PRECARGADA)</t>
  </si>
  <si>
    <t>TRASTUZUMAB EMTANSINA (TDM-1) 100MG</t>
  </si>
  <si>
    <t>DASATINIB 100MG COMPRIMIDOS RECUBIERTOS</t>
  </si>
  <si>
    <t>IFOSFAMIDA FA 2 GR LIOFILIZADO SOLUCION INYECTABLE</t>
  </si>
  <si>
    <t>NILOTINIB CAPSULAS 150 MG</t>
  </si>
  <si>
    <t>LENVATINIB 10MG CP</t>
  </si>
  <si>
    <t>UN</t>
  </si>
  <si>
    <t>ALECTINIB 150MG</t>
  </si>
  <si>
    <t>CP</t>
  </si>
  <si>
    <t>PAZOPANIB 400 MG. CM</t>
  </si>
  <si>
    <t>GOSEROLINA JERINGA 10.8 MG IMPLANTE SUBCUTÁNEO DE LIBERACIÓN PROLONGADA</t>
  </si>
  <si>
    <t>RITUXIMAB FA 500 MG/50ML SOLUCION INYECTABLE</t>
  </si>
  <si>
    <t>NETUPITANTPALONOCETRON 300MG/0.5MG CAPSULAS</t>
  </si>
  <si>
    <t>SORAFENIB COMP 200MG</t>
  </si>
  <si>
    <t>OSIMERTINIB 80 MG</t>
  </si>
  <si>
    <t>DOCETAXEL 120MG/4ML SOLUCION INYECTABLE</t>
  </si>
  <si>
    <t>RITUXIMAB FA 100 MG/10ML SOLUCION INYECTABLE</t>
  </si>
  <si>
    <t>TRIPTORELINA FA 11.25 MG POLVO LIOFILIZADO PARA SUSPENSIÓN INYECTABLE</t>
  </si>
  <si>
    <t>CAPECITABINA 500 MG COMPRIMIDOS RECUBIERTOS VIA ORAL</t>
  </si>
  <si>
    <t>ABIRATERONA ACETATO CM 250 MG VIA ORAL</t>
  </si>
  <si>
    <t>LENVATINIB 4MG CP</t>
  </si>
  <si>
    <t>VACUNA BCG (BACILLUS CALMETTE-GUERIN) FRASCO AMPOLLA</t>
  </si>
  <si>
    <t>DOXORRUBICINA LIPOSOMAL PEFGILADA FA 20 MG/10 ML. SOL. INYECTABLE</t>
  </si>
  <si>
    <t>ENZALUTAMIDA 40MG CAPSULA VIA ORAL</t>
  </si>
  <si>
    <t>CISPLATINO FA 50 MG/50ML SOLUCION INYECTABLE</t>
  </si>
  <si>
    <t>IRINOTECAN 100MG/5ML SOLUCION INYECTABLE</t>
  </si>
  <si>
    <t>CARBOPLATINO FA 450 MG/45ML SOLUCION INYECTABLE  </t>
  </si>
  <si>
    <t>LENALIDOMIDA 25MG V.O.</t>
  </si>
  <si>
    <t>BENDAMUSTINA 100 MG FA LIOFILIZADO INYECTABLE</t>
  </si>
  <si>
    <t>LEUCOVORINA FA 100 MG/10 ML SOLUCIÓN INYECTABLE</t>
  </si>
  <si>
    <t>EXEMESTANO CM 25 MG VIA ORAL</t>
  </si>
  <si>
    <t>AFATINIB 40 MG CAPSULA</t>
  </si>
  <si>
    <t>ANASTRAZOL CM 1 MG COMPRIMIDOS RECUBIERTOS</t>
  </si>
  <si>
    <t>TAMOXIFENO 20 MG COMPRIMIDOS RECUBIERTOS</t>
  </si>
  <si>
    <t>PACLITAXEL 100 MG/16.7 ML SOLUCION INYECTABLE. Tº AMBIENTE</t>
  </si>
  <si>
    <t>CRIZOTINIB 250MG VIA ORAL CAPSULAS</t>
  </si>
  <si>
    <t>TRIPTORELINA FA 3.75MG</t>
  </si>
  <si>
    <t>DOXORRUBICINA CLORHIDRATO FA 50 MG/25 ML SOLUCION INYECTABLE</t>
  </si>
  <si>
    <t>TEMOZOLOMIDA 140 MG CAPSULA</t>
  </si>
  <si>
    <t>OXALIPLATINO FA 50 MG/10 ML SOLUCION INYECTABLE</t>
  </si>
  <si>
    <t>DENOSUMAB 120MG FA SUBCUTANEO</t>
  </si>
  <si>
    <t>DEXAMETASONA FOSFATO CM 4MG VIA ORAL (BLISTER)</t>
  </si>
  <si>
    <t>BLEOMICINA FA 15 U.I. POLVO LIOFILIZADO PARA SOLUCIÓN INYECTABLE (T° AMBIENTE)</t>
  </si>
  <si>
    <t>GEMCITABINA 1000 MG/100 ML SOLUCION INYECTABLE</t>
  </si>
  <si>
    <t>DOCETAXEL TRIHIDRATO FA 80 MG/ 4ML SOLUCION INYECTABLE</t>
  </si>
  <si>
    <t>LENALIDOMIDA 15MG V.O.</t>
  </si>
  <si>
    <t>CICLOFOSFAMIDA FA 1000 MG POLVO PARA SOLUCION INYECTABLE</t>
  </si>
  <si>
    <t>TESTOSTERONA FA 1000 MG/4 ML SOLUCIÓN INYECTABLE</t>
  </si>
  <si>
    <t>BORTEZOMIB FA 3.5MG LIOFILIZADO PARA SOLUCIÃ“N INYECTABLE VIA ADM SC Y EV</t>
  </si>
  <si>
    <t>TOPOTECAN FA 4 MG. POLVO LIOFILIZADO (CONV-GLAXO PU$ 218942) PA-2012</t>
  </si>
  <si>
    <t>OXALIPLATINO FA 100 MG/20 ML SOLUCION INYECTABLE</t>
  </si>
  <si>
    <t>FLUOROURACILO 1000 MG/20 ML SOLUCIÓN INYECTABLE</t>
  </si>
  <si>
    <t>ERLOTINIB 150 MG CM RECUBIERTOS</t>
  </si>
  <si>
    <t>ETOPOSIDO 100 MG/5 ML SOLUCION INYECTABLE</t>
  </si>
  <si>
    <t>VINCRISTINA SULFATO FA 1 MG/1 ML SOLUCION INYECTABLE</t>
  </si>
  <si>
    <t>VINORELBINE 50 MG. SOLUCION INYECTABLE</t>
  </si>
  <si>
    <t>PACLITAXEL 300 MG/50 ML SOLUCION INYECTABLE. Tº AMBIENTE</t>
  </si>
  <si>
    <t>TEMOZOLOMIDA 180MG CAPSULA</t>
  </si>
  <si>
    <t>SUNITINIB CÁPSULAS 25 MG</t>
  </si>
  <si>
    <t>GEL ORAL CONCENTRADO USO EN MUCOSISTIS / SOBRE CON 15 ML</t>
  </si>
  <si>
    <t>SO</t>
  </si>
  <si>
    <t>ÁCIDO ZOLEDRONICO FA 4 MG/5ML SOLUCION INYECTABLE</t>
  </si>
  <si>
    <t>LETROZOL 2.5 MG COMPRIMIDOS RECUBIERTOS</t>
  </si>
  <si>
    <t>CLADRIBRINA 10 MG / 5 ML (5 FA),</t>
  </si>
  <si>
    <t>IMATINIB MESILATO 400 MG COMPRIMIDO RECUBIERTO</t>
  </si>
  <si>
    <t>TEMOZOLOMIDA 100 MG CAPSULAS</t>
  </si>
  <si>
    <t>PEMETREXED FA 500 MG LIOF PARA SOL INYECTABLE</t>
  </si>
  <si>
    <t>DACARBAZINA FA 200 MG POLVO LIOFILIZADO</t>
  </si>
  <si>
    <t>CAPECITABINA 150 MG COMPRIMIDOS RECUBIERTOS VIA ORAL</t>
  </si>
  <si>
    <t>TALIDOMIDA 100 MG COMPRIMIDO RECUBIERTO</t>
  </si>
  <si>
    <t>PAZOPANIB 200 MG. CM</t>
  </si>
  <si>
    <t>TEMOZOLOMIDA 250 MG CP</t>
  </si>
  <si>
    <t>IMATINIB MESILATO 100 MG COMPRIMIDO RECUBIERTO</t>
  </si>
  <si>
    <t>ONDANSETRON 8 MG COMPRIMIDO</t>
  </si>
  <si>
    <t>VINBLASTINA FA 10 MG/10 ML SOLUCION INYECTABLE</t>
  </si>
  <si>
    <t>CABAZITAXEL 60MG/1.5ML FA</t>
  </si>
  <si>
    <t>CITARABINA FA 1000 MG/10ML SOLUCION INYECTABLE (QUE PERMITA LA ADMINISTRACION INTRATECAL)</t>
  </si>
  <si>
    <t>SUNITINIB CÁPSULAS 50 MG</t>
  </si>
  <si>
    <t>CLORAMBUCILO 2 MG COMPRIMIDOS RECUBIERTOS</t>
  </si>
  <si>
    <t>BICALUTAMIDA CM 150 MG COMPRIMIDOS RECUBIERTOS (BLISTER) VIA ORAL</t>
  </si>
  <si>
    <t>DEGARELIX 80 MG POLVO LIOFILIZADO PARA SOLUCION INYECTABLE</t>
  </si>
  <si>
    <t>FC</t>
  </si>
  <si>
    <t>GEFITINIB CO 250MG/ FC 30CO (caja por 30 comprimidos)</t>
  </si>
  <si>
    <t>TEMOZOLOMIDA 20 MG CAPSULAS</t>
  </si>
  <si>
    <t>AZACITIDINA 100MG INYECTABLE</t>
  </si>
  <si>
    <t>ONDANSETRON CM 8 MG (DISPERSABLE)</t>
  </si>
  <si>
    <t>MITOMICINA FA 20 MG. POLVO LIOFILIZADO</t>
  </si>
  <si>
    <t>METOTREXATO FA 500 MG/20ML SOLUCION INYECTABLE (QUE PERMITA LA ADMINISTRACION INTRATECAL)</t>
  </si>
  <si>
    <t>CICLOFOSFAMIDA CM 50 MG COMPRIMIDOS RECUBIERTOS VIA ORAL</t>
  </si>
  <si>
    <t>BICALUTAMIDA CM 50 MG COMPRIMIDOS RECUBIERTOS (BLISTER) VIA ORAL</t>
  </si>
  <si>
    <t>HIDROXICARBAMIDA CÁPSULAS 500 MG VIA ORAL (BLISTER)</t>
  </si>
  <si>
    <t>MELFALAN 2 MG COMPRIMIDOS RECUBIERTOS</t>
  </si>
  <si>
    <t>DEGARELIX 120 MG POLVO LIOFILIZADO PARA SOLUCION INYECTABLE</t>
  </si>
  <si>
    <t xml:space="preserve">Totales </t>
  </si>
  <si>
    <t>P283</t>
  </si>
  <si>
    <t>A</t>
  </si>
  <si>
    <t>Y</t>
  </si>
  <si>
    <t>AY</t>
  </si>
  <si>
    <t>OK</t>
  </si>
  <si>
    <t>P251</t>
  </si>
  <si>
    <t>P285</t>
  </si>
  <si>
    <t>X</t>
  </si>
  <si>
    <t>AX</t>
  </si>
  <si>
    <t>P358</t>
  </si>
  <si>
    <t>P262</t>
  </si>
  <si>
    <t>P252</t>
  </si>
  <si>
    <t>P246</t>
  </si>
  <si>
    <t>P131</t>
  </si>
  <si>
    <t>P282</t>
  </si>
  <si>
    <t>P357</t>
  </si>
  <si>
    <t>Z</t>
  </si>
  <si>
    <t>AZ</t>
  </si>
  <si>
    <t>P094</t>
  </si>
  <si>
    <t>P172</t>
  </si>
  <si>
    <t>P245</t>
  </si>
  <si>
    <t>P193</t>
  </si>
  <si>
    <t>P016</t>
  </si>
  <si>
    <t>P281</t>
  </si>
  <si>
    <t>P158</t>
  </si>
  <si>
    <t>P316</t>
  </si>
  <si>
    <t>P244</t>
  </si>
  <si>
    <t>P333</t>
  </si>
  <si>
    <t>P271</t>
  </si>
  <si>
    <t>B</t>
  </si>
  <si>
    <t>BZ</t>
  </si>
  <si>
    <t>P103</t>
  </si>
  <si>
    <t>P315</t>
  </si>
  <si>
    <t>BY</t>
  </si>
  <si>
    <t>P361</t>
  </si>
  <si>
    <t>BX</t>
  </si>
  <si>
    <t>P056</t>
  </si>
  <si>
    <t>P001</t>
  </si>
  <si>
    <t>P194</t>
  </si>
  <si>
    <t>P363</t>
  </si>
  <si>
    <t>P109</t>
  </si>
  <si>
    <t>P115</t>
  </si>
  <si>
    <t>P071</t>
  </si>
  <si>
    <t>P183</t>
  </si>
  <si>
    <t>P059</t>
  </si>
  <si>
    <t>P192</t>
  </si>
  <si>
    <t>P039</t>
  </si>
  <si>
    <t>P196</t>
  </si>
  <si>
    <t>Crítico</t>
  </si>
  <si>
    <t>P125</t>
  </si>
  <si>
    <t>P012</t>
  </si>
  <si>
    <t>P029</t>
  </si>
  <si>
    <t>P340</t>
  </si>
  <si>
    <t>P274</t>
  </si>
  <si>
    <t>P091</t>
  </si>
  <si>
    <t>P362</t>
  </si>
  <si>
    <t>P108</t>
  </si>
  <si>
    <t>P344</t>
  </si>
  <si>
    <t>P273</t>
  </si>
  <si>
    <t>P097</t>
  </si>
  <si>
    <t>P098</t>
  </si>
  <si>
    <t>P044</t>
  </si>
  <si>
    <t>P148</t>
  </si>
  <si>
    <t>P104</t>
  </si>
  <si>
    <t>P191</t>
  </si>
  <si>
    <t>C</t>
  </si>
  <si>
    <t>CY</t>
  </si>
  <si>
    <t>P068</t>
  </si>
  <si>
    <t>CX</t>
  </si>
  <si>
    <t>P348</t>
  </si>
  <si>
    <t>P045</t>
  </si>
  <si>
    <t>P352</t>
  </si>
  <si>
    <t>CZ</t>
  </si>
  <si>
    <t>P272</t>
  </si>
  <si>
    <t>P137</t>
  </si>
  <si>
    <t>P118</t>
  </si>
  <si>
    <t>P124</t>
  </si>
  <si>
    <t>P369</t>
  </si>
  <si>
    <t>P370</t>
  </si>
  <si>
    <t>P275</t>
  </si>
  <si>
    <t>P345</t>
  </si>
  <si>
    <t>P337</t>
  </si>
  <si>
    <t>P146</t>
  </si>
  <si>
    <t>P010</t>
  </si>
  <si>
    <t>P195</t>
  </si>
  <si>
    <t>P073</t>
  </si>
  <si>
    <t>P174</t>
  </si>
  <si>
    <t>P343</t>
  </si>
  <si>
    <t>P284</t>
  </si>
  <si>
    <t>P092</t>
  </si>
  <si>
    <t>P055</t>
  </si>
  <si>
    <t>P339</t>
  </si>
  <si>
    <t>P280</t>
  </si>
  <si>
    <t>P347</t>
  </si>
  <si>
    <t>P173</t>
  </si>
  <si>
    <t>P268</t>
  </si>
  <si>
    <t>P368</t>
  </si>
  <si>
    <t>P051</t>
  </si>
  <si>
    <t>P072</t>
  </si>
  <si>
    <t>P338</t>
  </si>
  <si>
    <t>P080</t>
  </si>
  <si>
    <t>P042</t>
  </si>
  <si>
    <t>P095</t>
  </si>
  <si>
    <t>P144</t>
  </si>
  <si>
    <t>P346</t>
  </si>
  <si>
    <t>P035</t>
  </si>
  <si>
    <t>P269</t>
  </si>
  <si>
    <t>P236</t>
  </si>
  <si>
    <t>P229</t>
  </si>
  <si>
    <t>P067</t>
  </si>
  <si>
    <t>P043</t>
  </si>
  <si>
    <t>P169</t>
  </si>
  <si>
    <t>P217</t>
  </si>
  <si>
    <t>P096</t>
  </si>
  <si>
    <t>CLORHEXIDINA COLUTORIO 0,12% X 150ML</t>
  </si>
  <si>
    <t>P085</t>
  </si>
  <si>
    <t>OV</t>
  </si>
  <si>
    <t>METRONIDAZOL 500MG OV</t>
  </si>
  <si>
    <t>P232</t>
  </si>
  <si>
    <t>CLORPROMAZINA 25 MG/2 ML SOL.INY. AM</t>
  </si>
  <si>
    <t>P086</t>
  </si>
  <si>
    <t>CLOPIDOGREL 75 MG COMPRIMIDOS</t>
  </si>
  <si>
    <t>P079</t>
  </si>
  <si>
    <t>DOPAMINA 200 MG/5 ML SOL INY. AM</t>
  </si>
  <si>
    <t>P106</t>
  </si>
  <si>
    <t>LEVOCETIRIZINA 5 MG CM REC</t>
  </si>
  <si>
    <t>P199</t>
  </si>
  <si>
    <t>TU</t>
  </si>
  <si>
    <t>HIDROCORTISONA 1% CREMA TU/PM 10 A 20 G</t>
  </si>
  <si>
    <t>P167</t>
  </si>
  <si>
    <t>ATENOLOL 50 MG. CM(VIA ORAL)</t>
  </si>
  <si>
    <t>P031</t>
  </si>
  <si>
    <t>ENALAPRIL CM RANURADO 10MG ENVASADO EN BLISTER</t>
  </si>
  <si>
    <t>P114</t>
  </si>
  <si>
    <t>LEVETIRAZETAM 1000MG</t>
  </si>
  <si>
    <t>P197</t>
  </si>
  <si>
    <t>HIDROCLOROTIAZIDA CM 50 MG VIA ORAL ENVASADO BLISTER</t>
  </si>
  <si>
    <t>P166</t>
  </si>
  <si>
    <t>DOXICICLINA 100 MG CM O CP</t>
  </si>
  <si>
    <t>P107</t>
  </si>
  <si>
    <t>PO</t>
  </si>
  <si>
    <t>CLOBETASOL 0,05% CREMA DERMICA 25 A 30 G</t>
  </si>
  <si>
    <t>P077</t>
  </si>
  <si>
    <t>ADENOSINA AM/FA/JER 6 MG/2 ML SOLUCION INYECTABLE</t>
  </si>
  <si>
    <t>P011</t>
  </si>
  <si>
    <t>CAPTOPRIL CM 25MG ENVASADO EN BLISTER</t>
  </si>
  <si>
    <t>P057</t>
  </si>
  <si>
    <t>DOBUTAMINA 250 MG/5 ML AMP SOLUCION INYECTABLE</t>
  </si>
  <si>
    <t>P102</t>
  </si>
  <si>
    <t>ACENOCUMAROL 4 MG CM VIA ORAL</t>
  </si>
  <si>
    <t>P002</t>
  </si>
  <si>
    <t>CLORANFENICOL FC SOLUCION GOTAS OFTALMICAS AL 0.5</t>
  </si>
  <si>
    <t>P081</t>
  </si>
  <si>
    <t>PROPANOLOL AM 1 MG/1 ML SOLUCION INYECTABLE</t>
  </si>
  <si>
    <t>P302</t>
  </si>
  <si>
    <t>GENTAMICINA 80MG/2ML AMP SOL. INYECTABLE</t>
  </si>
  <si>
    <t>P147</t>
  </si>
  <si>
    <t>AMIODARONA 200 MG. CM(VIA ORAL)</t>
  </si>
  <si>
    <t>P023</t>
  </si>
  <si>
    <t>LANATOSIDO C / 2 ML. SOLUCION INYECTABLE</t>
  </si>
  <si>
    <t>P190</t>
  </si>
  <si>
    <t>INSULINA GLARGINA HUMANA RECOMBINANTE SOL INY. 300U/ML DISPOSITIVO PRELLENADO</t>
  </si>
  <si>
    <t>P178</t>
  </si>
  <si>
    <t>PIRIDOXINA CLORHIDRATO AM 100MG/1 ML SOLUCION INYECTABLE</t>
  </si>
  <si>
    <t>P290</t>
  </si>
  <si>
    <t>ACICLOVIR CREMA 5() USO TOPICO TUBO 15 GR</t>
  </si>
  <si>
    <t>P004</t>
  </si>
  <si>
    <t>PAPAVERINA AM 80 MG/2ML SOLUCION INYECTABLE</t>
  </si>
  <si>
    <t>P277</t>
  </si>
  <si>
    <t>CLORANFENICOL UNGÜENTO OFTALMICO AL 1% TU 3.5G</t>
  </si>
  <si>
    <t>P082</t>
  </si>
  <si>
    <t>LABIMIQ IMIQUIMOD 5% CREMA TÓPICA 5 GR</t>
  </si>
  <si>
    <t>P176</t>
  </si>
  <si>
    <t>NITROGLICERINA 50 MG/10 ML</t>
  </si>
  <si>
    <t>P250</t>
  </si>
  <si>
    <t>FLUCONAZOL 150 MG. CM(VIA ORAL)</t>
  </si>
  <si>
    <t>P134</t>
  </si>
  <si>
    <t>NEOSTIGMINA SULFATO AM 0.5 MG / 1 ML SOLUCION INYECTABLE</t>
  </si>
  <si>
    <t>P243</t>
  </si>
  <si>
    <t>LIPIDOS MCT 20 FA 500ML</t>
  </si>
  <si>
    <t>P207</t>
  </si>
  <si>
    <t>POLIESTIRENO SULFONATO DE CALCIO DE 400 A 500MG</t>
  </si>
  <si>
    <t>P291</t>
  </si>
  <si>
    <t>IPATROPIO MONOHIDRATO 21 CMCG</t>
  </si>
  <si>
    <t>P182</t>
  </si>
  <si>
    <t>RIVAROXABAN 15MG COMPRIMIDOS RECUBIERTOS VIA ORAL ENVASADO EN BLISTER</t>
  </si>
  <si>
    <t>P317</t>
  </si>
  <si>
    <t>AMPICILINA 1G POLV/LIOF SOL. INYECT FAM</t>
  </si>
  <si>
    <t>P027</t>
  </si>
  <si>
    <t>MA</t>
  </si>
  <si>
    <t>S.P. GLUCOSA 10 X 1000 ML. ENVASE SEMIRIGIDO (CONV-SANDERSON PU$ 774) PA-2012</t>
  </si>
  <si>
    <t>P151</t>
  </si>
  <si>
    <t>BROMHEXINA 4MG/ 5 ML JARABE FCO 100 ML</t>
  </si>
  <si>
    <t>P046</t>
  </si>
  <si>
    <t>FLUMAZENILO AM 0.5 MG/5 ML SOLUCION INYECTABLE</t>
  </si>
  <si>
    <t>P136</t>
  </si>
  <si>
    <t>AMIODARONA AM 150MG/3 ML SOLUCION INYECTABLE</t>
  </si>
  <si>
    <t>P022</t>
  </si>
  <si>
    <t>VASELINA FCO X 100 ML</t>
  </si>
  <si>
    <t>P366</t>
  </si>
  <si>
    <t>RISPERIDONA COM 1MG</t>
  </si>
  <si>
    <t>P313</t>
  </si>
  <si>
    <t>S.P. GLUCOSA 30 X 500 ML ENVASE SEMIRIGIDO</t>
  </si>
  <si>
    <t>P152</t>
  </si>
  <si>
    <t>SUCCINILCOLINA 100 MG/ 5 ML AMP SOLUCION INYECTABLE</t>
  </si>
  <si>
    <t>P334</t>
  </si>
  <si>
    <t>S.P. GLUCOSA 10 X 500 ML. ENVASE SEMIRIGIDO</t>
  </si>
  <si>
    <t>P150</t>
  </si>
  <si>
    <t>LABETALOL 100MG/ 20ML AMP SOLUCION INYECTABLE</t>
  </si>
  <si>
    <t>P188</t>
  </si>
  <si>
    <t>SALBUTAMOL 5MG/ML FC 100CC SOLUCION PARA NEBULIZAR</t>
  </si>
  <si>
    <t>P320</t>
  </si>
  <si>
    <t>ETOMIDATO AM 20 MG/10 ML SOLUCION INYECTABLE</t>
  </si>
  <si>
    <t>P123</t>
  </si>
  <si>
    <t>N ACETILCISTEINA POLVO GRANULADO SOBRE DE 600MG</t>
  </si>
  <si>
    <t>P241</t>
  </si>
  <si>
    <t>PROTAMINA SULFATO FA 50 MG/5 ML SOLUCION INYECTABLE</t>
  </si>
  <si>
    <t>P308</t>
  </si>
  <si>
    <t>BETAMETASONA FOSFATO DISODICO/BETAMETASONA ACETATO 3/3 MG/MLRAPILENTA SUSPENSION INYECTABLE</t>
  </si>
  <si>
    <t>P040</t>
  </si>
  <si>
    <t>HEPARINA DE BAJO PESO MOLECULAR 2.500 UI DALTE 20 MG ENOXA JERINGA</t>
  </si>
  <si>
    <t>P163</t>
  </si>
  <si>
    <t>S.P. AMINOACIDOS ESENCIALES 10 FC 500ML ENVASADO EN VIDRIO</t>
  </si>
  <si>
    <t>P021</t>
  </si>
  <si>
    <t>KETAMINA 500 MG/10 ML SOLUCION INYECTABLE</t>
  </si>
  <si>
    <t>P184</t>
  </si>
  <si>
    <t>LORAZEPAN 4 MG/ 2ML</t>
  </si>
  <si>
    <t>P210</t>
  </si>
  <si>
    <t>TRAMADOL 100 MG/ 2 ML. SOLUCION INYECTABLE</t>
  </si>
  <si>
    <t>P354</t>
  </si>
  <si>
    <t>NITROGLICERINA 0.5MG/ 10 ML. SOLUCION INYECTABLE</t>
  </si>
  <si>
    <t>P249</t>
  </si>
  <si>
    <t>HALOPERIDOL CM 1MG</t>
  </si>
  <si>
    <t>P159</t>
  </si>
  <si>
    <t>MIVACURIO 2MG/ML AM SOLUCIÓN INYECTABLE</t>
  </si>
  <si>
    <t>P237</t>
  </si>
  <si>
    <t>CLORURO DE POTASIO EN DEXTROSA 5 CLORURO DE SODIO 0.45 30 MEQ/1000ML</t>
  </si>
  <si>
    <t>P295</t>
  </si>
  <si>
    <t>GABAPENTINA 400MG CP/CM REC.</t>
  </si>
  <si>
    <t>P143</t>
  </si>
  <si>
    <t>DICLOFENACO - COLESTIRAMINA 140 MG LIBERACION SOSTENIDA</t>
  </si>
  <si>
    <t>P101</t>
  </si>
  <si>
    <t>ESPIRONOLACTONA CM 25 MG</t>
  </si>
  <si>
    <t>P122</t>
  </si>
  <si>
    <t>AMOXICILINA CM O CP 500 MG. ENVASADO EN BLISTER (CONV-WINPHARM PU$ 30) PA-2012</t>
  </si>
  <si>
    <t>P025</t>
  </si>
  <si>
    <t>VENLAFAXINA CM 75MG</t>
  </si>
  <si>
    <t>P367</t>
  </si>
  <si>
    <t>CLINDAMICINA FOSFATO AM 600MG/4ML SOLUCION INYECTABLE</t>
  </si>
  <si>
    <t>P076</t>
  </si>
  <si>
    <t>CLARITROMICINA CM RECUBIERTO 500 MG ENVASADO EN BLISTER</t>
  </si>
  <si>
    <t>P074</t>
  </si>
  <si>
    <t>S.P. GLUCOSA 30 / 20 ML AMP SOLUCION INYECTABLE</t>
  </si>
  <si>
    <t>P149</t>
  </si>
  <si>
    <t>LIDOCAINA CLORHIDRATO 4 % TUBO GEL POMO 15 GRS</t>
  </si>
  <si>
    <t>P204</t>
  </si>
  <si>
    <t>OLANZAPINA 5 MG CM/CM REC</t>
  </si>
  <si>
    <t>P264</t>
  </si>
  <si>
    <t>MIDAZOLAM 50 MG/10ML SOLUCION INYECTABLE</t>
  </si>
  <si>
    <t>P234</t>
  </si>
  <si>
    <t>MEMANTINA CM 20MG</t>
  </si>
  <si>
    <t>P218</t>
  </si>
  <si>
    <t>SIMETICONA CP 60 MG ENVASADO EN BLISTER</t>
  </si>
  <si>
    <t>P323</t>
  </si>
  <si>
    <t>METADONA 10 MG CM</t>
  </si>
  <si>
    <t>AZUL DE METILENO 1 X 5 ML</t>
  </si>
  <si>
    <t>P038</t>
  </si>
  <si>
    <t>S.P. MANITOL 15 AM 500 ML. ENVASE SEMIRIGIDO</t>
  </si>
  <si>
    <t>P212</t>
  </si>
  <si>
    <t>MELATONINA 3 MG CM</t>
  </si>
  <si>
    <t>P216</t>
  </si>
  <si>
    <t>SODIO CLORURO 10 AM 10 ML A 20 ML. ENVASE VIDRIO O PLASTICO</t>
  </si>
  <si>
    <t>P326</t>
  </si>
  <si>
    <t>INSULINA HUMANA SUSPENSION NPH FA 100 UI/ML X10 ML INYECTABLE</t>
  </si>
  <si>
    <t>P180</t>
  </si>
  <si>
    <t>S.P. GLUCOSA 5 X 1000 ENVASE TIPO VIAFLEX (COLAPSABLE)</t>
  </si>
  <si>
    <t>P153</t>
  </si>
  <si>
    <t>PROPINOXATO 5MG/ 1 ML. SOLUCION INYECTABLE (PARGEVERINA)</t>
  </si>
  <si>
    <t>P303</t>
  </si>
  <si>
    <t>S.P. GLUCOSALINO ISOTONICO X 500 ML. ENVASE SEMIRIGIDO</t>
  </si>
  <si>
    <t>P157</t>
  </si>
  <si>
    <t>CEFTAZIDIMA FA 1GR LIOFILIZADO INYECTABLE</t>
  </si>
  <si>
    <t>P063</t>
  </si>
  <si>
    <t>CLORURO DE POTASIO SOLUCIÃ“N INYECTABLE 40 MEQ/100 ML</t>
  </si>
  <si>
    <t>P294</t>
  </si>
  <si>
    <t>COTRIMOXAZOL AM 400 SMZ/80 TMP SOLUCION INYECTABLE X 5 ML</t>
  </si>
  <si>
    <t>P089</t>
  </si>
  <si>
    <t>CLINDAMICINA 300 MG CAPSULAS VIA ORAL</t>
  </si>
  <si>
    <t>P075</t>
  </si>
  <si>
    <t>AZTREONAM 1GR FA</t>
  </si>
  <si>
    <t>P037</t>
  </si>
  <si>
    <t>LIDOCAINA CLORHIDRATO 10 SPRAY</t>
  </si>
  <si>
    <t>P201</t>
  </si>
  <si>
    <t>COMPLEJO PROTROMBINA 500 UI LIOF. P/SOL. INY. FAM</t>
  </si>
  <si>
    <t>P088</t>
  </si>
  <si>
    <t>S.P. SODIO BICARBONATO 2/3 M AM 250 ML. ENVASE SEMIRIGIDO</t>
  </si>
  <si>
    <t>P325</t>
  </si>
  <si>
    <t>METILPREDNISOLONA FA 500 MG POLVO LIOFILIZADO PARA SOLUCIÓN INYECTABLE</t>
  </si>
  <si>
    <t>P226</t>
  </si>
  <si>
    <t>NALOXONA 0.4 MG/2ML</t>
  </si>
  <si>
    <t>P242</t>
  </si>
  <si>
    <t>TAPENTADOL 100MG COMP LIBERACION PROLONGADA</t>
  </si>
  <si>
    <t>P342</t>
  </si>
  <si>
    <t>CLOXACILINA SODICA FA 500 MG LIOFILIZADO</t>
  </si>
  <si>
    <t>P087</t>
  </si>
  <si>
    <t>S.P. GLUCOSALINO ISOTONICO X 1000 ML. ENVASE SEMIRIGIDO</t>
  </si>
  <si>
    <t>P156</t>
  </si>
  <si>
    <t>LIDOCAINA 2% C/EPINEFRINA INYECTABLE</t>
  </si>
  <si>
    <t>P203</t>
  </si>
  <si>
    <t>POTASIO GLUCONATO / 200 ML. (VIA ORAL)LIQUIDO</t>
  </si>
  <si>
    <t>P298</t>
  </si>
  <si>
    <t>S.P. GLUCOSA 5 X 500 ENVASE TIPO VIAFLEX (COLAPSABLE)</t>
  </si>
  <si>
    <t>P155</t>
  </si>
  <si>
    <t>ESCITALOPRAM 10 MG CM</t>
  </si>
  <si>
    <t>FLUCONAZOL 200 MG/100 ML SOLUCION INYECTABLE</t>
  </si>
  <si>
    <t>P135</t>
  </si>
  <si>
    <t>MESALAZINA 1GR SUPOSITORIO</t>
  </si>
  <si>
    <t>P220</t>
  </si>
  <si>
    <t>BS</t>
  </si>
  <si>
    <t>NUTRICION PARENTERAL PRELLENADA 986ML/1100 KCAL + BOLSA FOTOPROTECTORA</t>
  </si>
  <si>
    <t>P259</t>
  </si>
  <si>
    <t>POLIVITAMINICO CM</t>
  </si>
  <si>
    <t>BICARBONATO DE SODIO 8.4 AMP 10ML SOLUCION INYECTABLE AM</t>
  </si>
  <si>
    <t>P324</t>
  </si>
  <si>
    <t>VITAMINAS PARA NUTRICION PARENTERAL</t>
  </si>
  <si>
    <t>P260</t>
  </si>
  <si>
    <t>OLIGOELEMENTOS AMPOLLA (SE FE CU CR MN ZN)</t>
  </si>
  <si>
    <t>P265</t>
  </si>
  <si>
    <t>SULBACTAM 500 MG AMPICILINA 1000MG FA POLVO PARA SOLUCION INYECTABLE</t>
  </si>
  <si>
    <t>P028</t>
  </si>
  <si>
    <t>CIPROFLOXACINO FA 200MG/100 ML SOLUCION INYECTABLE</t>
  </si>
  <si>
    <t>P069</t>
  </si>
  <si>
    <t>FENILEFRINA AM 0.5 - 1 X 1 ML</t>
  </si>
  <si>
    <t>P127</t>
  </si>
  <si>
    <t>BUPRENORFINA 10UG PARCHES (SOBRE DOS UNIDADES)</t>
  </si>
  <si>
    <t>P049</t>
  </si>
  <si>
    <t>NUTRICION PARENTERAL PRELLENADA 1518ML/1350 KCAL +BOLSA FOTOPROTECTORA</t>
  </si>
  <si>
    <t>P258</t>
  </si>
  <si>
    <t>FITOQUINONA(FITOMENADIONA) ENDOVENOSA AM 10 MG/ 1 ML. SOL. INYECTABLE</t>
  </si>
  <si>
    <t>P132</t>
  </si>
  <si>
    <t>SUCRALFATO SUSP 10% FCO X 200ML (COLUTORIO)</t>
  </si>
  <si>
    <t>P335</t>
  </si>
  <si>
    <t>NOREPINEFRINA 4 MG/ML AMP SOLUCION INYECTABLE (CONV-HOSPIRA PU$ 1369) PA-2012</t>
  </si>
  <si>
    <t>P253</t>
  </si>
  <si>
    <t>POTASIO CLORURO AL 10 AM 10 ML VIDRIO O PLASTICO</t>
  </si>
  <si>
    <t>P297</t>
  </si>
  <si>
    <t>AGUA BIDESTILADA 10 ML SOLUCION INYECTABLE</t>
  </si>
  <si>
    <t>P013</t>
  </si>
  <si>
    <t>DEXMEDETOMIDINA 200UG/2ML FA SOLUCION INYECTABLE</t>
  </si>
  <si>
    <t>P100</t>
  </si>
  <si>
    <t>IMIPENEM 500 MG FA LIOFILIZADO INYECTABLE</t>
  </si>
  <si>
    <t>P175</t>
  </si>
  <si>
    <t>OCTREOTIDE 0.1 MG/ 1 ML SOL. INYECTABLE</t>
  </si>
  <si>
    <t>P263</t>
  </si>
  <si>
    <t>NUTRICION PARENTERAL RECETARIO MAGISTRAL</t>
  </si>
  <si>
    <t>P261</t>
  </si>
  <si>
    <t>CALCIO CARBONATO 1250 MG VIT D3 400 UI CAP</t>
  </si>
  <si>
    <t>PROPOFOL 2%/50ML FA EMULSION INYECTABLE</t>
  </si>
  <si>
    <t>P306</t>
  </si>
  <si>
    <t>METADONA CLORHIDRATO AM 10 MG / 2MG. SOL. INYECTABLE</t>
  </si>
  <si>
    <t>P222</t>
  </si>
  <si>
    <t>TRAMADOL 100 MG CM LP</t>
  </si>
  <si>
    <t>HEPARINA DE BAJO PESO MOLECULAR DE 10.000 UI DALTE 80 MG ENOXA JERINGA</t>
  </si>
  <si>
    <t>P162</t>
  </si>
  <si>
    <t>VANCOMICINA CLORHIDRATO FA 1GR SOLUCION INYECTABLE (CONV-LAB. CHILE PU$ 2353) PA-2012</t>
  </si>
  <si>
    <t>P364</t>
  </si>
  <si>
    <t>TIGECICLINA FA 50 MG INYECTABLE</t>
  </si>
  <si>
    <t>P350</t>
  </si>
  <si>
    <t>NISTATINA GOTAS 100.000UI/24ML FCO (COLUTORIO)</t>
  </si>
  <si>
    <t>P247</t>
  </si>
  <si>
    <t>DANTROLENO SODICO 20 MG IV LIOF FA (CAJA X 6 AMPOLLAS)</t>
  </si>
  <si>
    <t>P093</t>
  </si>
  <si>
    <t xml:space="preserve">S.P. SODIO CLORURO 0.9% 100 ML </t>
  </si>
  <si>
    <t>PROPOFOL 1 50 ML (JERINGA)</t>
  </si>
  <si>
    <t>P305</t>
  </si>
  <si>
    <t>PROPOFOL 2 X 50 ML (JERINGA)</t>
  </si>
  <si>
    <t>P307</t>
  </si>
  <si>
    <t>ANIDULAFUNGINA 100 MG</t>
  </si>
  <si>
    <t>P030</t>
  </si>
  <si>
    <t>CLONAZEPAM 0,5MG CM</t>
  </si>
  <si>
    <t>PICOSULFATO DE SODIO 750 MG/100 ML FCO GOTAS VIA ORAL</t>
  </si>
  <si>
    <t>P288</t>
  </si>
  <si>
    <t>NUTRICIÃ“N PARENTERAL PERIFÃ‰RICA (NPP)</t>
  </si>
  <si>
    <t>P255</t>
  </si>
  <si>
    <t>TOXINA BOTULINICA 500UI</t>
  </si>
  <si>
    <t>P353</t>
  </si>
  <si>
    <t>ERTAPENEM 1 GR FA</t>
  </si>
  <si>
    <t>P119</t>
  </si>
  <si>
    <t>HEPARINA DE BAJO PESO MOLECULAR DE 7500 UI DALTE 60 MG ENOXA JERINGA</t>
  </si>
  <si>
    <t>P165</t>
  </si>
  <si>
    <t>% acumulado</t>
  </si>
  <si>
    <t>Consumo Promedio 2024</t>
  </si>
  <si>
    <t>TAPENTADOL 50MG COMP</t>
  </si>
  <si>
    <t>P341</t>
  </si>
  <si>
    <t>CLORURO DE POTASIO EN FISIOLOGICO 20 mEq / 1000 ML</t>
  </si>
  <si>
    <t>P296</t>
  </si>
  <si>
    <t>MEDIO DE CONTRASTE NO IONICO SOL INY 300-320 MG /ML FA 50 ML</t>
  </si>
  <si>
    <t>P214</t>
  </si>
  <si>
    <t>AZUL DE ISOSULFANO</t>
  </si>
  <si>
    <t>P036</t>
  </si>
  <si>
    <t>POLIETILENGLICOL POLVO (MACROGOL 3350) SOBRES 17 GR</t>
  </si>
  <si>
    <t>P292</t>
  </si>
  <si>
    <t>KIT</t>
  </si>
  <si>
    <t>TIROTROPINA ALFA LIOF PARA SOL INY 0.9 MG/ML (KIT 2 DOSIS)</t>
  </si>
  <si>
    <t>P351</t>
  </si>
  <si>
    <t>METAMIZOL 300 MG CM</t>
  </si>
  <si>
    <t>SODIO CLORURO 0.9 AM 20 ML ENVASE VIDRIO O PLASTICO</t>
  </si>
  <si>
    <t>P327</t>
  </si>
  <si>
    <t>MEROPENEM 500 MG SOLUCION INYECTABLE</t>
  </si>
  <si>
    <t>P219</t>
  </si>
  <si>
    <t>PICOSULFATO DE SODIO SOBRE 10 MG POLVO SOLUCIÓN ORAL (CAJA X 2 SOBRES)</t>
  </si>
  <si>
    <t>P287</t>
  </si>
  <si>
    <t>NUTRICION PARENTERAL 3 CAMARAS 1970 ML/2200 KCAL. (KCAL NO PROT/GR N)  APROX 110. KIT INCLUYE NPT-FILTRO 1.2 UM-OLIGOELEMENTOS-VITAMINAS NPT</t>
  </si>
  <si>
    <t>P256</t>
  </si>
  <si>
    <t>NUTRICION PARENTERAL BOLSA PRELLENADA 3 CAMARAS EXTRA NITROGENO 2025 ML/1800 KCAL. KIT INCLUYE NPT-FILTRO 1.2 UM-OLIGOELEMENTOS-VITAMINAS NPT-BOLSA FOTOP.</t>
  </si>
  <si>
    <t>P257</t>
  </si>
  <si>
    <t>CEFTAZIDIMA/AVIBACTAM 2 GR/ 0.5 GR</t>
  </si>
  <si>
    <t>P064</t>
  </si>
  <si>
    <t>LACTULOSA 66.7 GR/100 ML FCO 200 ML VIA ORAL LIQUIDO</t>
  </si>
  <si>
    <t>P189</t>
  </si>
  <si>
    <t>NUTRICION PARENTERAL BAJA EN H DE C. 3 CAMARAS 1477 ML/1600 KCAL. (KCAL NO PROT/GR N) APROX 100 MENOR QUE NPT ESTANDAR. KIT INCLUYE NPT-FILTRO 1.2 UM-OLIGOELEMENTOS-VITAMINAS NPT BOLSA FOTP</t>
  </si>
  <si>
    <t>P254</t>
  </si>
  <si>
    <t>S.P. SODIO CLORURO 0.9 3LT TIPO VIAFLEX</t>
  </si>
  <si>
    <t>P331</t>
  </si>
  <si>
    <t>ALBUMINA HUMANA 20 FA 50 ML. SOLUCION INYECTABLE. ENVASE INDIVIDUAL</t>
  </si>
  <si>
    <t>P015</t>
  </si>
  <si>
    <t>SERTRALINA 50 MG CM</t>
  </si>
  <si>
    <t>PANCREATINA CM 25.000 UI</t>
  </si>
  <si>
    <t>P276</t>
  </si>
  <si>
    <t>MEDIO DE CONTRASTE NO IONICO SOL INY 270-320 MG/ML FA 100 ML</t>
  </si>
  <si>
    <t>P215</t>
  </si>
  <si>
    <t>MEDIO DE CONTRASTE NO IONICO SOL INY 300-350 MG/ML JER 100 ML</t>
  </si>
  <si>
    <t>P213</t>
  </si>
  <si>
    <t>ALOPURINOL CM 100 MG ENVASADO EN BLISTER</t>
  </si>
  <si>
    <t>P017</t>
  </si>
  <si>
    <t>LEVOTIROXINA 100MG BIRANURADA COMPRIMIDOS VIA ORAL ENVASADO EN BLISTER</t>
  </si>
  <si>
    <t>P200</t>
  </si>
  <si>
    <t>CARVEDILOL 6.25MG V.O.</t>
  </si>
  <si>
    <t>P060</t>
  </si>
  <si>
    <t>ACIDO FOLICO 5MG CM VIA ORAL</t>
  </si>
  <si>
    <t>P007</t>
  </si>
  <si>
    <t>ATORVASTATINA 40MG CAPSULAS</t>
  </si>
  <si>
    <t>P032</t>
  </si>
  <si>
    <t>FUROSEMIDA AM 20 MG/ 1 ML. SOLUCION INYECTABLE</t>
  </si>
  <si>
    <t>P141</t>
  </si>
  <si>
    <t>AMITRIPTILINA CP GG O CM RECUBIERTO 25MG ENVASADO EN BLISTER</t>
  </si>
  <si>
    <t>P024</t>
  </si>
  <si>
    <t>QUETIAPINA 100MG CM</t>
  </si>
  <si>
    <t>P309</t>
  </si>
  <si>
    <t>FUROSEMIDA CM 40 MG ENVASADO EN BLISTER</t>
  </si>
  <si>
    <t>P142</t>
  </si>
  <si>
    <t>NITROFURANTOINA CM 100MG</t>
  </si>
  <si>
    <t>P248</t>
  </si>
  <si>
    <t>ACIDO FOLICO 1MG CM VIA ORAL</t>
  </si>
  <si>
    <t>P006</t>
  </si>
  <si>
    <t>IBUPROFENO CM CM RECUBIERTO GG O CP 400MG ENVASADO BLISTER</t>
  </si>
  <si>
    <t>P171</t>
  </si>
  <si>
    <t>EPINEFRINA 1 MG/ 1 ML SOLUCION INYECTABLE</t>
  </si>
  <si>
    <t>P116</t>
  </si>
  <si>
    <t>CALCIO GLUCONATO 10 / 10ML. SOLUCION INYECTABLE</t>
  </si>
  <si>
    <t>P053</t>
  </si>
  <si>
    <t>LORAZEPAM COMP 2 MG. ENVASADO EN BLISTER</t>
  </si>
  <si>
    <t>P209</t>
  </si>
  <si>
    <t>FLUCLOXACILINA CAP 500MG</t>
  </si>
  <si>
    <t>P133</t>
  </si>
  <si>
    <t>CIPROFLOXACINO CM O CP RECUBIERTO 500 MG</t>
  </si>
  <si>
    <t>P070</t>
  </si>
  <si>
    <t>SALBUTAMOL 100MCG POR DOSIS AEROSOL INHALADOR</t>
  </si>
  <si>
    <t>P319</t>
  </si>
  <si>
    <t>HALOPERIDOL 5 MG/ 1 ML AMP SOLUCION INYECTABLE</t>
  </si>
  <si>
    <t>P160</t>
  </si>
  <si>
    <t>AMIKACINA FA 500 MG / 2 ML SOLUCION INYECTABLE</t>
  </si>
  <si>
    <t>P020</t>
  </si>
  <si>
    <t>METRONIDAZOL 500MG/CM VIA ORAL</t>
  </si>
  <si>
    <t>P231</t>
  </si>
  <si>
    <t>PREDNISONA CM O CM RECUBIERTO 5 MG ENVASADA EN BLISTER</t>
  </si>
  <si>
    <t>P300</t>
  </si>
  <si>
    <t>RISPERIDONA 1MG/ML FC PARA GOTAS ORAL</t>
  </si>
  <si>
    <t>P314</t>
  </si>
  <si>
    <t>BUPIVACAINA 0.75 HIPERBARICA AMP DE 2 ML SOLUCION INYECTABLE</t>
  </si>
  <si>
    <t>P048</t>
  </si>
  <si>
    <t>CARBAMAZEPINA 200 MG. CM(VIA ORAL)</t>
  </si>
  <si>
    <t>P058</t>
  </si>
  <si>
    <t>DROPERIDOL 5 MG/ 2 ML AMP SOLUCION INYECTABLE</t>
  </si>
  <si>
    <t>P110</t>
  </si>
  <si>
    <t>INSULINA CRISTALINA FA 100 UI/ML X 10 ML SOLUCION INYECTABLE</t>
  </si>
  <si>
    <t>P177</t>
  </si>
  <si>
    <t>EFEDRINA 6 % AM 1 ML. SOLUCION INYECTABLE</t>
  </si>
  <si>
    <t>P113</t>
  </si>
  <si>
    <t>ANTIESPASMODICO CM(VIA ORAL)</t>
  </si>
  <si>
    <t>P034</t>
  </si>
  <si>
    <t>KETOPROFENO CM 50 MG VIA ORAL</t>
  </si>
  <si>
    <t>P186</t>
  </si>
  <si>
    <t>DEXAMETASONA 4 MG/ML AM</t>
  </si>
  <si>
    <t>HIDROCORTISONA SUCCINATO 100MG FA LIOFILIZADO INYECTABLE</t>
  </si>
  <si>
    <t>P168</t>
  </si>
  <si>
    <t>FENTANILO CITRATO 0.1MG/ 2ML AMP SOL. INYECTABLE ADM IM-EV</t>
  </si>
  <si>
    <t>P130</t>
  </si>
  <si>
    <t>HIERRO SACARATO ENDOVENOSO AMPOLLA DE 100MG/5ML</t>
  </si>
  <si>
    <t>P170</t>
  </si>
  <si>
    <t>ESCITALOPRAM 10MG CM</t>
  </si>
  <si>
    <t>P120</t>
  </si>
  <si>
    <t>FOSFATO MONOPOTASICO /10 ML. SOLUCION INYECTABLE</t>
  </si>
  <si>
    <t>P138</t>
  </si>
  <si>
    <t>MAGNESIO SULFATO AL 25 AMP 5 ML SOLUCION INYECTABLE</t>
  </si>
  <si>
    <t>P211</t>
  </si>
  <si>
    <t>MORFINA CLORHIDRATO AM 20 MG/1 ML SOLUCION INYECTABLE</t>
  </si>
  <si>
    <t>P239</t>
  </si>
  <si>
    <t>CIANOCOBALAMINA AM 0.1MG/1 ML SOLUCION INYECTABLE</t>
  </si>
  <si>
    <t>P066</t>
  </si>
  <si>
    <t>S.P. GLUCOSA 5 X 250 ML. ENVASE SEMIRIGIDO</t>
  </si>
  <si>
    <t>P154</t>
  </si>
  <si>
    <t>METOCLOPRAMIDA CLORHIDRATO AM 10 MG/2 ML SOLUCION INYECTABLE</t>
  </si>
  <si>
    <t>P227</t>
  </si>
  <si>
    <t>FENTANILO 0.5MG/10ML AMPOLLA</t>
  </si>
  <si>
    <t>P128</t>
  </si>
  <si>
    <t>REMIFENTANILO 1 MG FA</t>
  </si>
  <si>
    <t>P311</t>
  </si>
  <si>
    <t>DULOXETINA 60MG CP</t>
  </si>
  <si>
    <t>P112</t>
  </si>
  <si>
    <t>CALCITRIOL CAP 0.5MG</t>
  </si>
  <si>
    <t>P054</t>
  </si>
  <si>
    <t>AGUA DESTILADA 500 ML ENVASE SEMIRIGIDO</t>
  </si>
  <si>
    <t>P014</t>
  </si>
  <si>
    <t>METRONIDAZOL 500 MG/100 ML FA/BOLSA SOLUCION INYECTABLE</t>
  </si>
  <si>
    <t>P230</t>
  </si>
  <si>
    <t>IPRATROPIO BROMURO 0.025 SOLUCION PARA NEBULIZADOR FC 20ML</t>
  </si>
  <si>
    <t>P181</t>
  </si>
  <si>
    <t>TRAZODONA 100MG CM</t>
  </si>
  <si>
    <t>P360</t>
  </si>
  <si>
    <t>ACIDO TRANEXAMICO AM 1 GR/ 10 ML SOLUCION INYECTABLE</t>
  </si>
  <si>
    <t>P008</t>
  </si>
  <si>
    <t>ACIDO TRANEXAMICO 500 MG COMPRIMIDO VIA ORAL</t>
  </si>
  <si>
    <t>P009</t>
  </si>
  <si>
    <t>PANCREATINA 25.000 UI CM</t>
  </si>
  <si>
    <t>AMOXICILINA 875 MG ACIDO CLAVULANICO 125 MG CM. VIA ORAL (CONV-GLAXO PU$ 680) PA-2012</t>
  </si>
  <si>
    <t>P026</t>
  </si>
  <si>
    <t>TIAMINA 30 MG / 1 ML AMP SOLUCION INYECTABLE</t>
  </si>
  <si>
    <t>P349</t>
  </si>
  <si>
    <t>SUGAMMADEX FA 200 MG/2 ML SOLUCION INYECTABLE</t>
  </si>
  <si>
    <t>P336</t>
  </si>
  <si>
    <t>METOCLOPRAMIDA 10 MG CM</t>
  </si>
  <si>
    <t>MORFINA CLORHIDRATO AM 10 MG/1ML SOLUCION INYECTABLE</t>
  </si>
  <si>
    <t>P238</t>
  </si>
  <si>
    <t>METAMIZOL SODICO CM 300 MG</t>
  </si>
  <si>
    <t>P225</t>
  </si>
  <si>
    <t>LOPERAMIDA 2 MG CM</t>
  </si>
  <si>
    <t>HEPARINA 25.000 U/5 ML. SOLUCION INYECTABLE</t>
  </si>
  <si>
    <t>P161</t>
  </si>
  <si>
    <t>ERITROPOYETINA 4000 UI JERINGA PRECARGADA</t>
  </si>
  <si>
    <t>P117</t>
  </si>
  <si>
    <t>VASELINA ESTERIL AMPOLLA 10 ML</t>
  </si>
  <si>
    <t>P365</t>
  </si>
  <si>
    <t>POLIVITAMINICO CM(VIA ORAL)</t>
  </si>
  <si>
    <t>P293</t>
  </si>
  <si>
    <t>PIPERACILINA - TAZOBACTAM 4.5 GR FA INYECTABLE</t>
  </si>
  <si>
    <t>P289</t>
  </si>
  <si>
    <t>LINEZOLID 600mg SOLUCION INYECTABLE</t>
  </si>
  <si>
    <t>P206</t>
  </si>
  <si>
    <t>FENTANILO 25MCG/ H PARCHE</t>
  </si>
  <si>
    <t>P129</t>
  </si>
  <si>
    <t xml:space="preserve">ACICLOVIR 400 MG CM </t>
  </si>
  <si>
    <t>S.P. SODIO CLORURO 0.9 AM 1000 ML TIPO VIAFLEX (COLAPSABLE)</t>
  </si>
  <si>
    <t>P329</t>
  </si>
  <si>
    <t>PARACETAMOL CM 500 MG ENVASADO EN BLISTER</t>
  </si>
  <si>
    <t>P279</t>
  </si>
  <si>
    <t>SEVOFLURANE LIQUIDO VOLATIL P/INHALACION FC 250 ML.</t>
  </si>
  <si>
    <t>P322</t>
  </si>
  <si>
    <t>ROCURONIO BROMURO AM O FA 50 MG/5 ML SOLUCION INYECTABLE</t>
  </si>
  <si>
    <t>P318</t>
  </si>
  <si>
    <t>MESNA 400 MG/4 ML SOLUCIÓN INYECTABLE</t>
  </si>
  <si>
    <t>P221</t>
  </si>
  <si>
    <t>TRAUMEEL S SOL. INY. AM</t>
  </si>
  <si>
    <t>P359</t>
  </si>
  <si>
    <t> LUBRICANTE OCULAR GEL OFT.UNIDOSIS.</t>
  </si>
  <si>
    <t>P286</t>
  </si>
  <si>
    <t>LEVETIRACETAM 100 MG/ML SOL. INY. FAM</t>
  </si>
  <si>
    <t>P198</t>
  </si>
  <si>
    <t xml:space="preserve">INSUL GLULI 100 UI/ML SOL. INY. DISPOSITIVO PRELLENADO </t>
  </si>
  <si>
    <t>P179</t>
  </si>
  <si>
    <t>LIDOCAINA/CLORHEXIDINA 2/0,5% GEL TOPICO JER 11 ML.</t>
  </si>
  <si>
    <t>P145</t>
  </si>
  <si>
    <t>FAMOTIDINA 40MGRS ENVASADO EN BLISTER</t>
  </si>
  <si>
    <t>P126</t>
  </si>
  <si>
    <t>CLORFENAMINA MALEATO CM 4MG ENVASADO EN BLISTER</t>
  </si>
  <si>
    <t>P084</t>
  </si>
  <si>
    <t>BETAMETASONA 4 MG/ 1 ML AMP SOLUCION INYECTABLE (CONV-SANDERSON PU$ 111) PA-2012</t>
  </si>
  <si>
    <t>P041</t>
  </si>
  <si>
    <t>ALOPURINOL CM 300 MG</t>
  </si>
  <si>
    <t>P018</t>
  </si>
  <si>
    <t>ALPRAZOLAM CM 0.5 MG ENVASADO EN BLISTER</t>
  </si>
  <si>
    <t>P019</t>
  </si>
  <si>
    <t>ACIDO ACETILSALICILICO 100 MG CM VIA ORAL</t>
  </si>
  <si>
    <t>P005</t>
  </si>
  <si>
    <t>CLORFENAMINA MALEATO AM 10 MG/ 1ML SOLUCION INYECTABLE</t>
  </si>
  <si>
    <t>P083</t>
  </si>
  <si>
    <t>ATROPINA SULFATO AM 1 MG/1 ML SOLUCION INYECTABLE</t>
  </si>
  <si>
    <t>P033</t>
  </si>
  <si>
    <t>SODIO CLORURO 0.9 AM 20 ML AM</t>
  </si>
  <si>
    <t>QUETIAPINA 25MG CM VIA ORAL BLISTER</t>
  </si>
  <si>
    <t>P310</t>
  </si>
  <si>
    <t>SERTRALINA 50 MG. CM(VIA ORAL)</t>
  </si>
  <si>
    <t>P321</t>
  </si>
  <si>
    <t>CLONAZEPAM 0.5MG COMP V.O.</t>
  </si>
  <si>
    <t>P078</t>
  </si>
  <si>
    <t>KETOPROFENO AM/FA 100 MG INYECTABLE USO E.V.</t>
  </si>
  <si>
    <t>P185</t>
  </si>
  <si>
    <t>PREDNISONA CM O CM RECUBIERTO 20 MG ENVASADA EN BLISTER</t>
  </si>
  <si>
    <t>P299</t>
  </si>
  <si>
    <t>BUPIVACAINA AM 0.5 /10 ML. SOLUCION INYECTABLE</t>
  </si>
  <si>
    <t>P047</t>
  </si>
  <si>
    <t>CEFTRIAXONA FA 1GR LIOFILIZADO INYECTABLE</t>
  </si>
  <si>
    <t>P065</t>
  </si>
  <si>
    <t>KETOROLACO TROMETAMOL AM 30 MG/ML SOLUCION INYECTABLE</t>
  </si>
  <si>
    <t>P187</t>
  </si>
  <si>
    <t>CEFADROXILO 500MG COMPRIMIDOS RECUBIERTOS VIA ORAL ENVASADO EN BLISTER</t>
  </si>
  <si>
    <t>P061</t>
  </si>
  <si>
    <t>COTRIMOXAZOL FORTE 60/800 MG. CM(VIA ORAL)</t>
  </si>
  <si>
    <t>P090</t>
  </si>
  <si>
    <t>ENEMA FOSFATO P/ADULTO FC 130ML</t>
  </si>
  <si>
    <t>P139</t>
  </si>
  <si>
    <t>DULOXETINA CAPS 30MG</t>
  </si>
  <si>
    <t>P111</t>
  </si>
  <si>
    <t>METAMIZOL SODICO 1G/ 2 ML AM</t>
  </si>
  <si>
    <t>ESCOPOLAMINA 20 MG/ 1 ML SOLUCION INYECTABLE</t>
  </si>
  <si>
    <t>P121</t>
  </si>
  <si>
    <t>CEFAZOLINA FA 1GR LIOFILIZADO SOLUCION INYECTABLE</t>
  </si>
  <si>
    <t>P062</t>
  </si>
  <si>
    <t>METOCLOPRAMIDA CLORHIDRATO CM 10 MG ENVASADO EN BLISTER</t>
  </si>
  <si>
    <t>P228</t>
  </si>
  <si>
    <t>OMEPRAZOL CM O CP 20 MG (MICROGRANULOS LIBERACION ENTERICA)</t>
  </si>
  <si>
    <t>P266</t>
  </si>
  <si>
    <t>DOMPERIDONA 10 MG COMPRIMIDOS ENVASADO BLISTER</t>
  </si>
  <si>
    <t>P105</t>
  </si>
  <si>
    <t>FERROVITAMINICO (FUMARATO FERROSO VITAMINAS) CP O CM</t>
  </si>
  <si>
    <t>P140</t>
  </si>
  <si>
    <t>MIDAZOLAM 5 MG/1ML</t>
  </si>
  <si>
    <t>P233</t>
  </si>
  <si>
    <t>LIDOCAINA CLORHIDRATO 2 AM 5-10ML SOLUCION INYECTABLE</t>
  </si>
  <si>
    <t>P202</t>
  </si>
  <si>
    <t>ACICLOVIR 400 MG CM ENVASADO EN BLISTER VIA ORAL</t>
  </si>
  <si>
    <t>P003</t>
  </si>
  <si>
    <t xml:space="preserve">FERROVITAMINICO CP </t>
  </si>
  <si>
    <t>MIRTAZAPINA 30MG COMP V.O.</t>
  </si>
  <si>
    <t>P235</t>
  </si>
  <si>
    <t>DEXAMETASONA FOSFATO AM 4 MG/ML SOLUCION INYECTABLE</t>
  </si>
  <si>
    <t>P099</t>
  </si>
  <si>
    <t>S.P. SODIO CLORURO 0.9 AM 500 ML ENVASE VIAFLEX</t>
  </si>
  <si>
    <t>P332</t>
  </si>
  <si>
    <t>ONDANSETRON AM 8 MG SOLUCION INYECTABLE</t>
  </si>
  <si>
    <t>P270</t>
  </si>
  <si>
    <t>TRAMADOL CP O CM RECUBIERTO 100 MG ACCION PROLONGADA (CONV-NOVOFARMA PU$ 910) PA-2012</t>
  </si>
  <si>
    <t>P356</t>
  </si>
  <si>
    <t>OMEPRAZOL FA 40 MG SOLUCION INYECTABLE</t>
  </si>
  <si>
    <t>P267</t>
  </si>
  <si>
    <t>TRAMADOL GOTAS 100/ML FCO 10 ML / GOTAS (CONV-NOVOFARMA PU$ 2130) PA-2012</t>
  </si>
  <si>
    <t>P355</t>
  </si>
  <si>
    <t>PROPOFOL 1 20 ML (AMPOLLA)</t>
  </si>
  <si>
    <t>P304</t>
  </si>
  <si>
    <t>S.P. SOLUCION RINGER LACTATO AM 500 ML. ENVASE SEMIRIGIDO</t>
  </si>
  <si>
    <t>P312</t>
  </si>
  <si>
    <t xml:space="preserve">PREGABALINA 150 MG CM </t>
  </si>
  <si>
    <t>LOPERAMIDA CLORHIDRATO CM 2 MG ENVASADO EN BLISTER</t>
  </si>
  <si>
    <t>P208</t>
  </si>
  <si>
    <t>S.P. SODIO CLORURO 0.9% AM 250 ML TIPO VIAFLEX (COLAPSABLE)</t>
  </si>
  <si>
    <t>P330</t>
  </si>
  <si>
    <t>PARACETAMOL 1 GR/ 100 ML FA ENDOVENOSO</t>
  </si>
  <si>
    <t>P278</t>
  </si>
  <si>
    <t>PARACETAMOL 500 MG CM</t>
  </si>
  <si>
    <t>CALCIO CARBONATO 1250 MG VIT D3 400 UI CAPSULA (BLISTER) VIA ORAL</t>
  </si>
  <si>
    <t>P052</t>
  </si>
  <si>
    <t>LIDOCAINA CLORHIDRATO 5% PARCHE</t>
  </si>
  <si>
    <t>P205</t>
  </si>
  <si>
    <t>PREGABALINA CM RANURADA 150MG</t>
  </si>
  <si>
    <t>P301</t>
  </si>
  <si>
    <t>DOMPERIDONA 10 MG CM</t>
  </si>
  <si>
    <t>BUPRENORFINA 35 MCG/H</t>
  </si>
  <si>
    <t>P050</t>
  </si>
  <si>
    <t>OMEPRAZOL 20 MG CP</t>
  </si>
  <si>
    <t>METAMIZOL SODICO AM 1G/ 2 ML SOLUCION INYECTABLE</t>
  </si>
  <si>
    <t>P224</t>
  </si>
  <si>
    <t>MORFINA SULFATO 2 SOLUCION GOTAS FRASCO 20 ML</t>
  </si>
  <si>
    <t>P240</t>
  </si>
  <si>
    <t xml:space="preserve">QUETIAPINA 25 MG CM </t>
  </si>
  <si>
    <t>S.P. SODIO CLORURO 0.9 AM 100 ML ENVASE VIAFLEX</t>
  </si>
  <si>
    <t>P328</t>
  </si>
  <si>
    <t>HEPARINA DE BAJO PESO MOLECULAR 5.000 UI DALTE 40 MG ENOXA JERINGA</t>
  </si>
  <si>
    <t>P164</t>
  </si>
  <si>
    <t xml:space="preserve">ACIDO ACETILSALICILICO 100 MG CM </t>
  </si>
  <si>
    <t>METADONA CLORHIDRATO CM O CP 10 MG. ENVASADO EN BLISTER</t>
  </si>
  <si>
    <t>P223</t>
  </si>
  <si>
    <t>Datos para grafico de pareto</t>
  </si>
  <si>
    <t>Stock de seguridad (5 días)</t>
  </si>
  <si>
    <t>Valor Consumo Anual 2024</t>
  </si>
  <si>
    <t>% de crecimiento o caída interanual</t>
  </si>
  <si>
    <t>DST 2024</t>
  </si>
  <si>
    <t>Precio Prom Pond</t>
  </si>
  <si>
    <t>Categoría</t>
  </si>
  <si>
    <t xml:space="preserve"> Cantidad productos (U) </t>
  </si>
  <si>
    <t xml:space="preserve">Porcentaje productos (%) </t>
  </si>
  <si>
    <t xml:space="preserve">Gasto promedio Anual ($) </t>
  </si>
  <si>
    <t>Porcentaje Gasto anual (%)</t>
  </si>
  <si>
    <t>Gasto anual acumulado ($)</t>
  </si>
  <si>
    <t xml:space="preserve"> Costo total acumulado (%)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</si>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</sst>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0.000"/>
    <numFmt numFmtId="165" formatCode="0.0"/>
    <numFmt numFmtId="166" formatCode="&quot;$&quot;#,##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1" xfId="0" applyFont="1" applyFill="1" applyBorder="1" applyAlignment="1">
      <alignment textRotation="90" wrapText="1"/>
    </xf>
    <xf numFmtId="0" fontId="2" fillId="3" borderId="2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6" borderId="2" xfId="0" applyFont="1" applyFill="1" applyBorder="1" applyAlignment="1">
      <alignment wrapText="1"/>
    </xf>
    <xf numFmtId="0" fontId="3" fillId="6" borderId="1" xfId="0" applyFont="1" applyFill="1" applyBorder="1"/>
    <xf numFmtId="42" fontId="3" fillId="6" borderId="1" xfId="1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1" fontId="2" fillId="2" borderId="1" xfId="0" applyNumberFormat="1" applyFont="1" applyFill="1" applyBorder="1" applyAlignment="1">
      <alignment wrapText="1"/>
    </xf>
    <xf numFmtId="9" fontId="2" fillId="2" borderId="1" xfId="2" applyFont="1" applyFill="1" applyBorder="1" applyAlignment="1">
      <alignment wrapText="1"/>
    </xf>
    <xf numFmtId="1" fontId="2" fillId="4" borderId="0" xfId="0" applyNumberFormat="1" applyFont="1" applyFill="1"/>
    <xf numFmtId="164" fontId="2" fillId="4" borderId="0" xfId="0" applyNumberFormat="1" applyFont="1" applyFill="1"/>
    <xf numFmtId="42" fontId="2" fillId="4" borderId="0" xfId="2" applyNumberFormat="1" applyFont="1" applyFill="1"/>
    <xf numFmtId="9" fontId="2" fillId="4" borderId="0" xfId="2" applyFont="1" applyFill="1"/>
    <xf numFmtId="0" fontId="2" fillId="5" borderId="0" xfId="2" applyNumberFormat="1" applyFont="1" applyFill="1"/>
    <xf numFmtId="165" fontId="2" fillId="5" borderId="0" xfId="2" applyNumberFormat="1" applyFont="1" applyFill="1"/>
    <xf numFmtId="2" fontId="2" fillId="5" borderId="0" xfId="2" applyNumberFormat="1" applyFont="1" applyFill="1"/>
    <xf numFmtId="1" fontId="2" fillId="5" borderId="0" xfId="2" applyNumberFormat="1" applyFont="1" applyFill="1"/>
    <xf numFmtId="1" fontId="2" fillId="0" borderId="0" xfId="2" applyNumberFormat="1" applyFont="1" applyFill="1"/>
    <xf numFmtId="0" fontId="3" fillId="3" borderId="4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42" fontId="2" fillId="0" borderId="0" xfId="1" applyFont="1"/>
    <xf numFmtId="0" fontId="2" fillId="2" borderId="0" xfId="0" applyFont="1" applyFill="1" applyAlignment="1">
      <alignment horizontal="justify" vertical="center"/>
    </xf>
    <xf numFmtId="0" fontId="4" fillId="0" borderId="0" xfId="0" applyFont="1"/>
    <xf numFmtId="0" fontId="4" fillId="2" borderId="0" xfId="0" applyFont="1" applyFill="1"/>
    <xf numFmtId="1" fontId="4" fillId="2" borderId="0" xfId="0" applyNumberFormat="1" applyFont="1" applyFill="1"/>
    <xf numFmtId="0" fontId="2" fillId="0" borderId="0" xfId="0" applyFont="1" applyAlignment="1">
      <alignment horizontal="justify" vertical="center"/>
    </xf>
    <xf numFmtId="42" fontId="2" fillId="3" borderId="4" xfId="1" applyFont="1" applyFill="1" applyBorder="1" applyAlignment="1">
      <alignment wrapText="1"/>
    </xf>
    <xf numFmtId="166" fontId="4" fillId="2" borderId="0" xfId="0" applyNumberFormat="1" applyFont="1" applyFill="1"/>
    <xf numFmtId="0" fontId="2" fillId="3" borderId="0" xfId="0" applyFont="1" applyFill="1" applyAlignment="1">
      <alignment wrapText="1"/>
    </xf>
    <xf numFmtId="0" fontId="2" fillId="3" borderId="4" xfId="0" applyFont="1" applyFill="1" applyBorder="1" applyAlignment="1">
      <alignment wrapText="1"/>
    </xf>
    <xf numFmtId="9" fontId="2" fillId="0" borderId="0" xfId="2" applyFont="1"/>
    <xf numFmtId="1" fontId="2" fillId="0" borderId="0" xfId="0" applyNumberFormat="1" applyFont="1"/>
    <xf numFmtId="9" fontId="2" fillId="5" borderId="0" xfId="2" applyFont="1" applyFill="1"/>
    <xf numFmtId="166" fontId="2" fillId="4" borderId="0" xfId="2" applyNumberFormat="1" applyFont="1" applyFill="1"/>
    <xf numFmtId="166" fontId="2" fillId="5" borderId="0" xfId="2" applyNumberFormat="1" applyFont="1" applyFill="1"/>
    <xf numFmtId="164" fontId="2" fillId="5" borderId="0" xfId="0" applyNumberFormat="1" applyFont="1" applyFill="1"/>
    <xf numFmtId="1" fontId="2" fillId="5" borderId="0" xfId="0" applyNumberFormat="1" applyFont="1" applyFill="1"/>
    <xf numFmtId="9" fontId="2" fillId="3" borderId="1" xfId="2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5" fillId="0" borderId="0" xfId="0" applyFont="1"/>
    <xf numFmtId="0" fontId="0" fillId="0" borderId="0" xfId="0" applyAlignment="1">
      <alignment wrapText="1"/>
    </xf>
    <xf numFmtId="0" fontId="0" fillId="0" borderId="5" xfId="0" applyBorder="1"/>
    <xf numFmtId="9" fontId="0" fillId="0" borderId="5" xfId="2" applyFont="1" applyBorder="1"/>
    <xf numFmtId="42" fontId="0" fillId="0" borderId="5" xfId="1" applyFont="1" applyBorder="1"/>
    <xf numFmtId="42" fontId="0" fillId="0" borderId="5" xfId="0" applyNumberFormat="1" applyBorder="1"/>
    <xf numFmtId="42" fontId="0" fillId="0" borderId="5" xfId="1" applyFont="1" applyBorder="1" applyAlignment="1">
      <alignment wrapText="1"/>
    </xf>
    <xf numFmtId="0" fontId="7" fillId="0" borderId="5" xfId="0" applyFont="1" applyBorder="1"/>
    <xf numFmtId="9" fontId="7" fillId="0" borderId="5" xfId="0" applyNumberFormat="1" applyFont="1" applyBorder="1"/>
    <xf numFmtId="42" fontId="7" fillId="0" borderId="5" xfId="0" applyNumberFormat="1" applyFont="1" applyBorder="1" applyAlignment="1">
      <alignment wrapText="1"/>
    </xf>
    <xf numFmtId="9" fontId="7" fillId="0" borderId="5" xfId="0" applyNumberFormat="1" applyFont="1" applyBorder="1" applyAlignment="1">
      <alignment wrapText="1"/>
    </xf>
    <xf numFmtId="0" fontId="7" fillId="0" borderId="0" xfId="0" applyFont="1"/>
    <xf numFmtId="9" fontId="7" fillId="0" borderId="0" xfId="0" applyNumberFormat="1" applyFont="1"/>
    <xf numFmtId="42" fontId="7" fillId="0" borderId="0" xfId="0" applyNumberFormat="1" applyFont="1" applyAlignment="1">
      <alignment wrapText="1"/>
    </xf>
    <xf numFmtId="9" fontId="7" fillId="0" borderId="0" xfId="0" applyNumberFormat="1" applyFont="1" applyAlignment="1">
      <alignment wrapText="1"/>
    </xf>
    <xf numFmtId="0" fontId="0" fillId="2" borderId="0" xfId="0" applyFill="1"/>
    <xf numFmtId="0" fontId="8" fillId="8" borderId="5" xfId="0" applyFont="1" applyFill="1" applyBorder="1" applyAlignment="1">
      <alignment horizontal="center"/>
    </xf>
    <xf numFmtId="0" fontId="0" fillId="8" borderId="5" xfId="0" applyFill="1" applyBorder="1"/>
    <xf numFmtId="0" fontId="8" fillId="8" borderId="5" xfId="0" applyFont="1" applyFill="1" applyBorder="1" applyAlignment="1">
      <alignment horizontal="center" wrapText="1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Gráfico de Pareto - Farmacia Central Consumo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'Clasif. ABC-XYZ FC 2023-2024'!$BH$5:$BH$27</c:f>
              <c:strCache>
                <c:ptCount val="20"/>
                <c:pt idx="1">
                  <c:v>QUETIAPINA 25 MG CM </c:v>
                </c:pt>
                <c:pt idx="3">
                  <c:v>OMEPRAZOL 20 MG CP</c:v>
                </c:pt>
                <c:pt idx="4">
                  <c:v>DOMPERIDONA 10 MG CM</c:v>
                </c:pt>
                <c:pt idx="7">
                  <c:v>PARACETAMOL 500 MG CM</c:v>
                </c:pt>
                <c:pt idx="10">
                  <c:v>PREGABALINA 150 MG CM </c:v>
                </c:pt>
                <c:pt idx="19">
                  <c:v>FERROVITAMINICO CP </c:v>
                </c:pt>
              </c:strCache>
            </c:strRef>
          </c:cat>
          <c:val>
            <c:numRef>
              <c:f>'Clasif. ABC-XYZ FC 2023-2024'!$BI$5:$BI$27</c:f>
              <c:numCache>
                <c:formatCode>0</c:formatCode>
                <c:ptCount val="23"/>
                <c:pt idx="1">
                  <c:v>19323.141025641027</c:v>
                </c:pt>
                <c:pt idx="3">
                  <c:v>42037.60256410257</c:v>
                </c:pt>
                <c:pt idx="4">
                  <c:v>2013.9423076923076</c:v>
                </c:pt>
                <c:pt idx="7">
                  <c:v>201201.66025641022</c:v>
                </c:pt>
                <c:pt idx="10">
                  <c:v>50653.096153846156</c:v>
                </c:pt>
                <c:pt idx="19">
                  <c:v>8329.4294871794882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F-4A5B-B45C-828650738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08991"/>
        <c:axId val="8352003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'Clasif. ABC-XYZ FC 2023-2024'!$BH$5:$BH$27</c:f>
              <c:strCache>
                <c:ptCount val="20"/>
                <c:pt idx="1">
                  <c:v>QUETIAPINA 25 MG CM </c:v>
                </c:pt>
                <c:pt idx="3">
                  <c:v>OMEPRAZOL 20 MG CP</c:v>
                </c:pt>
                <c:pt idx="4">
                  <c:v>DOMPERIDONA 10 MG CM</c:v>
                </c:pt>
                <c:pt idx="7">
                  <c:v>PARACETAMOL 500 MG CM</c:v>
                </c:pt>
                <c:pt idx="10">
                  <c:v>PREGABALINA 150 MG CM </c:v>
                </c:pt>
                <c:pt idx="19">
                  <c:v>FERROVITAMINICO CP </c:v>
                </c:pt>
              </c:strCache>
            </c:strRef>
          </c:cat>
          <c:val>
            <c:numRef>
              <c:f>'Clasif. ABC-XYZ FC 2023-2024'!$BJ$5:$BJ$27</c:f>
              <c:numCache>
                <c:formatCode>General</c:formatCode>
                <c:ptCount val="23"/>
                <c:pt idx="1">
                  <c:v>3.3510047840472137E-3</c:v>
                </c:pt>
                <c:pt idx="3">
                  <c:v>7.3225873308848234E-4</c:v>
                </c:pt>
                <c:pt idx="4">
                  <c:v>4.8788465117334024E-4</c:v>
                </c:pt>
                <c:pt idx="7">
                  <c:v>0.21307286939112349</c:v>
                </c:pt>
                <c:pt idx="10">
                  <c:v>0</c:v>
                </c:pt>
                <c:pt idx="19">
                  <c:v>2.0148628662025853E-5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2F-4A5B-B45C-828650738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519551"/>
        <c:axId val="83517151"/>
      </c:lineChart>
      <c:catAx>
        <c:axId val="83508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Medicamentos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520031"/>
        <c:crosses val="autoZero"/>
        <c:auto val="1"/>
        <c:lblAlgn val="ctr"/>
        <c:lblOffset val="100"/>
        <c:noMultiLvlLbl val="0"/>
      </c:catAx>
      <c:valAx>
        <c:axId val="8352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Consumo total (unidades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508991"/>
        <c:crosses val="autoZero"/>
        <c:crossBetween val="between"/>
      </c:valAx>
      <c:valAx>
        <c:axId val="8351715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Acumulado del consumo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3519551"/>
        <c:crosses val="max"/>
        <c:crossBetween val="between"/>
      </c:valAx>
      <c:catAx>
        <c:axId val="83519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5171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466725</xdr:colOff>
      <xdr:row>3</xdr:row>
      <xdr:rowOff>206375</xdr:rowOff>
    </xdr:from>
    <xdr:to>
      <xdr:col>68</xdr:col>
      <xdr:colOff>466725</xdr:colOff>
      <xdr:row>17</xdr:row>
      <xdr:rowOff>117475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D1AB4B-7291-48E4-AF35-05613669C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6596-1E84-4F19-810E-457D528EA18A}">
  <dimension ref="A1:BB123"/>
  <sheetViews>
    <sheetView showGridLines="0" tabSelected="1" zoomScale="70" zoomScaleNormal="70" workbookViewId="0">
      <pane xSplit="6" ySplit="3" topLeftCell="T4" activePane="bottomRight" state="frozen"/>
      <selection pane="topRight" activeCell="G1" sqref="G1"/>
      <selection pane="bottomLeft" activeCell="A4" sqref="A4"/>
      <selection pane="bottomRight" activeCell="AQ4" sqref="AQ4"/>
    </sheetView>
  </sheetViews>
  <sheetFormatPr baseColWidth="10" defaultRowHeight="14.5" x14ac:dyDescent="0.35"/>
  <cols>
    <col min="1" max="1" width="4.54296875" style="1" bestFit="1" customWidth="1"/>
    <col min="2" max="2" width="7.7265625" style="1" customWidth="1"/>
    <col min="3" max="3" width="33.7265625" style="1" customWidth="1"/>
    <col min="4" max="4" width="3.7265625" style="1" bestFit="1" customWidth="1"/>
    <col min="5" max="5" width="9.7265625" style="1" hidden="1" customWidth="1"/>
    <col min="6" max="6" width="4.453125" style="1" hidden="1" customWidth="1"/>
    <col min="7" max="7" width="4.81640625" customWidth="1"/>
    <col min="8" max="8" width="6" customWidth="1"/>
    <col min="9" max="9" width="6.81640625" customWidth="1"/>
    <col min="10" max="13" width="4.81640625" customWidth="1"/>
    <col min="14" max="14" width="5.453125" customWidth="1"/>
    <col min="15" max="15" width="8.453125" customWidth="1"/>
    <col min="16" max="16" width="6.1796875" customWidth="1"/>
    <col min="17" max="17" width="8.1796875" customWidth="1"/>
    <col min="18" max="18" width="7.54296875" customWidth="1"/>
    <col min="19" max="29" width="5.36328125" style="1" customWidth="1"/>
    <col min="30" max="30" width="6" style="1" customWidth="1"/>
    <col min="31" max="32" width="7.36328125" style="1" hidden="1" customWidth="1"/>
    <col min="33" max="33" width="7.36328125" style="3" hidden="1" customWidth="1"/>
    <col min="34" max="34" width="7.6328125" style="3" hidden="1" customWidth="1"/>
    <col min="35" max="36" width="7.90625" style="3" hidden="1" customWidth="1"/>
    <col min="37" max="37" width="8" style="3" hidden="1" customWidth="1"/>
    <col min="38" max="38" width="9.1796875" style="1" hidden="1" customWidth="1"/>
    <col min="39" max="39" width="10.90625" style="1"/>
    <col min="40" max="40" width="13.7265625" style="1" customWidth="1"/>
    <col min="41" max="42" width="12.6328125" style="1" customWidth="1"/>
    <col min="43" max="45" width="10.1796875" style="1" customWidth="1"/>
    <col min="46" max="46" width="10.08984375" style="1" bestFit="1" customWidth="1"/>
    <col min="47" max="47" width="8.26953125" style="1" bestFit="1" customWidth="1"/>
    <col min="48" max="49" width="10.90625" style="1"/>
    <col min="50" max="55" width="10.81640625" style="1" customWidth="1"/>
    <col min="56" max="56" width="10.90625" style="1"/>
    <col min="57" max="58" width="7.54296875" style="1" customWidth="1"/>
    <col min="59" max="16384" width="10.90625" style="1"/>
  </cols>
  <sheetData>
    <row r="1" spans="1:54" x14ac:dyDescent="0.35">
      <c r="B1" s="2" t="s">
        <v>0</v>
      </c>
    </row>
    <row r="3" spans="1:54" ht="48" x14ac:dyDescent="0.3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15</v>
      </c>
      <c r="AB3" s="6" t="s">
        <v>16</v>
      </c>
      <c r="AC3" s="6" t="s">
        <v>17</v>
      </c>
      <c r="AD3" s="6" t="s">
        <v>18</v>
      </c>
      <c r="AE3" s="7" t="s">
        <v>19</v>
      </c>
      <c r="AF3" s="7" t="s">
        <v>20</v>
      </c>
      <c r="AG3" s="8" t="s">
        <v>21</v>
      </c>
      <c r="AH3" s="8" t="s">
        <v>22</v>
      </c>
      <c r="AI3" s="8" t="s">
        <v>23</v>
      </c>
      <c r="AJ3" s="8" t="s">
        <v>24</v>
      </c>
      <c r="AK3" s="8" t="s">
        <v>25</v>
      </c>
      <c r="AL3" s="9" t="s">
        <v>26</v>
      </c>
      <c r="AM3" s="9" t="s">
        <v>27</v>
      </c>
      <c r="AN3" s="9" t="s">
        <v>28</v>
      </c>
      <c r="AO3" s="9" t="s">
        <v>29</v>
      </c>
      <c r="AP3" s="9" t="s">
        <v>30</v>
      </c>
      <c r="AQ3" s="9" t="s">
        <v>31</v>
      </c>
      <c r="AR3" s="9" t="s">
        <v>32</v>
      </c>
      <c r="AS3" s="9" t="s">
        <v>33</v>
      </c>
      <c r="AT3" s="10" t="s">
        <v>34</v>
      </c>
      <c r="AU3" s="10" t="s">
        <v>35</v>
      </c>
      <c r="AV3" s="10" t="s">
        <v>36</v>
      </c>
      <c r="AW3" s="10" t="s">
        <v>37</v>
      </c>
      <c r="AX3" s="10" t="s">
        <v>38</v>
      </c>
      <c r="AY3" s="10" t="s">
        <v>39</v>
      </c>
      <c r="AZ3" s="10" t="s">
        <v>40</v>
      </c>
      <c r="BA3" s="10" t="s">
        <v>41</v>
      </c>
      <c r="BB3" s="11" t="s">
        <v>42</v>
      </c>
    </row>
    <row r="4" spans="1:54" ht="12" x14ac:dyDescent="0.3">
      <c r="A4" s="12" t="s">
        <v>156</v>
      </c>
      <c r="B4" s="12">
        <v>101076</v>
      </c>
      <c r="C4" s="13" t="s">
        <v>48</v>
      </c>
      <c r="D4" s="13" t="s">
        <v>47</v>
      </c>
      <c r="E4" s="14">
        <v>1628998</v>
      </c>
      <c r="F4" s="15" t="s">
        <v>45</v>
      </c>
      <c r="G4" s="6">
        <v>17</v>
      </c>
      <c r="H4" s="6">
        <v>16</v>
      </c>
      <c r="I4" s="6">
        <v>27</v>
      </c>
      <c r="J4" s="6">
        <v>14</v>
      </c>
      <c r="K4" s="6">
        <v>21</v>
      </c>
      <c r="L4" s="6">
        <v>20</v>
      </c>
      <c r="M4" s="6">
        <v>18</v>
      </c>
      <c r="N4" s="6">
        <v>29</v>
      </c>
      <c r="O4" s="6">
        <v>20</v>
      </c>
      <c r="P4" s="6">
        <v>23</v>
      </c>
      <c r="Q4" s="6">
        <v>22</v>
      </c>
      <c r="R4" s="6">
        <v>22</v>
      </c>
      <c r="S4" s="6">
        <v>24</v>
      </c>
      <c r="T4" s="6">
        <v>20</v>
      </c>
      <c r="U4" s="6">
        <v>20</v>
      </c>
      <c r="V4" s="6">
        <v>21</v>
      </c>
      <c r="W4" s="6">
        <v>26</v>
      </c>
      <c r="X4" s="6">
        <v>17</v>
      </c>
      <c r="Y4" s="6">
        <v>30</v>
      </c>
      <c r="Z4" s="6">
        <v>28</v>
      </c>
      <c r="AA4" s="6">
        <v>23</v>
      </c>
      <c r="AB4" s="6">
        <v>25</v>
      </c>
      <c r="AC4" s="6">
        <v>20</v>
      </c>
      <c r="AD4" s="6">
        <v>24</v>
      </c>
      <c r="AE4" s="6">
        <v>249</v>
      </c>
      <c r="AF4" s="6">
        <v>278</v>
      </c>
      <c r="AG4" s="16">
        <v>527</v>
      </c>
      <c r="AH4" s="17">
        <v>20.75</v>
      </c>
      <c r="AI4" s="17">
        <v>23.166666666666668</v>
      </c>
      <c r="AJ4" s="17">
        <v>21.958333333333332</v>
      </c>
      <c r="AK4" s="18">
        <v>3.5482129387244044E-4</v>
      </c>
      <c r="AL4" s="19">
        <v>4.1544022399154512</v>
      </c>
      <c r="AM4" s="20">
        <v>0.18919478891455566</v>
      </c>
      <c r="AN4" s="21">
        <v>858481946</v>
      </c>
      <c r="AO4" s="22">
        <v>7.9353604697141811E-2</v>
      </c>
      <c r="AP4" s="22">
        <v>0.41640497166184914</v>
      </c>
      <c r="AQ4" s="22" t="s">
        <v>151</v>
      </c>
      <c r="AR4" s="22" t="s">
        <v>157</v>
      </c>
      <c r="AS4" s="22" t="s">
        <v>158</v>
      </c>
      <c r="AT4" s="23">
        <v>60</v>
      </c>
      <c r="AU4" s="24">
        <v>2.5899280575539567</v>
      </c>
      <c r="AV4" s="24">
        <v>33</v>
      </c>
      <c r="AW4" s="24">
        <v>22</v>
      </c>
      <c r="AX4" s="1" t="s">
        <v>154</v>
      </c>
      <c r="AY4" s="25">
        <v>0.77222222222222225</v>
      </c>
      <c r="AZ4" s="23">
        <v>30</v>
      </c>
      <c r="BA4" s="26">
        <v>23.166666666666668</v>
      </c>
      <c r="BB4" s="27">
        <v>46.333333333333336</v>
      </c>
    </row>
    <row r="5" spans="1:54" ht="12" x14ac:dyDescent="0.3">
      <c r="A5" s="12" t="s">
        <v>162</v>
      </c>
      <c r="B5" s="12">
        <v>209167</v>
      </c>
      <c r="C5" s="13" t="s">
        <v>52</v>
      </c>
      <c r="D5" s="13" t="s">
        <v>53</v>
      </c>
      <c r="E5" s="14">
        <v>23903</v>
      </c>
      <c r="F5" s="15" t="s">
        <v>45</v>
      </c>
      <c r="G5" s="6">
        <v>240</v>
      </c>
      <c r="H5" s="6">
        <v>510</v>
      </c>
      <c r="I5" s="6">
        <v>510</v>
      </c>
      <c r="J5" s="6">
        <v>630</v>
      </c>
      <c r="K5" s="6">
        <v>600</v>
      </c>
      <c r="L5" s="6">
        <v>600</v>
      </c>
      <c r="M5" s="6">
        <v>600</v>
      </c>
      <c r="N5" s="6">
        <v>540</v>
      </c>
      <c r="O5" s="6">
        <v>450</v>
      </c>
      <c r="P5" s="6">
        <v>540</v>
      </c>
      <c r="Q5" s="6">
        <v>750</v>
      </c>
      <c r="R5" s="6">
        <v>570</v>
      </c>
      <c r="S5" s="6">
        <v>510</v>
      </c>
      <c r="T5" s="6">
        <v>690</v>
      </c>
      <c r="U5" s="6">
        <v>510</v>
      </c>
      <c r="V5" s="6">
        <v>660</v>
      </c>
      <c r="W5" s="6">
        <v>690</v>
      </c>
      <c r="X5" s="6">
        <v>570</v>
      </c>
      <c r="Y5" s="6">
        <v>630</v>
      </c>
      <c r="Z5" s="6">
        <v>540</v>
      </c>
      <c r="AA5" s="6">
        <v>600</v>
      </c>
      <c r="AB5" s="6">
        <v>660</v>
      </c>
      <c r="AC5" s="6">
        <v>660</v>
      </c>
      <c r="AD5" s="6">
        <v>510</v>
      </c>
      <c r="AE5" s="6">
        <v>6540</v>
      </c>
      <c r="AF5" s="6">
        <v>7230</v>
      </c>
      <c r="AG5" s="16">
        <v>13770</v>
      </c>
      <c r="AH5" s="17">
        <v>545</v>
      </c>
      <c r="AI5" s="17">
        <v>602.5</v>
      </c>
      <c r="AJ5" s="17">
        <v>573.75</v>
      </c>
      <c r="AK5" s="18">
        <v>9.2279063118623911E-3</v>
      </c>
      <c r="AL5" s="19">
        <v>102.14280284931016</v>
      </c>
      <c r="AM5" s="20">
        <v>0.1780266716327846</v>
      </c>
      <c r="AN5" s="21">
        <v>329144310</v>
      </c>
      <c r="AO5" s="22">
        <v>3.0424387589920849E-2</v>
      </c>
      <c r="AP5" s="22">
        <v>0.56469463612216497</v>
      </c>
      <c r="AQ5" s="22" t="s">
        <v>151</v>
      </c>
      <c r="AR5" s="22" t="s">
        <v>157</v>
      </c>
      <c r="AS5" s="22" t="s">
        <v>158</v>
      </c>
      <c r="AT5" s="23">
        <v>1026</v>
      </c>
      <c r="AU5" s="24">
        <v>1.7029045643153526</v>
      </c>
      <c r="AV5" s="24">
        <v>1100</v>
      </c>
      <c r="AW5" s="24">
        <v>672</v>
      </c>
      <c r="AX5" s="1" t="s">
        <v>154</v>
      </c>
      <c r="AY5" s="25">
        <v>20.083333333333332</v>
      </c>
      <c r="AZ5" s="23">
        <v>30</v>
      </c>
      <c r="BA5" s="26">
        <v>602.5</v>
      </c>
      <c r="BB5" s="27">
        <v>1205</v>
      </c>
    </row>
    <row r="6" spans="1:54" ht="12" x14ac:dyDescent="0.3">
      <c r="A6" s="12" t="s">
        <v>163</v>
      </c>
      <c r="B6" s="12">
        <v>209039</v>
      </c>
      <c r="C6" s="13" t="s">
        <v>54</v>
      </c>
      <c r="D6" s="13" t="s">
        <v>55</v>
      </c>
      <c r="E6" s="14">
        <v>34773</v>
      </c>
      <c r="F6" s="15" t="s">
        <v>45</v>
      </c>
      <c r="G6" s="6">
        <v>344</v>
      </c>
      <c r="H6" s="6">
        <v>321</v>
      </c>
      <c r="I6" s="6">
        <v>410</v>
      </c>
      <c r="J6" s="6">
        <v>330</v>
      </c>
      <c r="K6" s="6">
        <v>433</v>
      </c>
      <c r="L6" s="6">
        <v>378</v>
      </c>
      <c r="M6" s="6">
        <v>361</v>
      </c>
      <c r="N6" s="6">
        <v>483</v>
      </c>
      <c r="O6" s="6">
        <v>468</v>
      </c>
      <c r="P6" s="6">
        <v>398</v>
      </c>
      <c r="Q6" s="6">
        <v>373</v>
      </c>
      <c r="R6" s="6">
        <v>316</v>
      </c>
      <c r="S6" s="6">
        <v>371</v>
      </c>
      <c r="T6" s="6">
        <v>330</v>
      </c>
      <c r="U6" s="6">
        <v>434</v>
      </c>
      <c r="V6" s="6">
        <v>367</v>
      </c>
      <c r="W6" s="6">
        <v>325</v>
      </c>
      <c r="X6" s="6">
        <v>357</v>
      </c>
      <c r="Y6" s="6">
        <v>487</v>
      </c>
      <c r="Z6" s="6">
        <v>457</v>
      </c>
      <c r="AA6" s="6">
        <v>346</v>
      </c>
      <c r="AB6" s="6">
        <v>405</v>
      </c>
      <c r="AC6" s="6">
        <v>340</v>
      </c>
      <c r="AD6" s="6">
        <v>401</v>
      </c>
      <c r="AE6" s="6">
        <v>4615</v>
      </c>
      <c r="AF6" s="6">
        <v>4620</v>
      </c>
      <c r="AG6" s="16">
        <v>9235</v>
      </c>
      <c r="AH6" s="17">
        <v>384.58333333333331</v>
      </c>
      <c r="AI6" s="17">
        <v>385</v>
      </c>
      <c r="AJ6" s="17">
        <v>384.79166666666669</v>
      </c>
      <c r="AK6" s="18">
        <v>5.8966704233477515E-3</v>
      </c>
      <c r="AL6" s="19">
        <v>52.767726604568622</v>
      </c>
      <c r="AM6" s="20">
        <v>0.13713323643851075</v>
      </c>
      <c r="AN6" s="21">
        <v>321128655</v>
      </c>
      <c r="AO6" s="22">
        <v>2.9683462144461725E-2</v>
      </c>
      <c r="AP6" s="22">
        <v>0.59437809826662669</v>
      </c>
      <c r="AQ6" s="22" t="s">
        <v>151</v>
      </c>
      <c r="AR6" s="22" t="s">
        <v>157</v>
      </c>
      <c r="AS6" s="22" t="s">
        <v>158</v>
      </c>
      <c r="AT6" s="23">
        <v>589</v>
      </c>
      <c r="AU6" s="24">
        <v>1.5298701298701298</v>
      </c>
      <c r="AV6" s="24">
        <v>600</v>
      </c>
      <c r="AW6" s="24">
        <v>420</v>
      </c>
      <c r="AX6" s="1" t="s">
        <v>154</v>
      </c>
      <c r="AY6" s="25">
        <v>12.833333333333334</v>
      </c>
      <c r="AZ6" s="23">
        <v>30</v>
      </c>
      <c r="BA6" s="26">
        <v>385</v>
      </c>
      <c r="BB6" s="27">
        <v>770</v>
      </c>
    </row>
    <row r="7" spans="1:54" ht="12" x14ac:dyDescent="0.3">
      <c r="A7" s="12" t="s">
        <v>164</v>
      </c>
      <c r="B7" s="12">
        <v>422001</v>
      </c>
      <c r="C7" s="13" t="s">
        <v>56</v>
      </c>
      <c r="D7" s="13" t="s">
        <v>55</v>
      </c>
      <c r="E7" s="14">
        <v>392700</v>
      </c>
      <c r="F7" s="15" t="s">
        <v>45</v>
      </c>
      <c r="G7" s="6">
        <v>36</v>
      </c>
      <c r="H7" s="6">
        <v>32</v>
      </c>
      <c r="I7" s="6">
        <v>25</v>
      </c>
      <c r="J7" s="6">
        <v>27</v>
      </c>
      <c r="K7" s="6">
        <v>25</v>
      </c>
      <c r="L7" s="6">
        <v>28</v>
      </c>
      <c r="M7" s="6">
        <v>41</v>
      </c>
      <c r="N7" s="6">
        <v>39</v>
      </c>
      <c r="O7" s="6">
        <v>26</v>
      </c>
      <c r="P7" s="6">
        <v>26</v>
      </c>
      <c r="Q7" s="6">
        <v>32</v>
      </c>
      <c r="R7" s="6">
        <v>30</v>
      </c>
      <c r="S7" s="6">
        <v>47</v>
      </c>
      <c r="T7" s="6">
        <v>37</v>
      </c>
      <c r="U7" s="6">
        <v>40</v>
      </c>
      <c r="V7" s="6">
        <v>40</v>
      </c>
      <c r="W7" s="6">
        <v>43</v>
      </c>
      <c r="X7" s="6">
        <v>30</v>
      </c>
      <c r="Y7" s="6">
        <v>48</v>
      </c>
      <c r="Z7" s="6">
        <v>38</v>
      </c>
      <c r="AA7" s="6">
        <v>30</v>
      </c>
      <c r="AB7" s="6">
        <v>30</v>
      </c>
      <c r="AC7" s="6">
        <v>33</v>
      </c>
      <c r="AD7" s="6">
        <v>30</v>
      </c>
      <c r="AE7" s="6">
        <v>367</v>
      </c>
      <c r="AF7" s="6">
        <v>446</v>
      </c>
      <c r="AG7" s="16">
        <v>813</v>
      </c>
      <c r="AH7" s="17">
        <v>30.583333333333332</v>
      </c>
      <c r="AI7" s="17">
        <v>37.166666666666664</v>
      </c>
      <c r="AJ7" s="17">
        <v>33.875</v>
      </c>
      <c r="AK7" s="18">
        <v>5.6924567290326784E-4</v>
      </c>
      <c r="AL7" s="19">
        <v>6.8671397754561667</v>
      </c>
      <c r="AM7" s="20">
        <v>0.20271999337139976</v>
      </c>
      <c r="AN7" s="21">
        <v>319265100</v>
      </c>
      <c r="AO7" s="22">
        <v>2.9511204815707855E-2</v>
      </c>
      <c r="AP7" s="22">
        <v>0.62388930308233459</v>
      </c>
      <c r="AQ7" s="22" t="s">
        <v>151</v>
      </c>
      <c r="AR7" s="22" t="s">
        <v>157</v>
      </c>
      <c r="AS7" s="22" t="s">
        <v>158</v>
      </c>
      <c r="AT7" s="23">
        <v>351</v>
      </c>
      <c r="AU7" s="24">
        <v>9.4439461883408082</v>
      </c>
      <c r="AV7" s="24">
        <v>60</v>
      </c>
      <c r="AW7" s="24">
        <v>35</v>
      </c>
      <c r="AX7" s="1" t="s">
        <v>154</v>
      </c>
      <c r="AY7" s="25">
        <v>1.2388888888888887</v>
      </c>
      <c r="AZ7" s="23">
        <v>30</v>
      </c>
      <c r="BA7" s="26">
        <v>37.166666666666664</v>
      </c>
      <c r="BB7" s="27">
        <v>74.333333333333329</v>
      </c>
    </row>
    <row r="8" spans="1:54" ht="12" x14ac:dyDescent="0.3">
      <c r="A8" s="12" t="s">
        <v>168</v>
      </c>
      <c r="B8" s="12">
        <v>101034</v>
      </c>
      <c r="C8" s="13" t="s">
        <v>58</v>
      </c>
      <c r="D8" s="13" t="s">
        <v>53</v>
      </c>
      <c r="E8" s="14">
        <v>17472</v>
      </c>
      <c r="F8" s="15" t="s">
        <v>45</v>
      </c>
      <c r="G8" s="6">
        <v>600</v>
      </c>
      <c r="H8" s="6">
        <v>630</v>
      </c>
      <c r="I8" s="6">
        <v>600</v>
      </c>
      <c r="J8" s="6">
        <v>600</v>
      </c>
      <c r="K8" s="6">
        <v>660</v>
      </c>
      <c r="L8" s="6">
        <v>630</v>
      </c>
      <c r="M8" s="6">
        <v>540</v>
      </c>
      <c r="N8" s="6">
        <v>600</v>
      </c>
      <c r="O8" s="6">
        <v>480</v>
      </c>
      <c r="P8" s="6">
        <v>660</v>
      </c>
      <c r="Q8" s="6">
        <v>660</v>
      </c>
      <c r="R8" s="6">
        <v>630</v>
      </c>
      <c r="S8" s="6">
        <v>690</v>
      </c>
      <c r="T8" s="6">
        <v>510</v>
      </c>
      <c r="U8" s="6">
        <v>690</v>
      </c>
      <c r="V8" s="6">
        <v>570</v>
      </c>
      <c r="W8" s="6">
        <v>660</v>
      </c>
      <c r="X8" s="6">
        <v>600</v>
      </c>
      <c r="Y8" s="6">
        <v>540</v>
      </c>
      <c r="Z8" s="6">
        <v>570</v>
      </c>
      <c r="AA8" s="6">
        <v>570</v>
      </c>
      <c r="AB8" s="6">
        <v>570</v>
      </c>
      <c r="AC8" s="6">
        <v>570</v>
      </c>
      <c r="AD8" s="6">
        <v>540</v>
      </c>
      <c r="AE8" s="6">
        <v>7290</v>
      </c>
      <c r="AF8" s="6">
        <v>7080</v>
      </c>
      <c r="AG8" s="16">
        <v>14370</v>
      </c>
      <c r="AH8" s="17">
        <v>607.5</v>
      </c>
      <c r="AI8" s="17">
        <v>590</v>
      </c>
      <c r="AJ8" s="17">
        <v>598.75</v>
      </c>
      <c r="AK8" s="18">
        <v>9.0364559734420098E-3</v>
      </c>
      <c r="AL8" s="19">
        <v>55.584835279449003</v>
      </c>
      <c r="AM8" s="20">
        <v>9.2834797961501472E-2</v>
      </c>
      <c r="AN8" s="21">
        <v>251072640</v>
      </c>
      <c r="AO8" s="22">
        <v>2.3207848595604357E-2</v>
      </c>
      <c r="AP8" s="22">
        <v>0.6720730473218065</v>
      </c>
      <c r="AQ8" s="22" t="s">
        <v>151</v>
      </c>
      <c r="AR8" s="22" t="s">
        <v>157</v>
      </c>
      <c r="AS8" s="22" t="s">
        <v>158</v>
      </c>
      <c r="AT8" s="23">
        <v>1080</v>
      </c>
      <c r="AU8" s="24">
        <v>1.8305084745762712</v>
      </c>
      <c r="AV8" s="24">
        <v>1200</v>
      </c>
      <c r="AW8" s="24">
        <v>600</v>
      </c>
      <c r="AX8" s="1" t="s">
        <v>154</v>
      </c>
      <c r="AY8" s="25">
        <v>19.666666666666668</v>
      </c>
      <c r="AZ8" s="23">
        <v>30</v>
      </c>
      <c r="BA8" s="26">
        <v>590</v>
      </c>
      <c r="BB8" s="27">
        <v>1180</v>
      </c>
    </row>
    <row r="9" spans="1:54" ht="12" x14ac:dyDescent="0.3">
      <c r="A9" s="12" t="s">
        <v>173</v>
      </c>
      <c r="B9" s="12">
        <v>102048</v>
      </c>
      <c r="C9" s="13" t="s">
        <v>65</v>
      </c>
      <c r="D9" s="13" t="s">
        <v>53</v>
      </c>
      <c r="E9" s="14">
        <v>5973</v>
      </c>
      <c r="F9" s="15" t="s">
        <v>45</v>
      </c>
      <c r="G9" s="6">
        <v>750</v>
      </c>
      <c r="H9" s="6">
        <v>840</v>
      </c>
      <c r="I9" s="6">
        <v>1020</v>
      </c>
      <c r="J9" s="6">
        <v>900</v>
      </c>
      <c r="K9" s="6">
        <v>1050</v>
      </c>
      <c r="L9" s="6">
        <v>870</v>
      </c>
      <c r="M9" s="6">
        <v>1020</v>
      </c>
      <c r="N9" s="6">
        <v>1170</v>
      </c>
      <c r="O9" s="6">
        <v>1140</v>
      </c>
      <c r="P9" s="6">
        <v>810</v>
      </c>
      <c r="Q9" s="6">
        <v>1140</v>
      </c>
      <c r="R9" s="6">
        <v>1110</v>
      </c>
      <c r="S9" s="6">
        <v>960</v>
      </c>
      <c r="T9" s="6">
        <v>750</v>
      </c>
      <c r="U9" s="6">
        <v>810</v>
      </c>
      <c r="V9" s="6">
        <v>900</v>
      </c>
      <c r="W9" s="6">
        <v>810</v>
      </c>
      <c r="X9" s="6">
        <v>780</v>
      </c>
      <c r="Y9" s="6">
        <v>840</v>
      </c>
      <c r="Z9" s="6">
        <v>960</v>
      </c>
      <c r="AA9" s="6">
        <v>1020</v>
      </c>
      <c r="AB9" s="6">
        <v>1230</v>
      </c>
      <c r="AC9" s="6">
        <v>1140</v>
      </c>
      <c r="AD9" s="6">
        <v>1290</v>
      </c>
      <c r="AE9" s="6">
        <v>11820</v>
      </c>
      <c r="AF9" s="6">
        <v>11490</v>
      </c>
      <c r="AG9" s="16">
        <v>23310</v>
      </c>
      <c r="AH9" s="17">
        <v>985</v>
      </c>
      <c r="AI9" s="17">
        <v>957.5</v>
      </c>
      <c r="AJ9" s="17">
        <v>971.25</v>
      </c>
      <c r="AK9" s="18">
        <v>1.4665095923001227E-2</v>
      </c>
      <c r="AL9" s="19">
        <v>160.65930736648363</v>
      </c>
      <c r="AM9" s="20">
        <v>0.16541498827951984</v>
      </c>
      <c r="AN9" s="21">
        <v>139230630</v>
      </c>
      <c r="AO9" s="22">
        <v>1.2869755067340711E-2</v>
      </c>
      <c r="AP9" s="22">
        <v>0.75573017437359202</v>
      </c>
      <c r="AQ9" s="22" t="s">
        <v>151</v>
      </c>
      <c r="AR9" s="22" t="s">
        <v>157</v>
      </c>
      <c r="AS9" s="22" t="s">
        <v>158</v>
      </c>
      <c r="AT9" s="23">
        <v>2220</v>
      </c>
      <c r="AU9" s="24">
        <v>2.3185378590078329</v>
      </c>
      <c r="AV9" s="24">
        <v>2100</v>
      </c>
      <c r="AW9" s="24">
        <v>930</v>
      </c>
      <c r="AX9" s="1" t="s">
        <v>154</v>
      </c>
      <c r="AY9" s="25">
        <v>31.916666666666668</v>
      </c>
      <c r="AZ9" s="23">
        <v>30</v>
      </c>
      <c r="BA9" s="26">
        <v>957.5</v>
      </c>
      <c r="BB9" s="27">
        <v>1915</v>
      </c>
    </row>
    <row r="10" spans="1:54" ht="12" x14ac:dyDescent="0.3">
      <c r="A10" s="12" t="s">
        <v>174</v>
      </c>
      <c r="B10" s="12">
        <v>209148</v>
      </c>
      <c r="C10" s="13" t="s">
        <v>66</v>
      </c>
      <c r="D10" s="13" t="s">
        <v>47</v>
      </c>
      <c r="E10" s="14">
        <v>89726</v>
      </c>
      <c r="F10" s="15" t="s">
        <v>45</v>
      </c>
      <c r="G10" s="6">
        <v>43</v>
      </c>
      <c r="H10" s="6">
        <v>63</v>
      </c>
      <c r="I10" s="6">
        <v>69</v>
      </c>
      <c r="J10" s="6">
        <v>46</v>
      </c>
      <c r="K10" s="6">
        <v>73</v>
      </c>
      <c r="L10" s="6">
        <v>72</v>
      </c>
      <c r="M10" s="6">
        <v>47</v>
      </c>
      <c r="N10" s="6">
        <v>65</v>
      </c>
      <c r="O10" s="6">
        <v>68</v>
      </c>
      <c r="P10" s="6">
        <v>48</v>
      </c>
      <c r="Q10" s="6">
        <v>72</v>
      </c>
      <c r="R10" s="6">
        <v>71</v>
      </c>
      <c r="S10" s="6">
        <v>45</v>
      </c>
      <c r="T10" s="6">
        <v>66</v>
      </c>
      <c r="U10" s="6">
        <v>66</v>
      </c>
      <c r="V10" s="6">
        <v>45</v>
      </c>
      <c r="W10" s="6">
        <v>74</v>
      </c>
      <c r="X10" s="6">
        <v>71</v>
      </c>
      <c r="Y10" s="6">
        <v>56</v>
      </c>
      <c r="Z10" s="6">
        <v>79</v>
      </c>
      <c r="AA10" s="6">
        <v>59</v>
      </c>
      <c r="AB10" s="6">
        <v>56</v>
      </c>
      <c r="AC10" s="6">
        <v>58</v>
      </c>
      <c r="AD10" s="6">
        <v>67</v>
      </c>
      <c r="AE10" s="6">
        <v>737</v>
      </c>
      <c r="AF10" s="6">
        <v>742</v>
      </c>
      <c r="AG10" s="16">
        <v>1479</v>
      </c>
      <c r="AH10" s="17">
        <v>61.416666666666664</v>
      </c>
      <c r="AI10" s="17">
        <v>61.833333333333336</v>
      </c>
      <c r="AJ10" s="17">
        <v>61.625</v>
      </c>
      <c r="AK10" s="18">
        <v>9.4704100738615411E-4</v>
      </c>
      <c r="AL10" s="19">
        <v>10.989372336390559</v>
      </c>
      <c r="AM10" s="20">
        <v>0.17832652878524236</v>
      </c>
      <c r="AN10" s="21">
        <v>132704754</v>
      </c>
      <c r="AO10" s="22">
        <v>1.2266537041825513E-2</v>
      </c>
      <c r="AP10" s="22">
        <v>0.76799671141541759</v>
      </c>
      <c r="AQ10" s="22" t="s">
        <v>151</v>
      </c>
      <c r="AR10" s="22" t="s">
        <v>157</v>
      </c>
      <c r="AS10" s="22" t="s">
        <v>158</v>
      </c>
      <c r="AT10" s="23">
        <v>153</v>
      </c>
      <c r="AU10" s="24">
        <v>2.4743935309973044</v>
      </c>
      <c r="AV10" s="24">
        <v>66</v>
      </c>
      <c r="AW10" s="24">
        <v>40</v>
      </c>
      <c r="AX10" s="1" t="s">
        <v>154</v>
      </c>
      <c r="AY10" s="25">
        <v>2.0611111111111113</v>
      </c>
      <c r="AZ10" s="23">
        <v>30</v>
      </c>
      <c r="BA10" s="26">
        <v>61.833333333333343</v>
      </c>
      <c r="BB10" s="27">
        <v>123.66666666666669</v>
      </c>
    </row>
    <row r="11" spans="1:54" ht="12" x14ac:dyDescent="0.3">
      <c r="A11" s="12" t="s">
        <v>175</v>
      </c>
      <c r="B11" s="12">
        <v>209113</v>
      </c>
      <c r="C11" s="13" t="s">
        <v>67</v>
      </c>
      <c r="D11" s="13" t="s">
        <v>47</v>
      </c>
      <c r="E11" s="14">
        <v>123760</v>
      </c>
      <c r="F11" s="15" t="s">
        <v>45</v>
      </c>
      <c r="G11" s="6">
        <v>35</v>
      </c>
      <c r="H11" s="6">
        <v>49</v>
      </c>
      <c r="I11" s="6">
        <v>49</v>
      </c>
      <c r="J11" s="6">
        <v>51</v>
      </c>
      <c r="K11" s="6">
        <v>57</v>
      </c>
      <c r="L11" s="6">
        <v>44</v>
      </c>
      <c r="M11" s="6">
        <v>53</v>
      </c>
      <c r="N11" s="6">
        <v>56</v>
      </c>
      <c r="O11" s="6">
        <v>50</v>
      </c>
      <c r="P11" s="6">
        <v>46</v>
      </c>
      <c r="Q11" s="6">
        <v>48</v>
      </c>
      <c r="R11" s="6">
        <v>35</v>
      </c>
      <c r="S11" s="6">
        <v>49</v>
      </c>
      <c r="T11" s="6">
        <v>42</v>
      </c>
      <c r="U11" s="6">
        <v>50</v>
      </c>
      <c r="V11" s="6">
        <v>47</v>
      </c>
      <c r="W11" s="6">
        <v>32</v>
      </c>
      <c r="X11" s="6">
        <v>40</v>
      </c>
      <c r="Y11" s="6">
        <v>54</v>
      </c>
      <c r="Z11" s="6">
        <v>35</v>
      </c>
      <c r="AA11" s="6">
        <v>29</v>
      </c>
      <c r="AB11" s="6">
        <v>51</v>
      </c>
      <c r="AC11" s="6">
        <v>12</v>
      </c>
      <c r="AD11" s="6">
        <v>41</v>
      </c>
      <c r="AE11" s="6">
        <v>573</v>
      </c>
      <c r="AF11" s="6">
        <v>482</v>
      </c>
      <c r="AG11" s="16">
        <v>1055</v>
      </c>
      <c r="AH11" s="17">
        <v>47.75</v>
      </c>
      <c r="AI11" s="17">
        <v>40.166666666666664</v>
      </c>
      <c r="AJ11" s="17">
        <v>43.958333333333336</v>
      </c>
      <c r="AK11" s="18">
        <v>6.1519375412415938E-4</v>
      </c>
      <c r="AL11" s="19">
        <v>10.284979197910387</v>
      </c>
      <c r="AM11" s="20">
        <v>0.23397109075815095</v>
      </c>
      <c r="AN11" s="21">
        <v>130566800</v>
      </c>
      <c r="AO11" s="22">
        <v>1.20689156971168E-2</v>
      </c>
      <c r="AP11" s="22">
        <v>0.78006562711253435</v>
      </c>
      <c r="AQ11" s="22" t="s">
        <v>151</v>
      </c>
      <c r="AR11" s="22" t="s">
        <v>157</v>
      </c>
      <c r="AS11" s="22" t="s">
        <v>158</v>
      </c>
      <c r="AT11" s="23">
        <v>117</v>
      </c>
      <c r="AU11" s="24">
        <v>2.9128630705394194</v>
      </c>
      <c r="AV11" s="24">
        <v>60</v>
      </c>
      <c r="AW11" s="24">
        <v>40</v>
      </c>
      <c r="AX11" s="1" t="s">
        <v>154</v>
      </c>
      <c r="AY11" s="25">
        <v>1.3388888888888888</v>
      </c>
      <c r="AZ11" s="23">
        <v>30</v>
      </c>
      <c r="BA11" s="26">
        <v>40.166666666666664</v>
      </c>
      <c r="BB11" s="27">
        <v>80.333333333333329</v>
      </c>
    </row>
    <row r="12" spans="1:54" ht="12" x14ac:dyDescent="0.3">
      <c r="A12" s="12" t="s">
        <v>176</v>
      </c>
      <c r="B12" s="12">
        <v>101081</v>
      </c>
      <c r="C12" s="13" t="s">
        <v>68</v>
      </c>
      <c r="D12" s="13" t="s">
        <v>64</v>
      </c>
      <c r="E12" s="14">
        <v>70091</v>
      </c>
      <c r="F12" s="15" t="s">
        <v>45</v>
      </c>
      <c r="G12" s="6">
        <v>55</v>
      </c>
      <c r="H12" s="6">
        <v>64</v>
      </c>
      <c r="I12" s="6">
        <v>67</v>
      </c>
      <c r="J12" s="6">
        <v>47</v>
      </c>
      <c r="K12" s="6">
        <v>57</v>
      </c>
      <c r="L12" s="6">
        <v>54</v>
      </c>
      <c r="M12" s="6">
        <v>68</v>
      </c>
      <c r="N12" s="6">
        <v>71</v>
      </c>
      <c r="O12" s="6">
        <v>48</v>
      </c>
      <c r="P12" s="6">
        <v>46</v>
      </c>
      <c r="Q12" s="6">
        <v>55</v>
      </c>
      <c r="R12" s="6">
        <v>50</v>
      </c>
      <c r="S12" s="6">
        <v>73</v>
      </c>
      <c r="T12" s="6">
        <v>65</v>
      </c>
      <c r="U12" s="6">
        <v>42</v>
      </c>
      <c r="V12" s="6">
        <v>58</v>
      </c>
      <c r="W12" s="6">
        <v>59</v>
      </c>
      <c r="X12" s="6">
        <v>48</v>
      </c>
      <c r="Y12" s="6">
        <v>88</v>
      </c>
      <c r="Z12" s="6">
        <v>92</v>
      </c>
      <c r="AA12" s="6">
        <v>85</v>
      </c>
      <c r="AB12" s="6">
        <v>89</v>
      </c>
      <c r="AC12" s="6">
        <v>97</v>
      </c>
      <c r="AD12" s="6">
        <v>66</v>
      </c>
      <c r="AE12" s="6">
        <v>682</v>
      </c>
      <c r="AF12" s="6">
        <v>862</v>
      </c>
      <c r="AG12" s="16">
        <v>1544</v>
      </c>
      <c r="AH12" s="17">
        <v>56.833333333333336</v>
      </c>
      <c r="AI12" s="17">
        <v>71.833333333333329</v>
      </c>
      <c r="AJ12" s="17">
        <v>64.333333333333329</v>
      </c>
      <c r="AK12" s="18">
        <v>1.1002012781224594E-3</v>
      </c>
      <c r="AL12" s="19">
        <v>15.947377231999935</v>
      </c>
      <c r="AM12" s="20">
        <v>0.2478866927253876</v>
      </c>
      <c r="AN12" s="21">
        <v>108220504</v>
      </c>
      <c r="AO12" s="22">
        <v>1.000334035509403E-2</v>
      </c>
      <c r="AP12" s="22">
        <v>0.79006896746762834</v>
      </c>
      <c r="AQ12" s="22" t="s">
        <v>151</v>
      </c>
      <c r="AR12" s="22" t="s">
        <v>157</v>
      </c>
      <c r="AS12" s="22" t="s">
        <v>158</v>
      </c>
      <c r="AT12" s="23">
        <v>237</v>
      </c>
      <c r="AU12" s="24">
        <v>3.2993039443155454</v>
      </c>
      <c r="AV12" s="24">
        <v>120</v>
      </c>
      <c r="AW12" s="24">
        <v>70</v>
      </c>
      <c r="AX12" s="1" t="s">
        <v>154</v>
      </c>
      <c r="AY12" s="25">
        <v>2.3944444444444444</v>
      </c>
      <c r="AZ12" s="23">
        <v>30</v>
      </c>
      <c r="BA12" s="26">
        <v>71.833333333333329</v>
      </c>
      <c r="BB12" s="27">
        <v>143.66666666666666</v>
      </c>
    </row>
    <row r="13" spans="1:54" ht="12" x14ac:dyDescent="0.3">
      <c r="A13" s="12" t="s">
        <v>184</v>
      </c>
      <c r="B13" s="12">
        <v>209107</v>
      </c>
      <c r="C13" s="13" t="s">
        <v>73</v>
      </c>
      <c r="D13" s="13" t="s">
        <v>47</v>
      </c>
      <c r="E13" s="14">
        <v>64260</v>
      </c>
      <c r="F13" s="15" t="s">
        <v>45</v>
      </c>
      <c r="G13" s="6">
        <v>40</v>
      </c>
      <c r="H13" s="6">
        <v>62</v>
      </c>
      <c r="I13" s="6">
        <v>71</v>
      </c>
      <c r="J13" s="6">
        <v>44</v>
      </c>
      <c r="K13" s="6">
        <v>63</v>
      </c>
      <c r="L13" s="6">
        <v>63</v>
      </c>
      <c r="M13" s="6">
        <v>59</v>
      </c>
      <c r="N13" s="6">
        <v>61</v>
      </c>
      <c r="O13" s="6">
        <v>59</v>
      </c>
      <c r="P13" s="6">
        <v>47</v>
      </c>
      <c r="Q13" s="6">
        <v>65</v>
      </c>
      <c r="R13" s="6">
        <v>55</v>
      </c>
      <c r="S13" s="6">
        <v>48</v>
      </c>
      <c r="T13" s="6">
        <v>63</v>
      </c>
      <c r="U13" s="6">
        <v>54</v>
      </c>
      <c r="V13" s="6">
        <v>56</v>
      </c>
      <c r="W13" s="6">
        <v>63</v>
      </c>
      <c r="X13" s="6">
        <v>48</v>
      </c>
      <c r="Y13" s="6">
        <v>59</v>
      </c>
      <c r="Z13" s="6">
        <v>63</v>
      </c>
      <c r="AA13" s="6">
        <v>44</v>
      </c>
      <c r="AB13" s="6">
        <v>62</v>
      </c>
      <c r="AC13" s="6">
        <v>51</v>
      </c>
      <c r="AD13" s="6">
        <v>50</v>
      </c>
      <c r="AE13" s="6">
        <v>689</v>
      </c>
      <c r="AF13" s="6">
        <v>661</v>
      </c>
      <c r="AG13" s="16">
        <v>1350</v>
      </c>
      <c r="AH13" s="17">
        <v>57.416666666666664</v>
      </c>
      <c r="AI13" s="17">
        <v>55.083333333333336</v>
      </c>
      <c r="AJ13" s="17">
        <v>56.25</v>
      </c>
      <c r="AK13" s="18">
        <v>8.4365782463914803E-4</v>
      </c>
      <c r="AL13" s="19">
        <v>8.0555139096041604</v>
      </c>
      <c r="AM13" s="20">
        <v>0.14320913617074063</v>
      </c>
      <c r="AN13" s="21">
        <v>86751000</v>
      </c>
      <c r="AO13" s="22">
        <v>8.0188111038991487E-3</v>
      </c>
      <c r="AP13" s="22">
        <v>0.83374403484906923</v>
      </c>
      <c r="AQ13" s="22" t="s">
        <v>179</v>
      </c>
      <c r="AR13" s="22" t="s">
        <v>157</v>
      </c>
      <c r="AS13" s="22" t="s">
        <v>185</v>
      </c>
      <c r="AT13" s="23">
        <v>167</v>
      </c>
      <c r="AU13" s="24">
        <v>3.031770045385779</v>
      </c>
      <c r="AV13" s="24">
        <v>80</v>
      </c>
      <c r="AW13" s="24">
        <v>55</v>
      </c>
      <c r="AX13" s="1" t="s">
        <v>154</v>
      </c>
      <c r="AY13" s="25">
        <v>1.8361111111111112</v>
      </c>
      <c r="AZ13" s="23">
        <v>30</v>
      </c>
      <c r="BA13" s="26">
        <v>55.083333333333336</v>
      </c>
      <c r="BB13" s="27">
        <v>110.16666666666667</v>
      </c>
    </row>
    <row r="14" spans="1:54" ht="12" x14ac:dyDescent="0.3">
      <c r="A14" s="12" t="s">
        <v>186</v>
      </c>
      <c r="B14" s="12">
        <v>209117</v>
      </c>
      <c r="C14" s="13" t="s">
        <v>74</v>
      </c>
      <c r="D14" s="13" t="s">
        <v>53</v>
      </c>
      <c r="E14" s="14">
        <v>671</v>
      </c>
      <c r="F14" s="15" t="s">
        <v>45</v>
      </c>
      <c r="G14" s="6">
        <v>7388</v>
      </c>
      <c r="H14" s="6">
        <v>5716</v>
      </c>
      <c r="I14" s="6">
        <v>5446</v>
      </c>
      <c r="J14" s="6">
        <v>4720</v>
      </c>
      <c r="K14" s="6">
        <v>5790</v>
      </c>
      <c r="L14" s="6">
        <v>4522</v>
      </c>
      <c r="M14" s="6">
        <v>5670</v>
      </c>
      <c r="N14" s="6">
        <v>6356</v>
      </c>
      <c r="O14" s="6">
        <v>5502</v>
      </c>
      <c r="P14" s="6">
        <v>6930</v>
      </c>
      <c r="Q14" s="6">
        <v>4788</v>
      </c>
      <c r="R14" s="6">
        <v>4074</v>
      </c>
      <c r="S14" s="6">
        <v>6080</v>
      </c>
      <c r="T14" s="6">
        <v>4737</v>
      </c>
      <c r="U14" s="6">
        <v>5510</v>
      </c>
      <c r="V14" s="6">
        <v>6188</v>
      </c>
      <c r="W14" s="6">
        <v>5088</v>
      </c>
      <c r="X14" s="6">
        <v>4598</v>
      </c>
      <c r="Y14" s="6">
        <v>5334</v>
      </c>
      <c r="Z14" s="6">
        <v>4984</v>
      </c>
      <c r="AA14" s="6">
        <v>3962</v>
      </c>
      <c r="AB14" s="6">
        <v>5012</v>
      </c>
      <c r="AC14" s="6">
        <v>3978</v>
      </c>
      <c r="AD14" s="6">
        <v>3706</v>
      </c>
      <c r="AE14" s="6">
        <v>66902</v>
      </c>
      <c r="AF14" s="6">
        <v>59177</v>
      </c>
      <c r="AG14" s="16">
        <v>126079</v>
      </c>
      <c r="AH14" s="17">
        <v>5575.166666666667</v>
      </c>
      <c r="AI14" s="17">
        <v>4931.416666666667</v>
      </c>
      <c r="AJ14" s="17">
        <v>5253.291666666667</v>
      </c>
      <c r="AK14" s="18">
        <v>7.552971117801946E-2</v>
      </c>
      <c r="AL14" s="19">
        <v>931.50138178929399</v>
      </c>
      <c r="AM14" s="20">
        <v>0.17731765926873669</v>
      </c>
      <c r="AN14" s="21">
        <v>84599009</v>
      </c>
      <c r="AO14" s="22">
        <v>7.8198922519401963E-3</v>
      </c>
      <c r="AP14" s="22">
        <v>0.84156392710100947</v>
      </c>
      <c r="AQ14" s="22" t="s">
        <v>179</v>
      </c>
      <c r="AR14" s="22" t="s">
        <v>157</v>
      </c>
      <c r="AS14" s="22" t="s">
        <v>185</v>
      </c>
      <c r="AT14" s="23">
        <v>9596</v>
      </c>
      <c r="AU14" s="24">
        <v>1.9458911401389052</v>
      </c>
      <c r="AV14" s="24">
        <v>6980</v>
      </c>
      <c r="AW14" s="24">
        <v>3480</v>
      </c>
      <c r="AX14" s="1" t="s">
        <v>154</v>
      </c>
      <c r="AY14" s="25">
        <v>164.38055555555556</v>
      </c>
      <c r="AZ14" s="23">
        <v>30</v>
      </c>
      <c r="BA14" s="26">
        <v>4931.416666666667</v>
      </c>
      <c r="BB14" s="27">
        <v>9862.8333333333339</v>
      </c>
    </row>
    <row r="15" spans="1:54" ht="12" x14ac:dyDescent="0.3">
      <c r="A15" s="12" t="s">
        <v>187</v>
      </c>
      <c r="B15" s="12">
        <v>101047</v>
      </c>
      <c r="C15" s="13" t="s">
        <v>75</v>
      </c>
      <c r="D15" s="13" t="s">
        <v>53</v>
      </c>
      <c r="E15" s="14">
        <v>845</v>
      </c>
      <c r="F15" s="15" t="s">
        <v>45</v>
      </c>
      <c r="G15" s="6">
        <v>3000</v>
      </c>
      <c r="H15" s="6">
        <v>2400</v>
      </c>
      <c r="I15" s="6">
        <v>2760</v>
      </c>
      <c r="J15" s="6">
        <v>2640</v>
      </c>
      <c r="K15" s="6">
        <v>3240</v>
      </c>
      <c r="L15" s="6">
        <v>2760</v>
      </c>
      <c r="M15" s="6">
        <v>3480</v>
      </c>
      <c r="N15" s="6">
        <v>3600</v>
      </c>
      <c r="O15" s="6">
        <v>3360</v>
      </c>
      <c r="P15" s="6">
        <v>3120</v>
      </c>
      <c r="Q15" s="6">
        <v>3480</v>
      </c>
      <c r="R15" s="6">
        <v>3120</v>
      </c>
      <c r="S15" s="6">
        <v>4320</v>
      </c>
      <c r="T15" s="6">
        <v>3120</v>
      </c>
      <c r="U15" s="6">
        <v>3120</v>
      </c>
      <c r="V15" s="6">
        <v>3600</v>
      </c>
      <c r="W15" s="6">
        <v>4080</v>
      </c>
      <c r="X15" s="6">
        <v>3840</v>
      </c>
      <c r="Y15" s="6">
        <v>3840</v>
      </c>
      <c r="Z15" s="6">
        <v>4080</v>
      </c>
      <c r="AA15" s="6">
        <v>3720</v>
      </c>
      <c r="AB15" s="6">
        <v>3720</v>
      </c>
      <c r="AC15" s="6">
        <v>3120</v>
      </c>
      <c r="AD15" s="6">
        <v>3720</v>
      </c>
      <c r="AE15" s="6">
        <v>36960</v>
      </c>
      <c r="AF15" s="6">
        <v>44280</v>
      </c>
      <c r="AG15" s="16">
        <v>81240</v>
      </c>
      <c r="AH15" s="17">
        <v>3080</v>
      </c>
      <c r="AI15" s="17">
        <v>3690</v>
      </c>
      <c r="AJ15" s="17">
        <v>3385</v>
      </c>
      <c r="AK15" s="18">
        <v>5.6516139901696634E-2</v>
      </c>
      <c r="AL15" s="19">
        <v>490.29715922879473</v>
      </c>
      <c r="AM15" s="20">
        <v>0.14484406476478426</v>
      </c>
      <c r="AN15" s="21">
        <v>68647800</v>
      </c>
      <c r="AO15" s="22">
        <v>6.3454454807235425E-3</v>
      </c>
      <c r="AP15" s="22">
        <v>0.84790937258173305</v>
      </c>
      <c r="AQ15" s="22" t="s">
        <v>179</v>
      </c>
      <c r="AR15" s="22" t="s">
        <v>157</v>
      </c>
      <c r="AS15" s="22" t="s">
        <v>185</v>
      </c>
      <c r="AT15" s="23">
        <v>15720</v>
      </c>
      <c r="AU15" s="24">
        <v>4.2601626016260159</v>
      </c>
      <c r="AV15" s="24">
        <v>6960</v>
      </c>
      <c r="AW15" s="24">
        <v>3480</v>
      </c>
      <c r="AX15" s="1" t="s">
        <v>154</v>
      </c>
      <c r="AY15" s="25">
        <v>123</v>
      </c>
      <c r="AZ15" s="23">
        <v>30</v>
      </c>
      <c r="BA15" s="26">
        <v>3690</v>
      </c>
      <c r="BB15" s="27">
        <v>7380</v>
      </c>
    </row>
    <row r="16" spans="1:54" ht="12" x14ac:dyDescent="0.3">
      <c r="A16" s="12" t="s">
        <v>192</v>
      </c>
      <c r="B16" s="12">
        <v>209014</v>
      </c>
      <c r="C16" s="13" t="s">
        <v>80</v>
      </c>
      <c r="D16" s="13" t="s">
        <v>47</v>
      </c>
      <c r="E16" s="14">
        <v>11983</v>
      </c>
      <c r="F16" s="15" t="s">
        <v>45</v>
      </c>
      <c r="G16" s="6">
        <v>188</v>
      </c>
      <c r="H16" s="6">
        <v>164</v>
      </c>
      <c r="I16" s="6">
        <v>233</v>
      </c>
      <c r="J16" s="6">
        <v>156</v>
      </c>
      <c r="K16" s="6">
        <v>156</v>
      </c>
      <c r="L16" s="6">
        <v>100</v>
      </c>
      <c r="M16" s="6">
        <v>180</v>
      </c>
      <c r="N16" s="6">
        <v>210</v>
      </c>
      <c r="O16" s="6">
        <v>154</v>
      </c>
      <c r="P16" s="6">
        <v>167</v>
      </c>
      <c r="Q16" s="6">
        <v>161</v>
      </c>
      <c r="R16" s="6">
        <v>152</v>
      </c>
      <c r="S16" s="6">
        <v>249</v>
      </c>
      <c r="T16" s="6">
        <v>140</v>
      </c>
      <c r="U16" s="6">
        <v>211</v>
      </c>
      <c r="V16" s="6">
        <v>204</v>
      </c>
      <c r="W16" s="6">
        <v>129</v>
      </c>
      <c r="X16" s="6">
        <v>138</v>
      </c>
      <c r="Y16" s="6">
        <v>179</v>
      </c>
      <c r="Z16" s="6">
        <v>172</v>
      </c>
      <c r="AA16" s="6">
        <v>120</v>
      </c>
      <c r="AB16" s="6">
        <v>193</v>
      </c>
      <c r="AC16" s="6">
        <v>181</v>
      </c>
      <c r="AD16" s="6">
        <v>199</v>
      </c>
      <c r="AE16" s="6">
        <v>2021</v>
      </c>
      <c r="AF16" s="6">
        <v>2115</v>
      </c>
      <c r="AG16" s="16">
        <v>4136</v>
      </c>
      <c r="AH16" s="17">
        <v>168.41666666666666</v>
      </c>
      <c r="AI16" s="17">
        <v>176.25</v>
      </c>
      <c r="AJ16" s="17">
        <v>172.33333333333334</v>
      </c>
      <c r="AK16" s="18">
        <v>2.6994497717273799E-3</v>
      </c>
      <c r="AL16" s="19">
        <v>35.274903835158952</v>
      </c>
      <c r="AM16" s="20">
        <v>0.20468996422722796</v>
      </c>
      <c r="AN16" s="21">
        <v>49561688</v>
      </c>
      <c r="AO16" s="22">
        <v>4.5812245860265034E-3</v>
      </c>
      <c r="AP16" s="22">
        <v>0.87533288462685011</v>
      </c>
      <c r="AQ16" s="22" t="s">
        <v>179</v>
      </c>
      <c r="AR16" s="22" t="s">
        <v>157</v>
      </c>
      <c r="AS16" s="22" t="s">
        <v>185</v>
      </c>
      <c r="AT16" s="23">
        <v>222</v>
      </c>
      <c r="AU16" s="24">
        <v>1.2595744680851064</v>
      </c>
      <c r="AV16" s="24">
        <v>300</v>
      </c>
      <c r="AW16" s="24">
        <v>200</v>
      </c>
      <c r="AX16" s="1" t="s">
        <v>154</v>
      </c>
      <c r="AY16" s="25">
        <v>5.875</v>
      </c>
      <c r="AZ16" s="23">
        <v>30</v>
      </c>
      <c r="BA16" s="26">
        <v>176.25</v>
      </c>
      <c r="BB16" s="27">
        <v>352.5</v>
      </c>
    </row>
    <row r="17" spans="1:54" ht="12" x14ac:dyDescent="0.3">
      <c r="A17" s="12" t="s">
        <v>193</v>
      </c>
      <c r="B17" s="12">
        <v>209161</v>
      </c>
      <c r="C17" s="13" t="s">
        <v>81</v>
      </c>
      <c r="D17" s="13" t="s">
        <v>47</v>
      </c>
      <c r="E17" s="14">
        <v>24752</v>
      </c>
      <c r="F17" s="15" t="s">
        <v>45</v>
      </c>
      <c r="G17" s="6">
        <v>77</v>
      </c>
      <c r="H17" s="6">
        <v>58</v>
      </c>
      <c r="I17" s="6">
        <v>72</v>
      </c>
      <c r="J17" s="6">
        <v>73</v>
      </c>
      <c r="K17" s="6">
        <v>91</v>
      </c>
      <c r="L17" s="6">
        <v>45</v>
      </c>
      <c r="M17" s="6">
        <v>57</v>
      </c>
      <c r="N17" s="6">
        <v>64</v>
      </c>
      <c r="O17" s="6">
        <v>73</v>
      </c>
      <c r="P17" s="6">
        <v>87</v>
      </c>
      <c r="Q17" s="6">
        <v>91</v>
      </c>
      <c r="R17" s="6">
        <v>79</v>
      </c>
      <c r="S17" s="6">
        <v>61</v>
      </c>
      <c r="T17" s="6">
        <v>84</v>
      </c>
      <c r="U17" s="6">
        <v>68</v>
      </c>
      <c r="V17" s="6">
        <v>101</v>
      </c>
      <c r="W17" s="6">
        <v>90</v>
      </c>
      <c r="X17" s="6">
        <v>94</v>
      </c>
      <c r="Y17" s="6">
        <v>115</v>
      </c>
      <c r="Z17" s="6">
        <v>100</v>
      </c>
      <c r="AA17" s="6">
        <v>88</v>
      </c>
      <c r="AB17" s="6">
        <v>102</v>
      </c>
      <c r="AC17" s="6">
        <v>85</v>
      </c>
      <c r="AD17" s="6">
        <v>96</v>
      </c>
      <c r="AE17" s="6">
        <v>867</v>
      </c>
      <c r="AF17" s="6">
        <v>1084</v>
      </c>
      <c r="AG17" s="16">
        <v>1951</v>
      </c>
      <c r="AH17" s="17">
        <v>72.25</v>
      </c>
      <c r="AI17" s="17">
        <v>90.333333333333329</v>
      </c>
      <c r="AJ17" s="17">
        <v>81.291666666666671</v>
      </c>
      <c r="AK17" s="18">
        <v>1.3835477789846239E-3</v>
      </c>
      <c r="AL17" s="19">
        <v>16.976913138440256</v>
      </c>
      <c r="AM17" s="20">
        <v>0.20883952604949571</v>
      </c>
      <c r="AN17" s="21">
        <v>48291152</v>
      </c>
      <c r="AO17" s="22">
        <v>4.4637828483554262E-3</v>
      </c>
      <c r="AP17" s="22">
        <v>0.87979666747520557</v>
      </c>
      <c r="AQ17" s="22" t="s">
        <v>179</v>
      </c>
      <c r="AR17" s="22" t="s">
        <v>157</v>
      </c>
      <c r="AS17" s="22" t="s">
        <v>185</v>
      </c>
      <c r="AT17" s="23">
        <v>145</v>
      </c>
      <c r="AU17" s="24">
        <v>1.6051660516605166</v>
      </c>
      <c r="AV17" s="24">
        <v>180</v>
      </c>
      <c r="AW17" s="24">
        <v>90</v>
      </c>
      <c r="AX17" s="1" t="s">
        <v>154</v>
      </c>
      <c r="AY17" s="25">
        <v>3.0111111111111111</v>
      </c>
      <c r="AZ17" s="23">
        <v>30</v>
      </c>
      <c r="BA17" s="26">
        <v>90.333333333333329</v>
      </c>
      <c r="BB17" s="27">
        <v>180.66666666666666</v>
      </c>
    </row>
    <row r="18" spans="1:54" ht="12" x14ac:dyDescent="0.3">
      <c r="A18" s="12" t="s">
        <v>194</v>
      </c>
      <c r="B18" s="12">
        <v>209007</v>
      </c>
      <c r="C18" s="13" t="s">
        <v>82</v>
      </c>
      <c r="D18" s="13" t="s">
        <v>47</v>
      </c>
      <c r="E18" s="14">
        <v>23205</v>
      </c>
      <c r="F18" s="15" t="s">
        <v>45</v>
      </c>
      <c r="G18" s="6">
        <v>85</v>
      </c>
      <c r="H18" s="6">
        <v>79</v>
      </c>
      <c r="I18" s="6">
        <v>109</v>
      </c>
      <c r="J18" s="6">
        <v>92</v>
      </c>
      <c r="K18" s="6">
        <v>95</v>
      </c>
      <c r="L18" s="6">
        <v>94</v>
      </c>
      <c r="M18" s="6">
        <v>100</v>
      </c>
      <c r="N18" s="6">
        <v>85</v>
      </c>
      <c r="O18" s="6">
        <v>67</v>
      </c>
      <c r="P18" s="6">
        <v>98</v>
      </c>
      <c r="Q18" s="6">
        <v>107</v>
      </c>
      <c r="R18" s="6">
        <v>97</v>
      </c>
      <c r="S18" s="6">
        <v>97</v>
      </c>
      <c r="T18" s="6">
        <v>83</v>
      </c>
      <c r="U18" s="6">
        <v>70</v>
      </c>
      <c r="V18" s="6">
        <v>80</v>
      </c>
      <c r="W18" s="6">
        <v>73</v>
      </c>
      <c r="X18" s="6">
        <v>58</v>
      </c>
      <c r="Y18" s="6">
        <v>70</v>
      </c>
      <c r="Z18" s="6">
        <v>66</v>
      </c>
      <c r="AA18" s="6">
        <v>61</v>
      </c>
      <c r="AB18" s="6">
        <v>94</v>
      </c>
      <c r="AC18" s="6">
        <v>97</v>
      </c>
      <c r="AD18" s="6">
        <v>112</v>
      </c>
      <c r="AE18" s="6">
        <v>1108</v>
      </c>
      <c r="AF18" s="6">
        <v>961</v>
      </c>
      <c r="AG18" s="16">
        <v>2069</v>
      </c>
      <c r="AH18" s="17">
        <v>92.333333333333329</v>
      </c>
      <c r="AI18" s="17">
        <v>80.083333333333329</v>
      </c>
      <c r="AJ18" s="17">
        <v>86.208333333333329</v>
      </c>
      <c r="AK18" s="18">
        <v>1.2265585014799112E-3</v>
      </c>
      <c r="AL18" s="19">
        <v>15.519914742780928</v>
      </c>
      <c r="AM18" s="20">
        <v>0.18002801054941628</v>
      </c>
      <c r="AN18" s="21">
        <v>48011145</v>
      </c>
      <c r="AO18" s="22">
        <v>4.4379004580571068E-3</v>
      </c>
      <c r="AP18" s="22">
        <v>0.88423456793326272</v>
      </c>
      <c r="AQ18" s="22" t="s">
        <v>179</v>
      </c>
      <c r="AR18" s="22" t="s">
        <v>157</v>
      </c>
      <c r="AS18" s="22" t="s">
        <v>185</v>
      </c>
      <c r="AT18" s="23">
        <v>384</v>
      </c>
      <c r="AU18" s="24">
        <v>4.7950052029136323</v>
      </c>
      <c r="AV18" s="24">
        <v>200</v>
      </c>
      <c r="AW18" s="24">
        <v>100</v>
      </c>
      <c r="AX18" s="1" t="s">
        <v>154</v>
      </c>
      <c r="AY18" s="25">
        <v>2.6694444444444443</v>
      </c>
      <c r="AZ18" s="23">
        <v>30</v>
      </c>
      <c r="BA18" s="26">
        <v>80.083333333333329</v>
      </c>
      <c r="BB18" s="27">
        <v>160.16666666666666</v>
      </c>
    </row>
    <row r="19" spans="1:54" ht="12" x14ac:dyDescent="0.3">
      <c r="A19" s="12" t="s">
        <v>197</v>
      </c>
      <c r="B19" s="12">
        <v>209160</v>
      </c>
      <c r="C19" s="13" t="s">
        <v>85</v>
      </c>
      <c r="D19" s="13" t="s">
        <v>47</v>
      </c>
      <c r="E19" s="14">
        <v>6426</v>
      </c>
      <c r="F19" s="15" t="s">
        <v>45</v>
      </c>
      <c r="G19" s="6">
        <v>229</v>
      </c>
      <c r="H19" s="6">
        <v>222</v>
      </c>
      <c r="I19" s="6">
        <v>306</v>
      </c>
      <c r="J19" s="6">
        <v>233</v>
      </c>
      <c r="K19" s="6">
        <v>291</v>
      </c>
      <c r="L19" s="6">
        <v>272</v>
      </c>
      <c r="M19" s="6">
        <v>311</v>
      </c>
      <c r="N19" s="6">
        <v>291</v>
      </c>
      <c r="O19" s="6">
        <v>290</v>
      </c>
      <c r="P19" s="6">
        <v>303</v>
      </c>
      <c r="Q19" s="6">
        <v>287</v>
      </c>
      <c r="R19" s="6">
        <v>239</v>
      </c>
      <c r="S19" s="6">
        <v>330</v>
      </c>
      <c r="T19" s="6">
        <v>284</v>
      </c>
      <c r="U19" s="6">
        <v>314</v>
      </c>
      <c r="V19" s="6">
        <v>468</v>
      </c>
      <c r="W19" s="6">
        <v>377</v>
      </c>
      <c r="X19" s="6">
        <v>345</v>
      </c>
      <c r="Y19" s="6">
        <v>415</v>
      </c>
      <c r="Z19" s="6">
        <v>347</v>
      </c>
      <c r="AA19" s="6">
        <v>262</v>
      </c>
      <c r="AB19" s="6">
        <v>288</v>
      </c>
      <c r="AC19" s="6">
        <v>202</v>
      </c>
      <c r="AD19" s="6">
        <v>202</v>
      </c>
      <c r="AE19" s="6">
        <v>3274</v>
      </c>
      <c r="AF19" s="6">
        <v>3834</v>
      </c>
      <c r="AG19" s="16">
        <v>7108</v>
      </c>
      <c r="AH19" s="17">
        <v>272.83333333333331</v>
      </c>
      <c r="AI19" s="17">
        <v>319.5</v>
      </c>
      <c r="AJ19" s="17">
        <v>296.16666666666669</v>
      </c>
      <c r="AK19" s="18">
        <v>4.8934706500249527E-3</v>
      </c>
      <c r="AL19" s="19">
        <v>63.971234477534644</v>
      </c>
      <c r="AM19" s="20">
        <v>0.2159974152308429</v>
      </c>
      <c r="AN19" s="21">
        <v>45676008</v>
      </c>
      <c r="AO19" s="22">
        <v>4.222052542704826E-3</v>
      </c>
      <c r="AP19" s="22">
        <v>0.89716727553446107</v>
      </c>
      <c r="AQ19" s="22" t="s">
        <v>179</v>
      </c>
      <c r="AR19" s="22" t="s">
        <v>157</v>
      </c>
      <c r="AS19" s="22" t="s">
        <v>185</v>
      </c>
      <c r="AT19" s="23">
        <v>240</v>
      </c>
      <c r="AU19" s="24">
        <v>0.75117370892018775</v>
      </c>
      <c r="AV19" s="24">
        <v>450</v>
      </c>
      <c r="AW19" s="24">
        <v>270</v>
      </c>
      <c r="AX19" s="1" t="s">
        <v>198</v>
      </c>
      <c r="AY19" s="25">
        <v>10.65</v>
      </c>
      <c r="AZ19" s="23">
        <v>30</v>
      </c>
      <c r="BA19" s="26">
        <v>319.5</v>
      </c>
      <c r="BB19" s="27">
        <v>639</v>
      </c>
    </row>
    <row r="20" spans="1:54" ht="12" x14ac:dyDescent="0.3">
      <c r="A20" s="12" t="s">
        <v>199</v>
      </c>
      <c r="B20" s="12">
        <v>209058</v>
      </c>
      <c r="C20" s="13" t="s">
        <v>86</v>
      </c>
      <c r="D20" s="13" t="s">
        <v>53</v>
      </c>
      <c r="E20" s="14">
        <v>583</v>
      </c>
      <c r="F20" s="15" t="s">
        <v>45</v>
      </c>
      <c r="G20" s="6">
        <v>2670</v>
      </c>
      <c r="H20" s="6">
        <v>2550</v>
      </c>
      <c r="I20" s="6">
        <v>3000</v>
      </c>
      <c r="J20" s="6">
        <v>2850</v>
      </c>
      <c r="K20" s="6">
        <v>3210</v>
      </c>
      <c r="L20" s="6">
        <v>2640</v>
      </c>
      <c r="M20" s="6">
        <v>3030</v>
      </c>
      <c r="N20" s="6">
        <v>3420</v>
      </c>
      <c r="O20" s="6">
        <v>3000</v>
      </c>
      <c r="P20" s="6">
        <v>3240</v>
      </c>
      <c r="Q20" s="6">
        <v>3300</v>
      </c>
      <c r="R20" s="6">
        <v>3420</v>
      </c>
      <c r="S20" s="6">
        <v>3150</v>
      </c>
      <c r="T20" s="6">
        <v>2670</v>
      </c>
      <c r="U20" s="6">
        <v>3030</v>
      </c>
      <c r="V20" s="6">
        <v>2880</v>
      </c>
      <c r="W20" s="6">
        <v>3060</v>
      </c>
      <c r="X20" s="6">
        <v>2910</v>
      </c>
      <c r="Y20" s="6">
        <v>3270</v>
      </c>
      <c r="Z20" s="6">
        <v>3270</v>
      </c>
      <c r="AA20" s="6">
        <v>3300</v>
      </c>
      <c r="AB20" s="6">
        <v>3270</v>
      </c>
      <c r="AC20" s="6">
        <v>3150</v>
      </c>
      <c r="AD20" s="6">
        <v>3240</v>
      </c>
      <c r="AE20" s="6">
        <v>36330</v>
      </c>
      <c r="AF20" s="6">
        <v>37200</v>
      </c>
      <c r="AG20" s="16">
        <v>73530</v>
      </c>
      <c r="AH20" s="17">
        <v>3027.5</v>
      </c>
      <c r="AI20" s="17">
        <v>3100</v>
      </c>
      <c r="AJ20" s="17">
        <v>3063.75</v>
      </c>
      <c r="AK20" s="18">
        <v>4.7479683928254621E-2</v>
      </c>
      <c r="AL20" s="19">
        <v>251.82486150014103</v>
      </c>
      <c r="AM20" s="20">
        <v>8.2194977233828154E-2</v>
      </c>
      <c r="AN20" s="21">
        <v>42867990</v>
      </c>
      <c r="AO20" s="22">
        <v>3.9624939679523885E-3</v>
      </c>
      <c r="AP20" s="22">
        <v>0.90112976950241341</v>
      </c>
      <c r="AQ20" s="22" t="s">
        <v>179</v>
      </c>
      <c r="AR20" s="22" t="s">
        <v>157</v>
      </c>
      <c r="AS20" s="22" t="s">
        <v>185</v>
      </c>
      <c r="AT20" s="23">
        <v>6330</v>
      </c>
      <c r="AU20" s="24">
        <v>2.0419354838709678</v>
      </c>
      <c r="AV20" s="24">
        <v>6300</v>
      </c>
      <c r="AW20" s="24">
        <v>3300</v>
      </c>
      <c r="AX20" s="1" t="s">
        <v>154</v>
      </c>
      <c r="AY20" s="25">
        <v>103.33333333333333</v>
      </c>
      <c r="AZ20" s="23">
        <v>30</v>
      </c>
      <c r="BA20" s="26">
        <v>3100</v>
      </c>
      <c r="BB20" s="27">
        <v>6200</v>
      </c>
    </row>
    <row r="21" spans="1:54" ht="12" x14ac:dyDescent="0.3">
      <c r="A21" s="12" t="s">
        <v>201</v>
      </c>
      <c r="B21" s="12">
        <v>209092</v>
      </c>
      <c r="C21" s="13" t="s">
        <v>88</v>
      </c>
      <c r="D21" s="13" t="s">
        <v>53</v>
      </c>
      <c r="E21" s="14">
        <v>153</v>
      </c>
      <c r="F21" s="15" t="s">
        <v>45</v>
      </c>
      <c r="G21" s="6">
        <v>10740</v>
      </c>
      <c r="H21" s="6">
        <v>10260</v>
      </c>
      <c r="I21" s="6">
        <v>11010</v>
      </c>
      <c r="J21" s="6">
        <v>11070</v>
      </c>
      <c r="K21" s="6">
        <v>11250</v>
      </c>
      <c r="L21" s="6">
        <v>11130</v>
      </c>
      <c r="M21" s="6">
        <v>12120</v>
      </c>
      <c r="N21" s="6">
        <v>11250</v>
      </c>
      <c r="O21" s="6">
        <v>10800</v>
      </c>
      <c r="P21" s="6">
        <v>10830</v>
      </c>
      <c r="Q21" s="6">
        <v>11340</v>
      </c>
      <c r="R21" s="6">
        <v>12480</v>
      </c>
      <c r="S21" s="6">
        <v>12530</v>
      </c>
      <c r="T21" s="6">
        <v>11040</v>
      </c>
      <c r="U21" s="6">
        <v>11940</v>
      </c>
      <c r="V21" s="6">
        <v>12120</v>
      </c>
      <c r="W21" s="6">
        <v>12126</v>
      </c>
      <c r="X21" s="6">
        <v>11260</v>
      </c>
      <c r="Y21" s="6">
        <v>12420</v>
      </c>
      <c r="Z21" s="6">
        <v>12390</v>
      </c>
      <c r="AA21" s="6">
        <v>12090</v>
      </c>
      <c r="AB21" s="6">
        <v>12570</v>
      </c>
      <c r="AC21" s="6">
        <v>12660</v>
      </c>
      <c r="AD21" s="6">
        <v>12600</v>
      </c>
      <c r="AE21" s="6">
        <v>134280</v>
      </c>
      <c r="AF21" s="6">
        <v>145746</v>
      </c>
      <c r="AG21" s="16">
        <v>280026</v>
      </c>
      <c r="AH21" s="17">
        <v>11190</v>
      </c>
      <c r="AI21" s="17">
        <v>12145.5</v>
      </c>
      <c r="AJ21" s="17">
        <v>11667.75</v>
      </c>
      <c r="AK21" s="18">
        <v>0.18602080682277952</v>
      </c>
      <c r="AL21" s="19">
        <v>734.93905396534637</v>
      </c>
      <c r="AM21" s="20">
        <v>6.298892708237204E-2</v>
      </c>
      <c r="AN21" s="21">
        <v>42843978</v>
      </c>
      <c r="AO21" s="22">
        <v>3.9602744235987001E-3</v>
      </c>
      <c r="AP21" s="22">
        <v>0.90905223859009077</v>
      </c>
      <c r="AQ21" s="22" t="s">
        <v>179</v>
      </c>
      <c r="AR21" s="22" t="s">
        <v>157</v>
      </c>
      <c r="AS21" s="22" t="s">
        <v>185</v>
      </c>
      <c r="AT21" s="23">
        <v>42660</v>
      </c>
      <c r="AU21" s="24">
        <v>3.5124120044460914</v>
      </c>
      <c r="AV21" s="24">
        <v>23500</v>
      </c>
      <c r="AW21" s="24">
        <v>12630</v>
      </c>
      <c r="AX21" s="1" t="s">
        <v>154</v>
      </c>
      <c r="AY21" s="25">
        <v>404.85</v>
      </c>
      <c r="AZ21" s="23">
        <v>30</v>
      </c>
      <c r="BA21" s="26">
        <v>12145.5</v>
      </c>
      <c r="BB21" s="27">
        <v>24291</v>
      </c>
    </row>
    <row r="22" spans="1:54" ht="12" x14ac:dyDescent="0.3">
      <c r="A22" s="12" t="s">
        <v>202</v>
      </c>
      <c r="B22" s="12">
        <v>209084</v>
      </c>
      <c r="C22" s="13" t="s">
        <v>89</v>
      </c>
      <c r="D22" s="13" t="s">
        <v>53</v>
      </c>
      <c r="E22" s="14">
        <v>113</v>
      </c>
      <c r="F22" s="15" t="s">
        <v>45</v>
      </c>
      <c r="G22" s="6">
        <v>15240</v>
      </c>
      <c r="H22" s="6">
        <v>14190</v>
      </c>
      <c r="I22" s="6">
        <v>15510</v>
      </c>
      <c r="J22" s="6">
        <v>15600</v>
      </c>
      <c r="K22" s="6">
        <v>16020</v>
      </c>
      <c r="L22" s="6">
        <v>15330</v>
      </c>
      <c r="M22" s="6">
        <v>16470</v>
      </c>
      <c r="N22" s="6">
        <v>15720</v>
      </c>
      <c r="O22" s="6">
        <v>15540</v>
      </c>
      <c r="P22" s="6">
        <v>15720</v>
      </c>
      <c r="Q22" s="6">
        <v>15870</v>
      </c>
      <c r="R22" s="6">
        <v>16530</v>
      </c>
      <c r="S22" s="6">
        <v>17130</v>
      </c>
      <c r="T22" s="6">
        <v>14550</v>
      </c>
      <c r="U22" s="6">
        <v>15600</v>
      </c>
      <c r="V22" s="6">
        <v>14880</v>
      </c>
      <c r="W22" s="6">
        <v>15210</v>
      </c>
      <c r="X22" s="6">
        <v>13920</v>
      </c>
      <c r="Y22" s="6">
        <v>15210</v>
      </c>
      <c r="Z22" s="6">
        <v>14580</v>
      </c>
      <c r="AA22" s="6">
        <v>14520</v>
      </c>
      <c r="AB22" s="6">
        <v>14820</v>
      </c>
      <c r="AC22" s="6">
        <v>14310</v>
      </c>
      <c r="AD22" s="6">
        <v>13710</v>
      </c>
      <c r="AE22" s="6">
        <v>187740</v>
      </c>
      <c r="AF22" s="6">
        <v>178440</v>
      </c>
      <c r="AG22" s="16">
        <v>366180</v>
      </c>
      <c r="AH22" s="17">
        <v>15645</v>
      </c>
      <c r="AI22" s="17">
        <v>14870</v>
      </c>
      <c r="AJ22" s="17">
        <v>15257.5</v>
      </c>
      <c r="AK22" s="18">
        <v>0.22774932258488589</v>
      </c>
      <c r="AL22" s="19">
        <v>845.1048301323591</v>
      </c>
      <c r="AM22" s="20">
        <v>5.5389469449933414E-2</v>
      </c>
      <c r="AN22" s="21">
        <v>41378340</v>
      </c>
      <c r="AO22" s="22">
        <v>3.8247984720973164E-3</v>
      </c>
      <c r="AP22" s="22">
        <v>0.91287703706218803</v>
      </c>
      <c r="AQ22" s="22" t="s">
        <v>179</v>
      </c>
      <c r="AR22" s="22" t="s">
        <v>157</v>
      </c>
      <c r="AS22" s="22" t="s">
        <v>185</v>
      </c>
      <c r="AT22" s="23">
        <v>56490</v>
      </c>
      <c r="AU22" s="24">
        <v>3.7989240080699394</v>
      </c>
      <c r="AV22" s="24">
        <v>24500</v>
      </c>
      <c r="AW22" s="24">
        <v>14000</v>
      </c>
      <c r="AX22" s="1" t="s">
        <v>154</v>
      </c>
      <c r="AY22" s="25">
        <v>495.66666666666669</v>
      </c>
      <c r="AZ22" s="23">
        <v>30</v>
      </c>
      <c r="BA22" s="26">
        <v>14870</v>
      </c>
      <c r="BB22" s="27">
        <v>29740</v>
      </c>
    </row>
    <row r="23" spans="1:54" ht="12" x14ac:dyDescent="0.3">
      <c r="A23" s="12" t="s">
        <v>206</v>
      </c>
      <c r="B23" s="12">
        <v>209123</v>
      </c>
      <c r="C23" s="13" t="s">
        <v>93</v>
      </c>
      <c r="D23" s="13" t="s">
        <v>47</v>
      </c>
      <c r="E23" s="14">
        <v>9996</v>
      </c>
      <c r="F23" s="15" t="s">
        <v>45</v>
      </c>
      <c r="G23" s="6">
        <v>148</v>
      </c>
      <c r="H23" s="6">
        <v>159</v>
      </c>
      <c r="I23" s="6">
        <v>131</v>
      </c>
      <c r="J23" s="6">
        <v>115</v>
      </c>
      <c r="K23" s="6">
        <v>171</v>
      </c>
      <c r="L23" s="6">
        <v>163</v>
      </c>
      <c r="M23" s="6">
        <v>184</v>
      </c>
      <c r="N23" s="6">
        <v>200</v>
      </c>
      <c r="O23" s="6">
        <v>149</v>
      </c>
      <c r="P23" s="6">
        <v>129</v>
      </c>
      <c r="Q23" s="6">
        <v>121</v>
      </c>
      <c r="R23" s="6">
        <v>144</v>
      </c>
      <c r="S23" s="6">
        <v>167</v>
      </c>
      <c r="T23" s="6">
        <v>141</v>
      </c>
      <c r="U23" s="6">
        <v>120</v>
      </c>
      <c r="V23" s="6">
        <v>162</v>
      </c>
      <c r="W23" s="6">
        <v>149</v>
      </c>
      <c r="X23" s="6">
        <v>134</v>
      </c>
      <c r="Y23" s="6">
        <v>181</v>
      </c>
      <c r="Z23" s="6">
        <v>174</v>
      </c>
      <c r="AA23" s="6">
        <v>150</v>
      </c>
      <c r="AB23" s="6">
        <v>142</v>
      </c>
      <c r="AC23" s="6">
        <v>131</v>
      </c>
      <c r="AD23" s="6">
        <v>177</v>
      </c>
      <c r="AE23" s="6">
        <v>1814</v>
      </c>
      <c r="AF23" s="6">
        <v>1828</v>
      </c>
      <c r="AG23" s="16">
        <v>3642</v>
      </c>
      <c r="AH23" s="17">
        <v>151.16666666666666</v>
      </c>
      <c r="AI23" s="17">
        <v>152.33333333333334</v>
      </c>
      <c r="AJ23" s="17">
        <v>151.75</v>
      </c>
      <c r="AK23" s="18">
        <v>2.3331414575497164E-3</v>
      </c>
      <c r="AL23" s="19">
        <v>22.403901057822399</v>
      </c>
      <c r="AM23" s="20">
        <v>0.14763690977148203</v>
      </c>
      <c r="AN23" s="21">
        <v>36405432</v>
      </c>
      <c r="AO23" s="22">
        <v>3.3651287289350601E-3</v>
      </c>
      <c r="AP23" s="22">
        <v>0.92694094803286309</v>
      </c>
      <c r="AQ23" s="22" t="s">
        <v>179</v>
      </c>
      <c r="AR23" s="22" t="s">
        <v>157</v>
      </c>
      <c r="AS23" s="22" t="s">
        <v>185</v>
      </c>
      <c r="AT23" s="23">
        <v>514</v>
      </c>
      <c r="AU23" s="24">
        <v>3.3741794310722097</v>
      </c>
      <c r="AV23" s="24">
        <v>270</v>
      </c>
      <c r="AW23" s="24">
        <v>150</v>
      </c>
      <c r="AX23" s="1" t="s">
        <v>154</v>
      </c>
      <c r="AY23" s="25">
        <v>5.0777777777777784</v>
      </c>
      <c r="AZ23" s="23">
        <v>30</v>
      </c>
      <c r="BA23" s="26">
        <v>152.33333333333334</v>
      </c>
      <c r="BB23" s="27">
        <v>304.66666666666669</v>
      </c>
    </row>
    <row r="24" spans="1:54" ht="12" x14ac:dyDescent="0.3">
      <c r="A24" s="12" t="s">
        <v>210</v>
      </c>
      <c r="B24" s="12">
        <v>104054</v>
      </c>
      <c r="C24" s="13" t="s">
        <v>97</v>
      </c>
      <c r="D24" s="13" t="s">
        <v>53</v>
      </c>
      <c r="E24" s="14">
        <v>464</v>
      </c>
      <c r="F24" s="15" t="s">
        <v>45</v>
      </c>
      <c r="G24" s="6">
        <v>2709</v>
      </c>
      <c r="H24" s="6">
        <v>2858</v>
      </c>
      <c r="I24" s="6">
        <v>2968</v>
      </c>
      <c r="J24" s="6">
        <v>2902</v>
      </c>
      <c r="K24" s="6">
        <v>2778</v>
      </c>
      <c r="L24" s="6">
        <v>3245</v>
      </c>
      <c r="M24" s="6">
        <v>2735</v>
      </c>
      <c r="N24" s="6">
        <v>3131</v>
      </c>
      <c r="O24" s="6">
        <v>2423</v>
      </c>
      <c r="P24" s="6">
        <v>2768</v>
      </c>
      <c r="Q24" s="6">
        <v>2686</v>
      </c>
      <c r="R24" s="6">
        <v>2416</v>
      </c>
      <c r="S24" s="6">
        <v>2932</v>
      </c>
      <c r="T24" s="6">
        <v>2631</v>
      </c>
      <c r="U24" s="6">
        <v>2913</v>
      </c>
      <c r="V24" s="6">
        <v>3309</v>
      </c>
      <c r="W24" s="6">
        <v>2988</v>
      </c>
      <c r="X24" s="6">
        <v>2501</v>
      </c>
      <c r="Y24" s="6">
        <v>3274</v>
      </c>
      <c r="Z24" s="6">
        <v>3266</v>
      </c>
      <c r="AA24" s="6">
        <v>2205</v>
      </c>
      <c r="AB24" s="6">
        <v>3311</v>
      </c>
      <c r="AC24" s="6">
        <v>3054</v>
      </c>
      <c r="AD24" s="6">
        <v>2950</v>
      </c>
      <c r="AE24" s="6">
        <v>33619</v>
      </c>
      <c r="AF24" s="6">
        <v>35334</v>
      </c>
      <c r="AG24" s="16">
        <v>68953</v>
      </c>
      <c r="AH24" s="17">
        <v>2801.5833333333335</v>
      </c>
      <c r="AI24" s="17">
        <v>2944.5</v>
      </c>
      <c r="AJ24" s="17">
        <v>2873.0416666666665</v>
      </c>
      <c r="AK24" s="18">
        <v>4.5098041718305081E-2</v>
      </c>
      <c r="AL24" s="19">
        <v>303.93827736775074</v>
      </c>
      <c r="AM24" s="20">
        <v>0.10578972135840381</v>
      </c>
      <c r="AN24" s="21">
        <v>31994192</v>
      </c>
      <c r="AO24" s="22">
        <v>2.9573766535242398E-3</v>
      </c>
      <c r="AP24" s="22">
        <v>0.93937940067199666</v>
      </c>
      <c r="AQ24" s="22" t="s">
        <v>179</v>
      </c>
      <c r="AR24" s="22" t="s">
        <v>157</v>
      </c>
      <c r="AS24" s="22" t="s">
        <v>185</v>
      </c>
      <c r="AT24" s="23">
        <v>11188</v>
      </c>
      <c r="AU24" s="24">
        <v>3.7996264221429783</v>
      </c>
      <c r="AV24" s="24">
        <v>800</v>
      </c>
      <c r="AW24" s="24">
        <v>0</v>
      </c>
      <c r="AX24" s="1" t="s">
        <v>154</v>
      </c>
      <c r="AY24" s="25">
        <v>98.15</v>
      </c>
      <c r="AZ24" s="23">
        <v>30</v>
      </c>
      <c r="BA24" s="26">
        <v>2944.5</v>
      </c>
      <c r="BB24" s="27">
        <v>5889</v>
      </c>
    </row>
    <row r="25" spans="1:54" ht="12" x14ac:dyDescent="0.3">
      <c r="A25" s="12" t="s">
        <v>217</v>
      </c>
      <c r="B25" s="12">
        <v>209008</v>
      </c>
      <c r="C25" s="13" t="s">
        <v>102</v>
      </c>
      <c r="D25" s="13" t="s">
        <v>47</v>
      </c>
      <c r="E25" s="14">
        <v>12244</v>
      </c>
      <c r="F25" s="15" t="s">
        <v>45</v>
      </c>
      <c r="G25" s="6">
        <v>88</v>
      </c>
      <c r="H25" s="6">
        <v>109</v>
      </c>
      <c r="I25" s="6">
        <v>94</v>
      </c>
      <c r="J25" s="6">
        <v>85</v>
      </c>
      <c r="K25" s="6">
        <v>106</v>
      </c>
      <c r="L25" s="6">
        <v>104</v>
      </c>
      <c r="M25" s="6">
        <v>101</v>
      </c>
      <c r="N25" s="6">
        <v>117</v>
      </c>
      <c r="O25" s="6">
        <v>101</v>
      </c>
      <c r="P25" s="6">
        <v>89</v>
      </c>
      <c r="Q25" s="6">
        <v>84</v>
      </c>
      <c r="R25" s="6">
        <v>66</v>
      </c>
      <c r="S25" s="6">
        <v>59</v>
      </c>
      <c r="T25" s="6">
        <v>77</v>
      </c>
      <c r="U25" s="6">
        <v>73</v>
      </c>
      <c r="V25" s="6">
        <v>118</v>
      </c>
      <c r="W25" s="6">
        <v>85</v>
      </c>
      <c r="X25" s="6">
        <v>91</v>
      </c>
      <c r="Y25" s="6">
        <v>141</v>
      </c>
      <c r="Z25" s="6">
        <v>127</v>
      </c>
      <c r="AA25" s="6">
        <v>116</v>
      </c>
      <c r="AB25" s="6">
        <v>126</v>
      </c>
      <c r="AC25" s="6">
        <v>96</v>
      </c>
      <c r="AD25" s="6">
        <v>127</v>
      </c>
      <c r="AE25" s="6">
        <v>1144</v>
      </c>
      <c r="AF25" s="6">
        <v>1236</v>
      </c>
      <c r="AG25" s="16">
        <v>2380</v>
      </c>
      <c r="AH25" s="17">
        <v>95.333333333333329</v>
      </c>
      <c r="AI25" s="17">
        <v>103</v>
      </c>
      <c r="AJ25" s="17">
        <v>99.166666666666671</v>
      </c>
      <c r="AK25" s="18">
        <v>1.5775507885839439E-3</v>
      </c>
      <c r="AL25" s="19">
        <v>20.852831455467751</v>
      </c>
      <c r="AM25" s="20">
        <v>0.21028065333244789</v>
      </c>
      <c r="AN25" s="21">
        <v>29140720</v>
      </c>
      <c r="AO25" s="22">
        <v>2.693616547493585E-3</v>
      </c>
      <c r="AP25" s="22">
        <v>0.95331884264196776</v>
      </c>
      <c r="AQ25" s="22" t="s">
        <v>215</v>
      </c>
      <c r="AR25" s="22" t="s">
        <v>157</v>
      </c>
      <c r="AS25" s="22" t="s">
        <v>218</v>
      </c>
      <c r="AT25" s="23">
        <v>154</v>
      </c>
      <c r="AU25" s="24">
        <v>1.4951456310679612</v>
      </c>
      <c r="AV25" s="24">
        <v>200</v>
      </c>
      <c r="AW25" s="24">
        <v>100</v>
      </c>
      <c r="AX25" s="1" t="s">
        <v>154</v>
      </c>
      <c r="AY25" s="25">
        <v>3.4333333333333331</v>
      </c>
      <c r="AZ25" s="23">
        <v>30</v>
      </c>
      <c r="BA25" s="26">
        <v>103</v>
      </c>
      <c r="BB25" s="27">
        <v>206</v>
      </c>
    </row>
    <row r="26" spans="1:54" ht="12" x14ac:dyDescent="0.3">
      <c r="A26" s="12" t="s">
        <v>220</v>
      </c>
      <c r="B26" s="12">
        <v>101039</v>
      </c>
      <c r="C26" s="13" t="s">
        <v>104</v>
      </c>
      <c r="D26" s="13" t="s">
        <v>47</v>
      </c>
      <c r="E26" s="14">
        <v>10520</v>
      </c>
      <c r="F26" s="15" t="s">
        <v>45</v>
      </c>
      <c r="G26" s="6">
        <v>96</v>
      </c>
      <c r="H26" s="6">
        <v>87</v>
      </c>
      <c r="I26" s="6">
        <v>115</v>
      </c>
      <c r="J26" s="6">
        <v>91</v>
      </c>
      <c r="K26" s="6">
        <v>97</v>
      </c>
      <c r="L26" s="6">
        <v>84</v>
      </c>
      <c r="M26" s="6">
        <v>93</v>
      </c>
      <c r="N26" s="6">
        <v>123</v>
      </c>
      <c r="O26" s="6">
        <v>109</v>
      </c>
      <c r="P26" s="6">
        <v>118</v>
      </c>
      <c r="Q26" s="6">
        <v>106</v>
      </c>
      <c r="R26" s="6">
        <v>101</v>
      </c>
      <c r="S26" s="6">
        <v>111</v>
      </c>
      <c r="T26" s="6">
        <v>118</v>
      </c>
      <c r="U26" s="6">
        <v>108</v>
      </c>
      <c r="V26" s="6">
        <v>120</v>
      </c>
      <c r="W26" s="6">
        <v>116</v>
      </c>
      <c r="X26" s="6">
        <v>106</v>
      </c>
      <c r="Y26" s="6">
        <v>123</v>
      </c>
      <c r="Z26" s="6">
        <v>130</v>
      </c>
      <c r="AA26" s="6">
        <v>101</v>
      </c>
      <c r="AB26" s="6">
        <v>132</v>
      </c>
      <c r="AC26" s="6">
        <v>133</v>
      </c>
      <c r="AD26" s="6">
        <v>132</v>
      </c>
      <c r="AE26" s="6">
        <v>1220</v>
      </c>
      <c r="AF26" s="6">
        <v>1430</v>
      </c>
      <c r="AG26" s="16">
        <v>2650</v>
      </c>
      <c r="AH26" s="17">
        <v>101.66666666666667</v>
      </c>
      <c r="AI26" s="17">
        <v>119.16666666666667</v>
      </c>
      <c r="AJ26" s="17">
        <v>110.41666666666667</v>
      </c>
      <c r="AK26" s="18">
        <v>1.8251598929409708E-3</v>
      </c>
      <c r="AL26" s="19">
        <v>14.655216215356216</v>
      </c>
      <c r="AM26" s="20">
        <v>0.13272648647869781</v>
      </c>
      <c r="AN26" s="21">
        <v>27878000</v>
      </c>
      <c r="AO26" s="22">
        <v>2.5768972801985045E-3</v>
      </c>
      <c r="AP26" s="22">
        <v>0.95853950434988977</v>
      </c>
      <c r="AQ26" s="22" t="s">
        <v>215</v>
      </c>
      <c r="AR26" s="22" t="s">
        <v>157</v>
      </c>
      <c r="AS26" s="22" t="s">
        <v>218</v>
      </c>
      <c r="AT26" s="23">
        <v>129</v>
      </c>
      <c r="AU26" s="24">
        <v>1.0825174825174824</v>
      </c>
      <c r="AV26" s="24">
        <v>180</v>
      </c>
      <c r="AW26" s="24">
        <v>120</v>
      </c>
      <c r="AX26" s="1" t="s">
        <v>154</v>
      </c>
      <c r="AY26" s="25">
        <v>3.9722222222222223</v>
      </c>
      <c r="AZ26" s="23">
        <v>30</v>
      </c>
      <c r="BA26" s="26">
        <v>119.16666666666667</v>
      </c>
      <c r="BB26" s="27">
        <v>238.33333333333334</v>
      </c>
    </row>
    <row r="27" spans="1:54" ht="12" x14ac:dyDescent="0.3">
      <c r="A27" s="12" t="s">
        <v>224</v>
      </c>
      <c r="B27" s="12">
        <v>101027</v>
      </c>
      <c r="C27" s="13" t="s">
        <v>107</v>
      </c>
      <c r="D27" s="13" t="s">
        <v>47</v>
      </c>
      <c r="E27" s="14">
        <v>4046</v>
      </c>
      <c r="F27" s="15" t="s">
        <v>45</v>
      </c>
      <c r="G27" s="6">
        <v>206</v>
      </c>
      <c r="H27" s="6">
        <v>201</v>
      </c>
      <c r="I27" s="6">
        <v>278</v>
      </c>
      <c r="J27" s="6">
        <v>244</v>
      </c>
      <c r="K27" s="6">
        <v>359</v>
      </c>
      <c r="L27" s="6">
        <v>367</v>
      </c>
      <c r="M27" s="6">
        <v>305</v>
      </c>
      <c r="N27" s="6">
        <v>279</v>
      </c>
      <c r="O27" s="6">
        <v>310</v>
      </c>
      <c r="P27" s="6">
        <v>344</v>
      </c>
      <c r="Q27" s="6">
        <v>278</v>
      </c>
      <c r="R27" s="6">
        <v>215</v>
      </c>
      <c r="S27" s="6">
        <v>257</v>
      </c>
      <c r="T27" s="6">
        <v>214</v>
      </c>
      <c r="U27" s="6">
        <v>262</v>
      </c>
      <c r="V27" s="6">
        <v>368</v>
      </c>
      <c r="W27" s="6">
        <v>312</v>
      </c>
      <c r="X27" s="6">
        <v>246</v>
      </c>
      <c r="Y27" s="6">
        <v>286</v>
      </c>
      <c r="Z27" s="6">
        <v>260</v>
      </c>
      <c r="AA27" s="6">
        <v>233</v>
      </c>
      <c r="AB27" s="6">
        <v>265</v>
      </c>
      <c r="AC27" s="6">
        <v>239</v>
      </c>
      <c r="AD27" s="6">
        <v>279</v>
      </c>
      <c r="AE27" s="6">
        <v>3386</v>
      </c>
      <c r="AF27" s="6">
        <v>3221</v>
      </c>
      <c r="AG27" s="16">
        <v>6607</v>
      </c>
      <c r="AH27" s="17">
        <v>282.16666666666669</v>
      </c>
      <c r="AI27" s="17">
        <v>268.41666666666669</v>
      </c>
      <c r="AJ27" s="17">
        <v>275.29166666666669</v>
      </c>
      <c r="AK27" s="18">
        <v>4.1110769336803266E-3</v>
      </c>
      <c r="AL27" s="19">
        <v>49.268985893911896</v>
      </c>
      <c r="AM27" s="20">
        <v>0.17897013189857505</v>
      </c>
      <c r="AN27" s="21">
        <v>26731922</v>
      </c>
      <c r="AO27" s="22">
        <v>2.470959792534564E-3</v>
      </c>
      <c r="AP27" s="22">
        <v>0.9660066564490114</v>
      </c>
      <c r="AQ27" s="22" t="s">
        <v>215</v>
      </c>
      <c r="AR27" s="22" t="s">
        <v>157</v>
      </c>
      <c r="AS27" s="22" t="s">
        <v>218</v>
      </c>
      <c r="AT27" s="23">
        <v>873</v>
      </c>
      <c r="AU27" s="24">
        <v>3.2524060850667493</v>
      </c>
      <c r="AV27" s="24">
        <v>400</v>
      </c>
      <c r="AW27" s="24">
        <v>280</v>
      </c>
      <c r="AX27" s="1" t="s">
        <v>154</v>
      </c>
      <c r="AY27" s="25">
        <v>8.9472222222222229</v>
      </c>
      <c r="AZ27" s="23">
        <v>30</v>
      </c>
      <c r="BA27" s="26">
        <v>268.41666666666669</v>
      </c>
      <c r="BB27" s="27">
        <v>536.83333333333337</v>
      </c>
    </row>
    <row r="28" spans="1:54" ht="12" x14ac:dyDescent="0.3">
      <c r="A28" s="12" t="s">
        <v>227</v>
      </c>
      <c r="B28" s="12">
        <v>209047</v>
      </c>
      <c r="C28" s="13" t="s">
        <v>110</v>
      </c>
      <c r="D28" s="13" t="s">
        <v>47</v>
      </c>
      <c r="E28" s="14">
        <v>17871</v>
      </c>
      <c r="F28" s="15" t="s">
        <v>45</v>
      </c>
      <c r="G28" s="6">
        <v>34</v>
      </c>
      <c r="H28" s="6">
        <v>66</v>
      </c>
      <c r="I28" s="6">
        <v>51</v>
      </c>
      <c r="J28" s="6">
        <v>48</v>
      </c>
      <c r="K28" s="6">
        <v>82</v>
      </c>
      <c r="L28" s="6">
        <v>73</v>
      </c>
      <c r="M28" s="6">
        <v>61</v>
      </c>
      <c r="N28" s="6">
        <v>68</v>
      </c>
      <c r="O28" s="6">
        <v>70</v>
      </c>
      <c r="P28" s="6">
        <v>57</v>
      </c>
      <c r="Q28" s="6">
        <v>55</v>
      </c>
      <c r="R28" s="6">
        <v>46</v>
      </c>
      <c r="S28" s="6">
        <v>55</v>
      </c>
      <c r="T28" s="6">
        <v>62</v>
      </c>
      <c r="U28" s="6">
        <v>60</v>
      </c>
      <c r="V28" s="6">
        <v>81</v>
      </c>
      <c r="W28" s="6">
        <v>52</v>
      </c>
      <c r="X28" s="6">
        <v>61</v>
      </c>
      <c r="Y28" s="6">
        <v>67</v>
      </c>
      <c r="Z28" s="6">
        <v>50</v>
      </c>
      <c r="AA28" s="6">
        <v>52</v>
      </c>
      <c r="AB28" s="6">
        <v>66</v>
      </c>
      <c r="AC28" s="6">
        <v>60</v>
      </c>
      <c r="AD28" s="6">
        <v>62</v>
      </c>
      <c r="AE28" s="6">
        <v>711</v>
      </c>
      <c r="AF28" s="6">
        <v>728</v>
      </c>
      <c r="AG28" s="16">
        <v>1439</v>
      </c>
      <c r="AH28" s="17">
        <v>59.25</v>
      </c>
      <c r="AI28" s="17">
        <v>60.666666666666664</v>
      </c>
      <c r="AJ28" s="17">
        <v>59.958333333333336</v>
      </c>
      <c r="AK28" s="18">
        <v>9.2917230913358508E-4</v>
      </c>
      <c r="AL28" s="19">
        <v>10.980136875153299</v>
      </c>
      <c r="AM28" s="20">
        <v>0.18312945448483611</v>
      </c>
      <c r="AN28" s="21">
        <v>25716369</v>
      </c>
      <c r="AO28" s="22">
        <v>2.3770873567932112E-3</v>
      </c>
      <c r="AP28" s="22">
        <v>0.97318137396631577</v>
      </c>
      <c r="AQ28" s="22" t="s">
        <v>215</v>
      </c>
      <c r="AR28" s="22" t="s">
        <v>157</v>
      </c>
      <c r="AS28" s="22" t="s">
        <v>218</v>
      </c>
      <c r="AT28" s="23">
        <v>9</v>
      </c>
      <c r="AU28" s="24">
        <v>0.14835164835164835</v>
      </c>
      <c r="AV28" s="24">
        <v>100</v>
      </c>
      <c r="AW28" s="24">
        <v>60</v>
      </c>
      <c r="AX28" s="1" t="s">
        <v>198</v>
      </c>
      <c r="AY28" s="25">
        <v>2.0222222222222221</v>
      </c>
      <c r="AZ28" s="23">
        <v>30</v>
      </c>
      <c r="BA28" s="26">
        <v>60.666666666666664</v>
      </c>
      <c r="BB28" s="27">
        <v>121.33333333333333</v>
      </c>
    </row>
    <row r="29" spans="1:54" ht="12" x14ac:dyDescent="0.3">
      <c r="A29" s="12" t="s">
        <v>233</v>
      </c>
      <c r="B29" s="12">
        <v>209052</v>
      </c>
      <c r="C29" s="13" t="s">
        <v>117</v>
      </c>
      <c r="D29" s="13" t="s">
        <v>47</v>
      </c>
      <c r="E29" s="14">
        <v>7878</v>
      </c>
      <c r="F29" s="15" t="s">
        <v>45</v>
      </c>
      <c r="G29" s="6">
        <v>75</v>
      </c>
      <c r="H29" s="6">
        <v>65</v>
      </c>
      <c r="I29" s="6">
        <v>79</v>
      </c>
      <c r="J29" s="6">
        <v>77</v>
      </c>
      <c r="K29" s="6">
        <v>71</v>
      </c>
      <c r="L29" s="6">
        <v>74</v>
      </c>
      <c r="M29" s="6">
        <v>76</v>
      </c>
      <c r="N29" s="6">
        <v>71</v>
      </c>
      <c r="O29" s="6">
        <v>73</v>
      </c>
      <c r="P29" s="6">
        <v>82</v>
      </c>
      <c r="Q29" s="6">
        <v>85</v>
      </c>
      <c r="R29" s="6">
        <v>62</v>
      </c>
      <c r="S29" s="6">
        <v>64</v>
      </c>
      <c r="T29" s="6">
        <v>78</v>
      </c>
      <c r="U29" s="6">
        <v>83</v>
      </c>
      <c r="V29" s="6">
        <v>83</v>
      </c>
      <c r="W29" s="6">
        <v>83</v>
      </c>
      <c r="X29" s="6">
        <v>76</v>
      </c>
      <c r="Y29" s="6">
        <v>92</v>
      </c>
      <c r="Z29" s="6">
        <v>79</v>
      </c>
      <c r="AA29" s="6">
        <v>77</v>
      </c>
      <c r="AB29" s="6">
        <v>106</v>
      </c>
      <c r="AC29" s="6">
        <v>84</v>
      </c>
      <c r="AD29" s="6">
        <v>83</v>
      </c>
      <c r="AE29" s="6">
        <v>890</v>
      </c>
      <c r="AF29" s="6">
        <v>988</v>
      </c>
      <c r="AG29" s="16">
        <v>1878</v>
      </c>
      <c r="AH29" s="17">
        <v>74.166666666666671</v>
      </c>
      <c r="AI29" s="17">
        <v>82.333333333333329</v>
      </c>
      <c r="AJ29" s="17">
        <v>78.25</v>
      </c>
      <c r="AK29" s="18">
        <v>1.2610195623955797E-3</v>
      </c>
      <c r="AL29" s="19">
        <v>9.2325040175882194</v>
      </c>
      <c r="AM29" s="20">
        <v>0.11798727179026479</v>
      </c>
      <c r="AN29" s="21">
        <v>14794884</v>
      </c>
      <c r="AO29" s="22">
        <v>1.3675621041843882E-3</v>
      </c>
      <c r="AP29" s="22">
        <v>0.98340389996485933</v>
      </c>
      <c r="AQ29" s="22" t="s">
        <v>215</v>
      </c>
      <c r="AR29" s="22" t="s">
        <v>157</v>
      </c>
      <c r="AS29" s="22" t="s">
        <v>218</v>
      </c>
      <c r="AT29" s="23">
        <v>168</v>
      </c>
      <c r="AU29" s="24">
        <v>2.0404858299595143</v>
      </c>
      <c r="AV29" s="24">
        <v>100</v>
      </c>
      <c r="AW29" s="24">
        <v>70</v>
      </c>
      <c r="AX29" s="1" t="s">
        <v>154</v>
      </c>
      <c r="AY29" s="25">
        <v>2.7444444444444445</v>
      </c>
      <c r="AZ29" s="23">
        <v>30</v>
      </c>
      <c r="BA29" s="26">
        <v>82.333333333333329</v>
      </c>
      <c r="BB29" s="27">
        <v>164.66666666666666</v>
      </c>
    </row>
    <row r="30" spans="1:54" ht="12" x14ac:dyDescent="0.3">
      <c r="A30" s="12" t="s">
        <v>234</v>
      </c>
      <c r="B30" s="12">
        <v>101028</v>
      </c>
      <c r="C30" s="13" t="s">
        <v>118</v>
      </c>
      <c r="D30" s="13" t="s">
        <v>53</v>
      </c>
      <c r="E30" s="14">
        <v>58</v>
      </c>
      <c r="F30" s="15" t="s">
        <v>45</v>
      </c>
      <c r="G30" s="6">
        <v>8430</v>
      </c>
      <c r="H30" s="6">
        <v>8160</v>
      </c>
      <c r="I30" s="6">
        <v>9090</v>
      </c>
      <c r="J30" s="6">
        <v>9120</v>
      </c>
      <c r="K30" s="6">
        <v>9450</v>
      </c>
      <c r="L30" s="6">
        <v>9870</v>
      </c>
      <c r="M30" s="6">
        <v>10380</v>
      </c>
      <c r="N30" s="6">
        <v>10200</v>
      </c>
      <c r="O30" s="6">
        <v>10050</v>
      </c>
      <c r="P30" s="6">
        <v>10260</v>
      </c>
      <c r="Q30" s="6">
        <v>10140</v>
      </c>
      <c r="R30" s="6">
        <v>10830</v>
      </c>
      <c r="S30" s="6">
        <v>10800</v>
      </c>
      <c r="T30" s="6">
        <v>9510</v>
      </c>
      <c r="U30" s="6">
        <v>10080</v>
      </c>
      <c r="V30" s="6">
        <v>10320</v>
      </c>
      <c r="W30" s="6">
        <v>9960</v>
      </c>
      <c r="X30" s="6">
        <v>9480</v>
      </c>
      <c r="Y30" s="6">
        <v>10170</v>
      </c>
      <c r="Z30" s="6">
        <v>10230</v>
      </c>
      <c r="AA30" s="6">
        <v>10080</v>
      </c>
      <c r="AB30" s="6">
        <v>9990</v>
      </c>
      <c r="AC30" s="6">
        <v>9900</v>
      </c>
      <c r="AD30" s="6">
        <v>9990</v>
      </c>
      <c r="AE30" s="6">
        <v>115980</v>
      </c>
      <c r="AF30" s="6">
        <v>120510</v>
      </c>
      <c r="AG30" s="16">
        <v>236490</v>
      </c>
      <c r="AH30" s="17">
        <v>9665</v>
      </c>
      <c r="AI30" s="17">
        <v>10042.5</v>
      </c>
      <c r="AJ30" s="17">
        <v>9853.75</v>
      </c>
      <c r="AK30" s="18">
        <v>0.15381120188693453</v>
      </c>
      <c r="AL30" s="19">
        <v>645.43084700134182</v>
      </c>
      <c r="AM30" s="20">
        <v>6.5501037371695228E-2</v>
      </c>
      <c r="AN30" s="21">
        <v>13716420</v>
      </c>
      <c r="AO30" s="22">
        <v>1.2678745029076825E-3</v>
      </c>
      <c r="AP30" s="22">
        <v>0.98467177446776699</v>
      </c>
      <c r="AQ30" s="22" t="s">
        <v>215</v>
      </c>
      <c r="AR30" s="22" t="s">
        <v>157</v>
      </c>
      <c r="AS30" s="22" t="s">
        <v>218</v>
      </c>
      <c r="AT30" s="23">
        <v>35910</v>
      </c>
      <c r="AU30" s="24">
        <v>3.5758028379387601</v>
      </c>
      <c r="AV30" s="24">
        <v>3600</v>
      </c>
      <c r="AW30" s="24">
        <v>0</v>
      </c>
      <c r="AX30" s="1" t="s">
        <v>154</v>
      </c>
      <c r="AY30" s="25">
        <v>334.75</v>
      </c>
      <c r="AZ30" s="23">
        <v>30</v>
      </c>
      <c r="BA30" s="26">
        <v>10042.5</v>
      </c>
      <c r="BB30" s="27">
        <v>20085</v>
      </c>
    </row>
    <row r="31" spans="1:54" ht="12" x14ac:dyDescent="0.3">
      <c r="A31" s="12" t="s">
        <v>236</v>
      </c>
      <c r="B31" s="12">
        <v>101015</v>
      </c>
      <c r="C31" s="13" t="s">
        <v>120</v>
      </c>
      <c r="D31" s="13" t="s">
        <v>53</v>
      </c>
      <c r="E31" s="14">
        <v>771</v>
      </c>
      <c r="F31" s="15" t="s">
        <v>45</v>
      </c>
      <c r="G31" s="6">
        <v>615</v>
      </c>
      <c r="H31" s="6">
        <v>585</v>
      </c>
      <c r="I31" s="6">
        <v>765</v>
      </c>
      <c r="J31" s="6">
        <v>645</v>
      </c>
      <c r="K31" s="6">
        <v>765</v>
      </c>
      <c r="L31" s="6">
        <v>705</v>
      </c>
      <c r="M31" s="6">
        <v>765</v>
      </c>
      <c r="N31" s="6">
        <v>705</v>
      </c>
      <c r="O31" s="6">
        <v>810</v>
      </c>
      <c r="P31" s="6">
        <v>690</v>
      </c>
      <c r="Q31" s="6">
        <v>660</v>
      </c>
      <c r="R31" s="6">
        <v>750</v>
      </c>
      <c r="S31" s="6">
        <v>750</v>
      </c>
      <c r="T31" s="6">
        <v>630</v>
      </c>
      <c r="U31" s="6">
        <v>720</v>
      </c>
      <c r="V31" s="6">
        <v>600</v>
      </c>
      <c r="W31" s="6">
        <v>690</v>
      </c>
      <c r="X31" s="6">
        <v>660</v>
      </c>
      <c r="Y31" s="6">
        <v>660</v>
      </c>
      <c r="Z31" s="6">
        <v>570</v>
      </c>
      <c r="AA31" s="6">
        <v>660</v>
      </c>
      <c r="AB31" s="6">
        <v>690</v>
      </c>
      <c r="AC31" s="6">
        <v>630</v>
      </c>
      <c r="AD31" s="6">
        <v>630</v>
      </c>
      <c r="AE31" s="6">
        <v>8460</v>
      </c>
      <c r="AF31" s="6">
        <v>7890</v>
      </c>
      <c r="AG31" s="16">
        <v>16350</v>
      </c>
      <c r="AH31" s="17">
        <v>705</v>
      </c>
      <c r="AI31" s="17">
        <v>657.5</v>
      </c>
      <c r="AJ31" s="17">
        <v>681.25</v>
      </c>
      <c r="AK31" s="18">
        <v>1.007028780091207E-2</v>
      </c>
      <c r="AL31" s="19">
        <v>63.780363613017258</v>
      </c>
      <c r="AM31" s="20">
        <v>9.3622552092502392E-2</v>
      </c>
      <c r="AN31" s="21">
        <v>12605850</v>
      </c>
      <c r="AO31" s="22">
        <v>1.1652191900276318E-3</v>
      </c>
      <c r="AP31" s="22">
        <v>0.98706311351404863</v>
      </c>
      <c r="AQ31" s="22" t="s">
        <v>215</v>
      </c>
      <c r="AR31" s="22" t="s">
        <v>157</v>
      </c>
      <c r="AS31" s="22" t="s">
        <v>218</v>
      </c>
      <c r="AT31" s="23">
        <v>2940</v>
      </c>
      <c r="AU31" s="24">
        <v>4.4714828897338403</v>
      </c>
      <c r="AV31" s="24">
        <v>1200</v>
      </c>
      <c r="AW31" s="24">
        <v>630</v>
      </c>
      <c r="AX31" s="1" t="s">
        <v>154</v>
      </c>
      <c r="AY31" s="25">
        <v>21.916666666666668</v>
      </c>
      <c r="AZ31" s="23">
        <v>30</v>
      </c>
      <c r="BA31" s="26">
        <v>657.5</v>
      </c>
      <c r="BB31" s="27">
        <v>1315</v>
      </c>
    </row>
    <row r="32" spans="1:54" ht="12" x14ac:dyDescent="0.3">
      <c r="A32" s="12" t="s">
        <v>241</v>
      </c>
      <c r="B32" s="12">
        <v>209147</v>
      </c>
      <c r="C32" s="13" t="s">
        <v>125</v>
      </c>
      <c r="D32" s="13" t="s">
        <v>53</v>
      </c>
      <c r="E32" s="14">
        <v>720</v>
      </c>
      <c r="F32" s="15" t="s">
        <v>45</v>
      </c>
      <c r="G32" s="6">
        <v>653</v>
      </c>
      <c r="H32" s="6">
        <v>518</v>
      </c>
      <c r="I32" s="6">
        <v>560</v>
      </c>
      <c r="J32" s="6">
        <v>605</v>
      </c>
      <c r="K32" s="6">
        <v>562</v>
      </c>
      <c r="L32" s="6">
        <v>623</v>
      </c>
      <c r="M32" s="6">
        <v>505</v>
      </c>
      <c r="N32" s="6">
        <v>589</v>
      </c>
      <c r="O32" s="6">
        <v>567</v>
      </c>
      <c r="P32" s="6">
        <v>489</v>
      </c>
      <c r="Q32" s="6">
        <v>517</v>
      </c>
      <c r="R32" s="6">
        <v>490</v>
      </c>
      <c r="S32" s="6">
        <v>592</v>
      </c>
      <c r="T32" s="6">
        <v>444</v>
      </c>
      <c r="U32" s="6">
        <v>610</v>
      </c>
      <c r="V32" s="6">
        <v>773</v>
      </c>
      <c r="W32" s="6">
        <v>908</v>
      </c>
      <c r="X32" s="6">
        <v>790</v>
      </c>
      <c r="Y32" s="6">
        <v>820</v>
      </c>
      <c r="Z32" s="6">
        <v>639</v>
      </c>
      <c r="AA32" s="6">
        <v>640</v>
      </c>
      <c r="AB32" s="6">
        <v>634</v>
      </c>
      <c r="AC32" s="6">
        <v>498</v>
      </c>
      <c r="AD32" s="6">
        <v>473</v>
      </c>
      <c r="AE32" s="6">
        <v>6678</v>
      </c>
      <c r="AF32" s="6">
        <v>7821</v>
      </c>
      <c r="AG32" s="16">
        <v>14499</v>
      </c>
      <c r="AH32" s="17">
        <v>556.5</v>
      </c>
      <c r="AI32" s="17">
        <v>651.75</v>
      </c>
      <c r="AJ32" s="17">
        <v>604.125</v>
      </c>
      <c r="AK32" s="18">
        <v>9.9822206452386941E-3</v>
      </c>
      <c r="AL32" s="19">
        <v>117.74523437231464</v>
      </c>
      <c r="AM32" s="20">
        <v>0.19490210531316307</v>
      </c>
      <c r="AN32" s="21">
        <v>10439280</v>
      </c>
      <c r="AO32" s="22">
        <v>9.6495273115828413E-4</v>
      </c>
      <c r="AP32" s="22">
        <v>0.99261464770504348</v>
      </c>
      <c r="AQ32" s="22" t="s">
        <v>215</v>
      </c>
      <c r="AR32" s="22" t="s">
        <v>157</v>
      </c>
      <c r="AS32" s="22" t="s">
        <v>218</v>
      </c>
      <c r="AT32" s="23">
        <v>3376</v>
      </c>
      <c r="AU32" s="24">
        <v>5.179900268507863</v>
      </c>
      <c r="AV32" s="24">
        <v>800</v>
      </c>
      <c r="AW32" s="24">
        <v>500</v>
      </c>
      <c r="AX32" s="1" t="s">
        <v>154</v>
      </c>
      <c r="AY32" s="25">
        <v>21.725000000000001</v>
      </c>
      <c r="AZ32" s="23">
        <v>30</v>
      </c>
      <c r="BA32" s="26">
        <v>651.75</v>
      </c>
      <c r="BB32" s="27">
        <v>1303.5</v>
      </c>
    </row>
    <row r="33" spans="1:54" ht="12" x14ac:dyDescent="0.3">
      <c r="A33" s="12" t="s">
        <v>245</v>
      </c>
      <c r="B33" s="12">
        <v>209089</v>
      </c>
      <c r="C33" s="13" t="s">
        <v>129</v>
      </c>
      <c r="D33" s="13" t="s">
        <v>53</v>
      </c>
      <c r="E33" s="14">
        <v>202</v>
      </c>
      <c r="F33" s="15" t="s">
        <v>45</v>
      </c>
      <c r="G33" s="6">
        <v>1771</v>
      </c>
      <c r="H33" s="6">
        <v>1426</v>
      </c>
      <c r="I33" s="6">
        <v>1801</v>
      </c>
      <c r="J33" s="6">
        <v>1680</v>
      </c>
      <c r="K33" s="6">
        <v>1926</v>
      </c>
      <c r="L33" s="6">
        <v>1580</v>
      </c>
      <c r="M33" s="6">
        <v>1637</v>
      </c>
      <c r="N33" s="6">
        <v>1641</v>
      </c>
      <c r="O33" s="6">
        <v>1282</v>
      </c>
      <c r="P33" s="6">
        <v>1625</v>
      </c>
      <c r="Q33" s="6">
        <v>1513</v>
      </c>
      <c r="R33" s="6">
        <v>1520</v>
      </c>
      <c r="S33" s="6">
        <v>2132</v>
      </c>
      <c r="T33" s="6">
        <v>1717</v>
      </c>
      <c r="U33" s="6">
        <v>1525</v>
      </c>
      <c r="V33" s="6">
        <v>1637</v>
      </c>
      <c r="W33" s="6">
        <v>1528</v>
      </c>
      <c r="X33" s="6">
        <v>1344</v>
      </c>
      <c r="Y33" s="6">
        <v>1387</v>
      </c>
      <c r="Z33" s="6">
        <v>1374</v>
      </c>
      <c r="AA33" s="6">
        <v>1093</v>
      </c>
      <c r="AB33" s="6">
        <v>1758</v>
      </c>
      <c r="AC33" s="6">
        <v>1291</v>
      </c>
      <c r="AD33" s="6">
        <v>1265</v>
      </c>
      <c r="AE33" s="6">
        <v>19402</v>
      </c>
      <c r="AF33" s="6">
        <v>18051</v>
      </c>
      <c r="AG33" s="16">
        <v>37453</v>
      </c>
      <c r="AH33" s="17">
        <v>1616.8333333333333</v>
      </c>
      <c r="AI33" s="17">
        <v>1504.25</v>
      </c>
      <c r="AJ33" s="17">
        <v>1560.5416666666667</v>
      </c>
      <c r="AK33" s="18">
        <v>2.3039133725508715E-2</v>
      </c>
      <c r="AL33" s="19">
        <v>233.59068235710532</v>
      </c>
      <c r="AM33" s="20">
        <v>0.14968564271408238</v>
      </c>
      <c r="AN33" s="21">
        <v>7565506</v>
      </c>
      <c r="AO33" s="22">
        <v>6.9931601387206643E-4</v>
      </c>
      <c r="AP33" s="22">
        <v>0.99572226824790067</v>
      </c>
      <c r="AQ33" s="22" t="s">
        <v>215</v>
      </c>
      <c r="AR33" s="22" t="s">
        <v>157</v>
      </c>
      <c r="AS33" s="22" t="s">
        <v>218</v>
      </c>
      <c r="AT33" s="23">
        <v>6907</v>
      </c>
      <c r="AU33" s="24">
        <v>4.5916569719129132</v>
      </c>
      <c r="AV33" s="24">
        <v>600</v>
      </c>
      <c r="AW33" s="24">
        <v>0</v>
      </c>
      <c r="AX33" s="1" t="s">
        <v>154</v>
      </c>
      <c r="AY33" s="25">
        <v>50.141666666666666</v>
      </c>
      <c r="AZ33" s="23">
        <v>30</v>
      </c>
      <c r="BA33" s="26">
        <v>1504.25</v>
      </c>
      <c r="BB33" s="27">
        <v>3008.5</v>
      </c>
    </row>
    <row r="34" spans="1:54" ht="12" x14ac:dyDescent="0.3">
      <c r="A34" s="12" t="s">
        <v>150</v>
      </c>
      <c r="B34" s="12">
        <v>101084</v>
      </c>
      <c r="C34" s="13" t="s">
        <v>43</v>
      </c>
      <c r="D34" s="13" t="s">
        <v>44</v>
      </c>
      <c r="E34" s="14">
        <v>2070600</v>
      </c>
      <c r="F34" s="15" t="s">
        <v>45</v>
      </c>
      <c r="G34" s="6">
        <v>22</v>
      </c>
      <c r="H34" s="6">
        <v>26</v>
      </c>
      <c r="I34" s="6">
        <v>34</v>
      </c>
      <c r="J34" s="6">
        <v>29</v>
      </c>
      <c r="K34" s="6">
        <v>40</v>
      </c>
      <c r="L34" s="6">
        <v>32</v>
      </c>
      <c r="M34" s="6">
        <v>46</v>
      </c>
      <c r="N34" s="6">
        <v>60</v>
      </c>
      <c r="O34" s="6">
        <v>56</v>
      </c>
      <c r="P34" s="6">
        <v>60</v>
      </c>
      <c r="Q34" s="6">
        <v>54</v>
      </c>
      <c r="R34" s="6">
        <v>40</v>
      </c>
      <c r="S34" s="6">
        <v>54</v>
      </c>
      <c r="T34" s="6">
        <v>34</v>
      </c>
      <c r="U34" s="6">
        <v>54</v>
      </c>
      <c r="V34" s="6">
        <v>48</v>
      </c>
      <c r="W34" s="6">
        <v>38</v>
      </c>
      <c r="X34" s="6">
        <v>26</v>
      </c>
      <c r="Y34" s="6">
        <v>24</v>
      </c>
      <c r="Z34" s="6">
        <v>26</v>
      </c>
      <c r="AA34" s="6">
        <v>36</v>
      </c>
      <c r="AB34" s="6">
        <v>28</v>
      </c>
      <c r="AC34" s="6">
        <v>40</v>
      </c>
      <c r="AD34" s="6">
        <v>40</v>
      </c>
      <c r="AE34" s="6">
        <v>499</v>
      </c>
      <c r="AF34" s="6">
        <v>448</v>
      </c>
      <c r="AG34" s="16">
        <v>947</v>
      </c>
      <c r="AH34" s="17">
        <v>41.583333333333336</v>
      </c>
      <c r="AI34" s="17">
        <v>37.333333333333336</v>
      </c>
      <c r="AJ34" s="17">
        <v>39.458333333333336</v>
      </c>
      <c r="AK34" s="18">
        <v>5.7179834408220618E-4</v>
      </c>
      <c r="AL34" s="19">
        <v>12.025260249074492</v>
      </c>
      <c r="AM34" s="20">
        <v>0.30475844348235248</v>
      </c>
      <c r="AN34" s="21">
        <v>1960858200</v>
      </c>
      <c r="AO34" s="22">
        <v>0.18125153032624061</v>
      </c>
      <c r="AP34" s="22">
        <v>0.18125153032624061</v>
      </c>
      <c r="AQ34" s="22" t="s">
        <v>151</v>
      </c>
      <c r="AR34" s="22" t="s">
        <v>152</v>
      </c>
      <c r="AS34" s="22" t="s">
        <v>153</v>
      </c>
      <c r="AT34" s="23">
        <v>159</v>
      </c>
      <c r="AU34" s="24">
        <v>4.2589285714285712</v>
      </c>
      <c r="AV34" s="24">
        <v>60</v>
      </c>
      <c r="AW34" s="24">
        <v>30</v>
      </c>
      <c r="AX34" s="1" t="s">
        <v>154</v>
      </c>
      <c r="AY34" s="25">
        <v>1.2444444444444445</v>
      </c>
      <c r="AZ34" s="23">
        <v>30</v>
      </c>
      <c r="BA34" s="26">
        <v>37.333333333333336</v>
      </c>
      <c r="BB34" s="27">
        <v>74.666666666666671</v>
      </c>
    </row>
    <row r="35" spans="1:54" ht="12" x14ac:dyDescent="0.3">
      <c r="A35" s="12" t="s">
        <v>155</v>
      </c>
      <c r="B35" s="12">
        <v>101074</v>
      </c>
      <c r="C35" s="13" t="s">
        <v>46</v>
      </c>
      <c r="D35" s="13" t="s">
        <v>47</v>
      </c>
      <c r="E35" s="14">
        <v>1010498</v>
      </c>
      <c r="F35" s="15" t="s">
        <v>45</v>
      </c>
      <c r="G35" s="6">
        <v>72</v>
      </c>
      <c r="H35" s="6">
        <v>36</v>
      </c>
      <c r="I35" s="6">
        <v>86</v>
      </c>
      <c r="J35" s="6">
        <v>61</v>
      </c>
      <c r="K35" s="6">
        <v>76</v>
      </c>
      <c r="L35" s="6">
        <v>44</v>
      </c>
      <c r="M35" s="6">
        <v>48</v>
      </c>
      <c r="N35" s="6">
        <v>48</v>
      </c>
      <c r="O35" s="6">
        <v>52</v>
      </c>
      <c r="P35" s="6">
        <v>60</v>
      </c>
      <c r="Q35" s="6">
        <v>40</v>
      </c>
      <c r="R35" s="6">
        <v>40</v>
      </c>
      <c r="S35" s="6">
        <v>56</v>
      </c>
      <c r="T35" s="6">
        <v>56</v>
      </c>
      <c r="U35" s="6">
        <v>57</v>
      </c>
      <c r="V35" s="6">
        <v>88</v>
      </c>
      <c r="W35" s="6">
        <v>92</v>
      </c>
      <c r="X35" s="6">
        <v>92</v>
      </c>
      <c r="Y35" s="6">
        <v>104</v>
      </c>
      <c r="Z35" s="6">
        <v>92</v>
      </c>
      <c r="AA35" s="6">
        <v>76</v>
      </c>
      <c r="AB35" s="6">
        <v>100</v>
      </c>
      <c r="AC35" s="6">
        <v>87</v>
      </c>
      <c r="AD35" s="6">
        <v>105</v>
      </c>
      <c r="AE35" s="6">
        <v>663</v>
      </c>
      <c r="AF35" s="6">
        <v>1005</v>
      </c>
      <c r="AG35" s="16">
        <v>1668</v>
      </c>
      <c r="AH35" s="17">
        <v>55.25</v>
      </c>
      <c r="AI35" s="17">
        <v>83.75</v>
      </c>
      <c r="AJ35" s="17">
        <v>69.5</v>
      </c>
      <c r="AK35" s="18">
        <v>1.2827172674165564E-3</v>
      </c>
      <c r="AL35" s="19">
        <v>22.20262420839326</v>
      </c>
      <c r="AM35" s="20">
        <v>0.31946221882580228</v>
      </c>
      <c r="AN35" s="21">
        <v>1685510664</v>
      </c>
      <c r="AO35" s="22">
        <v>0.15579983663846672</v>
      </c>
      <c r="AP35" s="22">
        <v>0.33705136696470733</v>
      </c>
      <c r="AQ35" s="22" t="s">
        <v>151</v>
      </c>
      <c r="AR35" s="22" t="s">
        <v>152</v>
      </c>
      <c r="AS35" s="22" t="s">
        <v>153</v>
      </c>
      <c r="AT35" s="23">
        <v>149</v>
      </c>
      <c r="AU35" s="24">
        <v>1.7791044776119402</v>
      </c>
      <c r="AV35" s="24">
        <v>168</v>
      </c>
      <c r="AW35" s="24">
        <v>100</v>
      </c>
      <c r="AX35" s="1" t="s">
        <v>154</v>
      </c>
      <c r="AY35" s="25">
        <v>2.7916666666666665</v>
      </c>
      <c r="AZ35" s="23">
        <v>30</v>
      </c>
      <c r="BA35" s="26">
        <v>83.75</v>
      </c>
      <c r="BB35" s="27">
        <v>167.5</v>
      </c>
    </row>
    <row r="36" spans="1:54" ht="12" x14ac:dyDescent="0.3">
      <c r="A36" s="12" t="s">
        <v>159</v>
      </c>
      <c r="B36" s="12">
        <v>101052</v>
      </c>
      <c r="C36" s="13" t="s">
        <v>49</v>
      </c>
      <c r="D36" s="13" t="s">
        <v>47</v>
      </c>
      <c r="E36" s="14">
        <v>1824137</v>
      </c>
      <c r="F36" s="15" t="s">
        <v>45</v>
      </c>
      <c r="G36" s="6">
        <v>22</v>
      </c>
      <c r="H36" s="6">
        <v>12</v>
      </c>
      <c r="I36" s="6">
        <v>14</v>
      </c>
      <c r="J36" s="6">
        <v>13</v>
      </c>
      <c r="K36" s="6">
        <v>16</v>
      </c>
      <c r="L36" s="6">
        <v>12</v>
      </c>
      <c r="M36" s="6">
        <v>16</v>
      </c>
      <c r="N36" s="6">
        <v>20</v>
      </c>
      <c r="O36" s="6">
        <v>5</v>
      </c>
      <c r="P36" s="6">
        <v>7</v>
      </c>
      <c r="Q36" s="6">
        <v>9</v>
      </c>
      <c r="R36" s="6">
        <v>10</v>
      </c>
      <c r="S36" s="6">
        <v>16</v>
      </c>
      <c r="T36" s="6">
        <v>12</v>
      </c>
      <c r="U36" s="6">
        <v>14</v>
      </c>
      <c r="V36" s="6">
        <v>26</v>
      </c>
      <c r="W36" s="6">
        <v>23</v>
      </c>
      <c r="X36" s="6">
        <v>9</v>
      </c>
      <c r="Y36" s="6">
        <v>12</v>
      </c>
      <c r="Z36" s="6">
        <v>9</v>
      </c>
      <c r="AA36" s="6">
        <v>14</v>
      </c>
      <c r="AB36" s="6">
        <v>10</v>
      </c>
      <c r="AC36" s="6">
        <v>9</v>
      </c>
      <c r="AD36" s="6">
        <v>7</v>
      </c>
      <c r="AE36" s="6">
        <v>156</v>
      </c>
      <c r="AF36" s="6">
        <v>161</v>
      </c>
      <c r="AG36" s="16">
        <v>317</v>
      </c>
      <c r="AH36" s="17">
        <v>13</v>
      </c>
      <c r="AI36" s="17">
        <v>13.416666666666666</v>
      </c>
      <c r="AJ36" s="17">
        <v>13.208333333333334</v>
      </c>
      <c r="AK36" s="18">
        <v>2.0549002990454286E-4</v>
      </c>
      <c r="AL36" s="19">
        <v>5.3159249403104329</v>
      </c>
      <c r="AM36" s="20">
        <v>0.40246750336735138</v>
      </c>
      <c r="AN36" s="21">
        <v>578251429</v>
      </c>
      <c r="AO36" s="22">
        <v>5.345055365022594E-2</v>
      </c>
      <c r="AP36" s="22">
        <v>0.46985552531207508</v>
      </c>
      <c r="AQ36" s="22" t="s">
        <v>151</v>
      </c>
      <c r="AR36" s="22" t="s">
        <v>152</v>
      </c>
      <c r="AS36" s="22" t="s">
        <v>153</v>
      </c>
      <c r="AT36" s="23">
        <v>57</v>
      </c>
      <c r="AU36" s="24">
        <v>4.2484472049689446</v>
      </c>
      <c r="AV36" s="24">
        <v>18</v>
      </c>
      <c r="AW36" s="24">
        <v>10</v>
      </c>
      <c r="AX36" s="1" t="s">
        <v>154</v>
      </c>
      <c r="AY36" s="25">
        <v>0.44722222222222219</v>
      </c>
      <c r="AZ36" s="23">
        <v>30</v>
      </c>
      <c r="BA36" s="26">
        <v>13.416666666666666</v>
      </c>
      <c r="BB36" s="27">
        <v>26.833333333333332</v>
      </c>
    </row>
    <row r="37" spans="1:54" ht="12" x14ac:dyDescent="0.3">
      <c r="A37" s="12" t="s">
        <v>160</v>
      </c>
      <c r="B37" s="12">
        <v>106090</v>
      </c>
      <c r="C37" s="13" t="s">
        <v>50</v>
      </c>
      <c r="D37" s="13" t="s">
        <v>47</v>
      </c>
      <c r="E37" s="14">
        <v>791357</v>
      </c>
      <c r="F37" s="15" t="s">
        <v>45</v>
      </c>
      <c r="G37" s="6">
        <v>12</v>
      </c>
      <c r="H37" s="6">
        <v>8</v>
      </c>
      <c r="I37" s="6">
        <v>13</v>
      </c>
      <c r="J37" s="6">
        <v>14</v>
      </c>
      <c r="K37" s="6">
        <v>15</v>
      </c>
      <c r="L37" s="6">
        <v>10</v>
      </c>
      <c r="M37" s="6">
        <v>13</v>
      </c>
      <c r="N37" s="6">
        <v>17</v>
      </c>
      <c r="O37" s="6">
        <v>18</v>
      </c>
      <c r="P37" s="6">
        <v>16</v>
      </c>
      <c r="Q37" s="6">
        <v>20</v>
      </c>
      <c r="R37" s="6">
        <v>19</v>
      </c>
      <c r="S37" s="6">
        <v>20</v>
      </c>
      <c r="T37" s="6">
        <v>21</v>
      </c>
      <c r="U37" s="6">
        <v>17</v>
      </c>
      <c r="V37" s="6">
        <v>22</v>
      </c>
      <c r="W37" s="6">
        <v>21</v>
      </c>
      <c r="X37" s="6">
        <v>22</v>
      </c>
      <c r="Y37" s="6">
        <v>23</v>
      </c>
      <c r="Z37" s="6">
        <v>24</v>
      </c>
      <c r="AA37" s="6">
        <v>24</v>
      </c>
      <c r="AB37" s="6">
        <v>24</v>
      </c>
      <c r="AC37" s="6">
        <v>26</v>
      </c>
      <c r="AD37" s="6">
        <v>30</v>
      </c>
      <c r="AE37" s="6">
        <v>175</v>
      </c>
      <c r="AF37" s="6">
        <v>274</v>
      </c>
      <c r="AG37" s="16">
        <v>449</v>
      </c>
      <c r="AH37" s="17">
        <v>14.583333333333334</v>
      </c>
      <c r="AI37" s="17">
        <v>22.833333333333332</v>
      </c>
      <c r="AJ37" s="17">
        <v>18.708333333333332</v>
      </c>
      <c r="AK37" s="18">
        <v>3.497159515145636E-4</v>
      </c>
      <c r="AL37" s="19">
        <v>5.3930645209876973</v>
      </c>
      <c r="AM37" s="20">
        <v>0.28827070936237137</v>
      </c>
      <c r="AN37" s="21">
        <v>355319293</v>
      </c>
      <c r="AO37" s="22">
        <v>3.2843866838860591E-2</v>
      </c>
      <c r="AP37" s="22">
        <v>0.50269939215093573</v>
      </c>
      <c r="AQ37" s="22" t="s">
        <v>151</v>
      </c>
      <c r="AR37" s="22" t="s">
        <v>152</v>
      </c>
      <c r="AS37" s="22" t="s">
        <v>153</v>
      </c>
      <c r="AT37" s="23">
        <v>43</v>
      </c>
      <c r="AU37" s="24">
        <v>1.8832116788321169</v>
      </c>
      <c r="AV37" s="24">
        <v>50</v>
      </c>
      <c r="AW37" s="24">
        <v>33</v>
      </c>
      <c r="AX37" s="1" t="s">
        <v>154</v>
      </c>
      <c r="AY37" s="25">
        <v>0.76111111111111107</v>
      </c>
      <c r="AZ37" s="23">
        <v>30</v>
      </c>
      <c r="BA37" s="26">
        <v>22.833333333333332</v>
      </c>
      <c r="BB37" s="27">
        <v>45.666666666666664</v>
      </c>
    </row>
    <row r="38" spans="1:54" ht="12" x14ac:dyDescent="0.3">
      <c r="A38" s="12" t="s">
        <v>161</v>
      </c>
      <c r="B38" s="12">
        <v>101073</v>
      </c>
      <c r="C38" s="13" t="s">
        <v>51</v>
      </c>
      <c r="D38" s="13" t="s">
        <v>47</v>
      </c>
      <c r="E38" s="14">
        <v>404198</v>
      </c>
      <c r="F38" s="15" t="s">
        <v>45</v>
      </c>
      <c r="G38" s="6">
        <v>36</v>
      </c>
      <c r="H38" s="6">
        <v>45</v>
      </c>
      <c r="I38" s="6">
        <v>43</v>
      </c>
      <c r="J38" s="6">
        <v>19</v>
      </c>
      <c r="K38" s="6">
        <v>35</v>
      </c>
      <c r="L38" s="6">
        <v>34</v>
      </c>
      <c r="M38" s="6">
        <v>24</v>
      </c>
      <c r="N38" s="6">
        <v>24</v>
      </c>
      <c r="O38" s="6">
        <v>26</v>
      </c>
      <c r="P38" s="6">
        <v>29</v>
      </c>
      <c r="Q38" s="6">
        <v>20</v>
      </c>
      <c r="R38" s="6">
        <v>20</v>
      </c>
      <c r="S38" s="6">
        <v>28</v>
      </c>
      <c r="T38" s="6">
        <v>27</v>
      </c>
      <c r="U38" s="6">
        <v>30</v>
      </c>
      <c r="V38" s="6">
        <v>57</v>
      </c>
      <c r="W38" s="6">
        <v>46</v>
      </c>
      <c r="X38" s="6">
        <v>30</v>
      </c>
      <c r="Y38" s="6">
        <v>52</v>
      </c>
      <c r="Z38" s="6">
        <v>46</v>
      </c>
      <c r="AA38" s="6">
        <v>38</v>
      </c>
      <c r="AB38" s="6">
        <v>50</v>
      </c>
      <c r="AC38" s="6">
        <v>36</v>
      </c>
      <c r="AD38" s="6">
        <v>50</v>
      </c>
      <c r="AE38" s="6">
        <v>355</v>
      </c>
      <c r="AF38" s="6">
        <v>490</v>
      </c>
      <c r="AG38" s="16">
        <v>845</v>
      </c>
      <c r="AH38" s="17">
        <v>29.583333333333332</v>
      </c>
      <c r="AI38" s="17">
        <v>40.833333333333336</v>
      </c>
      <c r="AJ38" s="17">
        <v>35.208333333333336</v>
      </c>
      <c r="AK38" s="18">
        <v>6.2540443883991306E-4</v>
      </c>
      <c r="AL38" s="19">
        <v>11.166639627914483</v>
      </c>
      <c r="AM38" s="20">
        <v>0.3171589953490504</v>
      </c>
      <c r="AN38" s="21">
        <v>341547310</v>
      </c>
      <c r="AO38" s="22">
        <v>3.1570856381308396E-2</v>
      </c>
      <c r="AP38" s="22">
        <v>0.53427024853224414</v>
      </c>
      <c r="AQ38" s="22" t="s">
        <v>151</v>
      </c>
      <c r="AR38" s="22" t="s">
        <v>152</v>
      </c>
      <c r="AS38" s="22" t="s">
        <v>153</v>
      </c>
      <c r="AT38" s="23">
        <v>63</v>
      </c>
      <c r="AU38" s="24">
        <v>1.5428571428571427</v>
      </c>
      <c r="AV38" s="24">
        <v>84</v>
      </c>
      <c r="AW38" s="24">
        <v>45</v>
      </c>
      <c r="AX38" s="1" t="s">
        <v>154</v>
      </c>
      <c r="AY38" s="25">
        <v>1.3611111111111112</v>
      </c>
      <c r="AZ38" s="23">
        <v>30</v>
      </c>
      <c r="BA38" s="26">
        <v>40.833333333333336</v>
      </c>
      <c r="BB38" s="27">
        <v>81.666666666666671</v>
      </c>
    </row>
    <row r="39" spans="1:54" ht="12" x14ac:dyDescent="0.3">
      <c r="A39" s="12" t="s">
        <v>169</v>
      </c>
      <c r="B39" s="12">
        <v>209059</v>
      </c>
      <c r="C39" s="13" t="s">
        <v>59</v>
      </c>
      <c r="D39" s="13" t="s">
        <v>47</v>
      </c>
      <c r="E39" s="14">
        <v>55066</v>
      </c>
      <c r="F39" s="15" t="s">
        <v>45</v>
      </c>
      <c r="G39" s="6">
        <v>212</v>
      </c>
      <c r="H39" s="6">
        <v>123</v>
      </c>
      <c r="I39" s="6">
        <v>130</v>
      </c>
      <c r="J39" s="6">
        <v>90</v>
      </c>
      <c r="K39" s="6">
        <v>134</v>
      </c>
      <c r="L39" s="6">
        <v>124</v>
      </c>
      <c r="M39" s="6">
        <v>198</v>
      </c>
      <c r="N39" s="6">
        <v>238</v>
      </c>
      <c r="O39" s="6">
        <v>82</v>
      </c>
      <c r="P39" s="6">
        <v>158</v>
      </c>
      <c r="Q39" s="6">
        <v>181</v>
      </c>
      <c r="R39" s="6">
        <v>232</v>
      </c>
      <c r="S39" s="6">
        <v>240</v>
      </c>
      <c r="T39" s="6">
        <v>193</v>
      </c>
      <c r="U39" s="6">
        <v>145</v>
      </c>
      <c r="V39" s="6">
        <v>179</v>
      </c>
      <c r="W39" s="6">
        <v>218</v>
      </c>
      <c r="X39" s="6">
        <v>176</v>
      </c>
      <c r="Y39" s="6">
        <v>263</v>
      </c>
      <c r="Z39" s="6">
        <v>201</v>
      </c>
      <c r="AA39" s="6">
        <v>154</v>
      </c>
      <c r="AB39" s="6">
        <v>115</v>
      </c>
      <c r="AC39" s="6">
        <v>200</v>
      </c>
      <c r="AD39" s="6">
        <v>121</v>
      </c>
      <c r="AE39" s="6">
        <v>1902</v>
      </c>
      <c r="AF39" s="6">
        <v>2205</v>
      </c>
      <c r="AG39" s="16">
        <v>4107</v>
      </c>
      <c r="AH39" s="17">
        <v>158.5</v>
      </c>
      <c r="AI39" s="17">
        <v>183.75</v>
      </c>
      <c r="AJ39" s="17">
        <v>171.125</v>
      </c>
      <c r="AK39" s="18">
        <v>2.8143199747796086E-3</v>
      </c>
      <c r="AL39" s="19">
        <v>49.905399638150165</v>
      </c>
      <c r="AM39" s="20">
        <v>0.29163126158159336</v>
      </c>
      <c r="AN39" s="21">
        <v>226156062</v>
      </c>
      <c r="AO39" s="22">
        <v>2.0904689757809184E-2</v>
      </c>
      <c r="AP39" s="22">
        <v>0.69297773707961574</v>
      </c>
      <c r="AQ39" s="22" t="s">
        <v>151</v>
      </c>
      <c r="AR39" s="22" t="s">
        <v>152</v>
      </c>
      <c r="AS39" s="22" t="s">
        <v>153</v>
      </c>
      <c r="AT39" s="23">
        <v>917</v>
      </c>
      <c r="AU39" s="24">
        <v>4.9904761904761905</v>
      </c>
      <c r="AV39" s="24">
        <v>240</v>
      </c>
      <c r="AW39" s="24">
        <v>120</v>
      </c>
      <c r="AX39" s="1" t="s">
        <v>154</v>
      </c>
      <c r="AY39" s="25">
        <v>6.125</v>
      </c>
      <c r="AZ39" s="23">
        <v>30</v>
      </c>
      <c r="BA39" s="26">
        <v>183.75</v>
      </c>
      <c r="BB39" s="27">
        <v>367.5</v>
      </c>
    </row>
    <row r="40" spans="1:54" ht="12" x14ac:dyDescent="0.3">
      <c r="A40" s="12" t="s">
        <v>170</v>
      </c>
      <c r="B40" s="12">
        <v>101023</v>
      </c>
      <c r="C40" s="13" t="s">
        <v>60</v>
      </c>
      <c r="D40" s="13" t="s">
        <v>53</v>
      </c>
      <c r="E40" s="14">
        <v>15374</v>
      </c>
      <c r="F40" s="15" t="s">
        <v>45</v>
      </c>
      <c r="G40" s="6">
        <v>240</v>
      </c>
      <c r="H40" s="6">
        <v>180</v>
      </c>
      <c r="I40" s="6">
        <v>540</v>
      </c>
      <c r="J40" s="6">
        <v>120</v>
      </c>
      <c r="K40" s="6">
        <v>600</v>
      </c>
      <c r="L40" s="6">
        <v>480</v>
      </c>
      <c r="M40" s="6">
        <v>600</v>
      </c>
      <c r="N40" s="6">
        <v>660</v>
      </c>
      <c r="O40" s="6">
        <v>420</v>
      </c>
      <c r="P40" s="6">
        <v>660</v>
      </c>
      <c r="Q40" s="6">
        <v>540</v>
      </c>
      <c r="R40" s="6">
        <v>510</v>
      </c>
      <c r="S40" s="6">
        <v>480</v>
      </c>
      <c r="T40" s="6">
        <v>450</v>
      </c>
      <c r="U40" s="6">
        <v>480</v>
      </c>
      <c r="V40" s="6">
        <v>720</v>
      </c>
      <c r="W40" s="6">
        <v>720</v>
      </c>
      <c r="X40" s="6">
        <v>1072</v>
      </c>
      <c r="Y40" s="6">
        <v>1020</v>
      </c>
      <c r="Z40" s="6">
        <v>600</v>
      </c>
      <c r="AA40" s="6">
        <v>580</v>
      </c>
      <c r="AB40" s="6">
        <v>600</v>
      </c>
      <c r="AC40" s="6">
        <v>720</v>
      </c>
      <c r="AD40" s="6">
        <v>1020</v>
      </c>
      <c r="AE40" s="6">
        <v>5550</v>
      </c>
      <c r="AF40" s="6">
        <v>8462</v>
      </c>
      <c r="AG40" s="16">
        <v>14012</v>
      </c>
      <c r="AH40" s="17">
        <v>462.5</v>
      </c>
      <c r="AI40" s="17">
        <v>705.16666666666663</v>
      </c>
      <c r="AJ40" s="17">
        <v>583.83333333333337</v>
      </c>
      <c r="AK40" s="18">
        <v>1.0800351758088458E-2</v>
      </c>
      <c r="AL40" s="19">
        <v>234.97560773808851</v>
      </c>
      <c r="AM40" s="20">
        <v>0.40247035296275507</v>
      </c>
      <c r="AN40" s="21">
        <v>215420488</v>
      </c>
      <c r="AO40" s="22">
        <v>1.991234915080833E-2</v>
      </c>
      <c r="AP40" s="22">
        <v>0.71289008623042405</v>
      </c>
      <c r="AQ40" s="22" t="s">
        <v>151</v>
      </c>
      <c r="AR40" s="22" t="s">
        <v>152</v>
      </c>
      <c r="AS40" s="22" t="s">
        <v>153</v>
      </c>
      <c r="AT40" s="23">
        <v>1172</v>
      </c>
      <c r="AU40" s="24">
        <v>1.6620184353580714</v>
      </c>
      <c r="AV40" s="24">
        <v>1200</v>
      </c>
      <c r="AW40" s="24">
        <v>784</v>
      </c>
      <c r="AX40" s="1" t="s">
        <v>154</v>
      </c>
      <c r="AY40" s="25">
        <v>23.505555555555553</v>
      </c>
      <c r="AZ40" s="23">
        <v>30</v>
      </c>
      <c r="BA40" s="26">
        <v>705.16666666666663</v>
      </c>
      <c r="BB40" s="27">
        <v>1410.3333333333333</v>
      </c>
    </row>
    <row r="41" spans="1:54" ht="12" x14ac:dyDescent="0.3">
      <c r="A41" s="12" t="s">
        <v>182</v>
      </c>
      <c r="B41" s="12">
        <v>209112</v>
      </c>
      <c r="C41" s="13" t="s">
        <v>72</v>
      </c>
      <c r="D41" s="13" t="s">
        <v>47</v>
      </c>
      <c r="E41" s="14">
        <v>51170</v>
      </c>
      <c r="F41" s="15" t="s">
        <v>45</v>
      </c>
      <c r="G41" s="6">
        <v>45</v>
      </c>
      <c r="H41" s="6">
        <v>44</v>
      </c>
      <c r="I41" s="6">
        <v>66</v>
      </c>
      <c r="J41" s="6">
        <v>48</v>
      </c>
      <c r="K41" s="6">
        <v>71</v>
      </c>
      <c r="L41" s="6">
        <v>62</v>
      </c>
      <c r="M41" s="6">
        <v>71</v>
      </c>
      <c r="N41" s="6">
        <v>64</v>
      </c>
      <c r="O41" s="6">
        <v>59</v>
      </c>
      <c r="P41" s="6">
        <v>63</v>
      </c>
      <c r="Q41" s="6">
        <v>54</v>
      </c>
      <c r="R41" s="6">
        <v>17</v>
      </c>
      <c r="S41" s="6">
        <v>57</v>
      </c>
      <c r="T41" s="6">
        <v>67</v>
      </c>
      <c r="U41" s="6">
        <v>79</v>
      </c>
      <c r="V41" s="6">
        <v>134</v>
      </c>
      <c r="W41" s="6">
        <v>76</v>
      </c>
      <c r="X41" s="6">
        <v>67</v>
      </c>
      <c r="Y41" s="6">
        <v>85</v>
      </c>
      <c r="Z41" s="6">
        <v>56</v>
      </c>
      <c r="AA41" s="6">
        <v>48</v>
      </c>
      <c r="AB41" s="6">
        <v>108</v>
      </c>
      <c r="AC41" s="6">
        <v>193</v>
      </c>
      <c r="AD41" s="6">
        <v>121</v>
      </c>
      <c r="AE41" s="6">
        <v>664</v>
      </c>
      <c r="AF41" s="6">
        <v>1091</v>
      </c>
      <c r="AG41" s="16">
        <v>1755</v>
      </c>
      <c r="AH41" s="17">
        <v>55.333333333333336</v>
      </c>
      <c r="AI41" s="17">
        <v>90.916666666666671</v>
      </c>
      <c r="AJ41" s="17">
        <v>73.125</v>
      </c>
      <c r="AK41" s="18">
        <v>1.3924821281109084E-3</v>
      </c>
      <c r="AL41" s="19">
        <v>35.742208028920217</v>
      </c>
      <c r="AM41" s="20">
        <v>0.48878233201942178</v>
      </c>
      <c r="AN41" s="21">
        <v>89803350</v>
      </c>
      <c r="AO41" s="22">
        <v>8.3009544575548596E-3</v>
      </c>
      <c r="AP41" s="22">
        <v>0.8257252237451701</v>
      </c>
      <c r="AQ41" s="22" t="s">
        <v>179</v>
      </c>
      <c r="AR41" s="22" t="s">
        <v>152</v>
      </c>
      <c r="AS41" s="22" t="s">
        <v>183</v>
      </c>
      <c r="AT41" s="23">
        <v>333</v>
      </c>
      <c r="AU41" s="24">
        <v>3.66269477543538</v>
      </c>
      <c r="AV41" s="24">
        <v>120</v>
      </c>
      <c r="AW41" s="24">
        <v>70</v>
      </c>
      <c r="AX41" s="1" t="s">
        <v>154</v>
      </c>
      <c r="AY41" s="25">
        <v>3.0305555555555559</v>
      </c>
      <c r="AZ41" s="23">
        <v>30</v>
      </c>
      <c r="BA41" s="26">
        <v>90.916666666666671</v>
      </c>
      <c r="BB41" s="27">
        <v>181.83333333333334</v>
      </c>
    </row>
    <row r="42" spans="1:54" ht="12" x14ac:dyDescent="0.3">
      <c r="A42" s="12" t="s">
        <v>190</v>
      </c>
      <c r="B42" s="12">
        <v>209151</v>
      </c>
      <c r="C42" s="13" t="s">
        <v>78</v>
      </c>
      <c r="D42" s="13" t="s">
        <v>47</v>
      </c>
      <c r="E42" s="14">
        <v>102222</v>
      </c>
      <c r="F42" s="15" t="s">
        <v>45</v>
      </c>
      <c r="G42" s="6">
        <v>3</v>
      </c>
      <c r="H42" s="6">
        <v>7</v>
      </c>
      <c r="I42" s="6">
        <v>9</v>
      </c>
      <c r="J42" s="6">
        <v>13</v>
      </c>
      <c r="K42" s="6">
        <v>22</v>
      </c>
      <c r="L42" s="6">
        <v>19</v>
      </c>
      <c r="M42" s="6">
        <v>18</v>
      </c>
      <c r="N42" s="6">
        <v>50</v>
      </c>
      <c r="O42" s="6">
        <v>32</v>
      </c>
      <c r="P42" s="6">
        <v>47</v>
      </c>
      <c r="Q42" s="6">
        <v>31</v>
      </c>
      <c r="R42" s="6">
        <v>25</v>
      </c>
      <c r="S42" s="6">
        <v>31</v>
      </c>
      <c r="T42" s="6">
        <v>29</v>
      </c>
      <c r="U42" s="6">
        <v>32</v>
      </c>
      <c r="V42" s="6">
        <v>18</v>
      </c>
      <c r="W42" s="6">
        <v>23</v>
      </c>
      <c r="X42" s="6">
        <v>15</v>
      </c>
      <c r="Y42" s="6">
        <v>38</v>
      </c>
      <c r="Z42" s="6">
        <v>30</v>
      </c>
      <c r="AA42" s="6">
        <v>27</v>
      </c>
      <c r="AB42" s="6">
        <v>27</v>
      </c>
      <c r="AC42" s="6">
        <v>27</v>
      </c>
      <c r="AD42" s="6">
        <v>25</v>
      </c>
      <c r="AE42" s="6">
        <v>276</v>
      </c>
      <c r="AF42" s="6">
        <v>322</v>
      </c>
      <c r="AG42" s="16">
        <v>598</v>
      </c>
      <c r="AH42" s="17">
        <v>23</v>
      </c>
      <c r="AI42" s="17">
        <v>26.833333333333332</v>
      </c>
      <c r="AJ42" s="17">
        <v>24.916666666666668</v>
      </c>
      <c r="AK42" s="18">
        <v>4.1098005980908572E-4</v>
      </c>
      <c r="AL42" s="19">
        <v>11.336423278689942</v>
      </c>
      <c r="AM42" s="20">
        <v>0.45497350951263982</v>
      </c>
      <c r="AN42" s="21">
        <v>61128756</v>
      </c>
      <c r="AO42" s="22">
        <v>5.6504241724054096E-3</v>
      </c>
      <c r="AP42" s="22">
        <v>0.86594591133206222</v>
      </c>
      <c r="AQ42" s="22" t="s">
        <v>179</v>
      </c>
      <c r="AR42" s="22" t="s">
        <v>152</v>
      </c>
      <c r="AS42" s="22" t="s">
        <v>183</v>
      </c>
      <c r="AT42" s="23">
        <v>84</v>
      </c>
      <c r="AU42" s="24">
        <v>3.1304347826086958</v>
      </c>
      <c r="AV42" s="24">
        <v>40</v>
      </c>
      <c r="AW42" s="24">
        <v>25</v>
      </c>
      <c r="AX42" s="1" t="s">
        <v>154</v>
      </c>
      <c r="AY42" s="25">
        <v>0.89444444444444438</v>
      </c>
      <c r="AZ42" s="23">
        <v>30</v>
      </c>
      <c r="BA42" s="26">
        <v>26.833333333333332</v>
      </c>
      <c r="BB42" s="27">
        <v>53.666666666666664</v>
      </c>
    </row>
    <row r="43" spans="1:54" ht="12" x14ac:dyDescent="0.3">
      <c r="A43" s="12" t="s">
        <v>195</v>
      </c>
      <c r="B43" s="12">
        <v>101080</v>
      </c>
      <c r="C43" s="13" t="s">
        <v>83</v>
      </c>
      <c r="D43" s="13" t="s">
        <v>64</v>
      </c>
      <c r="E43" s="14">
        <v>2987</v>
      </c>
      <c r="F43" s="15" t="s">
        <v>45</v>
      </c>
      <c r="G43" s="6">
        <v>855</v>
      </c>
      <c r="H43" s="6">
        <v>630</v>
      </c>
      <c r="I43" s="6">
        <v>588</v>
      </c>
      <c r="J43" s="6">
        <v>777</v>
      </c>
      <c r="K43" s="6">
        <v>819</v>
      </c>
      <c r="L43" s="6">
        <v>588</v>
      </c>
      <c r="M43" s="6">
        <v>777</v>
      </c>
      <c r="N43" s="6">
        <v>756</v>
      </c>
      <c r="O43" s="6">
        <v>672</v>
      </c>
      <c r="P43" s="6">
        <v>672</v>
      </c>
      <c r="Q43" s="6">
        <v>411</v>
      </c>
      <c r="R43" s="6">
        <v>708</v>
      </c>
      <c r="S43" s="6">
        <v>609</v>
      </c>
      <c r="T43" s="6">
        <v>639</v>
      </c>
      <c r="U43" s="6">
        <v>840</v>
      </c>
      <c r="V43" s="6">
        <v>780</v>
      </c>
      <c r="W43" s="6">
        <v>900</v>
      </c>
      <c r="X43" s="6">
        <v>774</v>
      </c>
      <c r="Y43" s="6">
        <v>1020</v>
      </c>
      <c r="Z43" s="6">
        <v>441</v>
      </c>
      <c r="AA43" s="6">
        <v>414</v>
      </c>
      <c r="AB43" s="6">
        <v>540</v>
      </c>
      <c r="AC43" s="6">
        <v>330</v>
      </c>
      <c r="AD43" s="6">
        <v>390</v>
      </c>
      <c r="AE43" s="6">
        <v>8253</v>
      </c>
      <c r="AF43" s="6">
        <v>7677</v>
      </c>
      <c r="AG43" s="16">
        <v>15930</v>
      </c>
      <c r="AH43" s="17">
        <v>687.75</v>
      </c>
      <c r="AI43" s="17">
        <v>639.75</v>
      </c>
      <c r="AJ43" s="17">
        <v>663.75</v>
      </c>
      <c r="AK43" s="18">
        <v>9.7984283203551275E-3</v>
      </c>
      <c r="AL43" s="19">
        <v>178.17169296471604</v>
      </c>
      <c r="AM43" s="20">
        <v>0.26843192913704866</v>
      </c>
      <c r="AN43" s="21">
        <v>47582910</v>
      </c>
      <c r="AO43" s="22">
        <v>4.3983166426189192E-3</v>
      </c>
      <c r="AP43" s="22">
        <v>0.88863288457588163</v>
      </c>
      <c r="AQ43" s="22" t="s">
        <v>179</v>
      </c>
      <c r="AR43" s="22" t="s">
        <v>152</v>
      </c>
      <c r="AS43" s="22" t="s">
        <v>183</v>
      </c>
      <c r="AT43" s="23">
        <v>2199</v>
      </c>
      <c r="AU43" s="24">
        <v>3.437280187573271</v>
      </c>
      <c r="AV43" s="24">
        <v>400</v>
      </c>
      <c r="AW43" s="24">
        <v>240</v>
      </c>
      <c r="AX43" s="1" t="s">
        <v>154</v>
      </c>
      <c r="AY43" s="25">
        <v>21.324999999999999</v>
      </c>
      <c r="AZ43" s="23">
        <v>30</v>
      </c>
      <c r="BA43" s="26">
        <v>639.75</v>
      </c>
      <c r="BB43" s="27">
        <v>1279.5</v>
      </c>
    </row>
    <row r="44" spans="1:54" ht="12" x14ac:dyDescent="0.3">
      <c r="A44" s="12" t="s">
        <v>196</v>
      </c>
      <c r="B44" s="12">
        <v>101072</v>
      </c>
      <c r="C44" s="13" t="s">
        <v>84</v>
      </c>
      <c r="D44" s="13" t="s">
        <v>47</v>
      </c>
      <c r="E44" s="14">
        <v>128520</v>
      </c>
      <c r="F44" s="15" t="s">
        <v>45</v>
      </c>
      <c r="G44" s="6">
        <v>20</v>
      </c>
      <c r="H44" s="6">
        <v>16</v>
      </c>
      <c r="I44" s="6">
        <v>14</v>
      </c>
      <c r="J44" s="6">
        <v>12</v>
      </c>
      <c r="K44" s="6">
        <v>12</v>
      </c>
      <c r="L44" s="6">
        <v>8</v>
      </c>
      <c r="M44" s="6">
        <v>10</v>
      </c>
      <c r="N44" s="6">
        <v>8</v>
      </c>
      <c r="O44" s="6">
        <v>16</v>
      </c>
      <c r="P44" s="6">
        <v>24</v>
      </c>
      <c r="Q44" s="6">
        <v>12</v>
      </c>
      <c r="R44" s="6">
        <v>12</v>
      </c>
      <c r="S44" s="6">
        <v>16</v>
      </c>
      <c r="T44" s="6">
        <v>9</v>
      </c>
      <c r="U44" s="6">
        <v>15</v>
      </c>
      <c r="V44" s="6">
        <v>16</v>
      </c>
      <c r="W44" s="6">
        <v>20</v>
      </c>
      <c r="X44" s="6">
        <v>22</v>
      </c>
      <c r="Y44" s="6">
        <v>25</v>
      </c>
      <c r="Z44" s="6">
        <v>24</v>
      </c>
      <c r="AA44" s="6">
        <v>18</v>
      </c>
      <c r="AB44" s="6">
        <v>10</v>
      </c>
      <c r="AC44" s="6">
        <v>12</v>
      </c>
      <c r="AD44" s="6">
        <v>12</v>
      </c>
      <c r="AE44" s="6">
        <v>164</v>
      </c>
      <c r="AF44" s="6">
        <v>199</v>
      </c>
      <c r="AG44" s="16">
        <v>363</v>
      </c>
      <c r="AH44" s="17">
        <v>13.666666666666666</v>
      </c>
      <c r="AI44" s="17">
        <v>16.583333333333332</v>
      </c>
      <c r="AJ44" s="17">
        <v>15.125</v>
      </c>
      <c r="AK44" s="18">
        <v>2.5399078230437287E-4</v>
      </c>
      <c r="AL44" s="19">
        <v>5.1609950169727341</v>
      </c>
      <c r="AM44" s="20">
        <v>0.34122281103951962</v>
      </c>
      <c r="AN44" s="21">
        <v>46652760</v>
      </c>
      <c r="AO44" s="22">
        <v>4.3123384158746531E-3</v>
      </c>
      <c r="AP44" s="22">
        <v>0.89294522299175627</v>
      </c>
      <c r="AQ44" s="22" t="s">
        <v>179</v>
      </c>
      <c r="AR44" s="22" t="s">
        <v>152</v>
      </c>
      <c r="AS44" s="22" t="s">
        <v>183</v>
      </c>
      <c r="AT44" s="23">
        <v>120</v>
      </c>
      <c r="AU44" s="24">
        <v>7.2361809045226133</v>
      </c>
      <c r="AV44" s="24">
        <v>22</v>
      </c>
      <c r="AW44" s="24">
        <v>15</v>
      </c>
      <c r="AX44" s="1" t="s">
        <v>154</v>
      </c>
      <c r="AY44" s="25">
        <v>0.5527777777777777</v>
      </c>
      <c r="AZ44" s="23">
        <v>30</v>
      </c>
      <c r="BA44" s="26">
        <v>16.583333333333332</v>
      </c>
      <c r="BB44" s="27">
        <v>33.166666666666664</v>
      </c>
    </row>
    <row r="45" spans="1:54" ht="12" x14ac:dyDescent="0.3">
      <c r="A45" s="12" t="s">
        <v>205</v>
      </c>
      <c r="B45" s="12">
        <v>101062</v>
      </c>
      <c r="C45" s="13" t="s">
        <v>92</v>
      </c>
      <c r="D45" s="13" t="s">
        <v>47</v>
      </c>
      <c r="E45" s="14">
        <v>89250</v>
      </c>
      <c r="F45" s="15" t="s">
        <v>45</v>
      </c>
      <c r="G45" s="6">
        <v>11</v>
      </c>
      <c r="H45" s="6">
        <v>11</v>
      </c>
      <c r="I45" s="6">
        <v>12</v>
      </c>
      <c r="J45" s="6">
        <v>13</v>
      </c>
      <c r="K45" s="6">
        <v>13</v>
      </c>
      <c r="L45" s="6">
        <v>19</v>
      </c>
      <c r="M45" s="6">
        <v>16</v>
      </c>
      <c r="N45" s="6">
        <v>20</v>
      </c>
      <c r="O45" s="6">
        <v>21</v>
      </c>
      <c r="P45" s="6">
        <v>22</v>
      </c>
      <c r="Q45" s="6">
        <v>22</v>
      </c>
      <c r="R45" s="6">
        <v>21</v>
      </c>
      <c r="S45" s="6">
        <v>14</v>
      </c>
      <c r="T45" s="6">
        <v>13</v>
      </c>
      <c r="U45" s="6">
        <v>11</v>
      </c>
      <c r="V45" s="6">
        <v>11</v>
      </c>
      <c r="W45" s="6">
        <v>15</v>
      </c>
      <c r="X45" s="6">
        <v>15</v>
      </c>
      <c r="Y45" s="6">
        <v>19</v>
      </c>
      <c r="Z45" s="6">
        <v>20</v>
      </c>
      <c r="AA45" s="6">
        <v>21</v>
      </c>
      <c r="AB45" s="6">
        <v>27</v>
      </c>
      <c r="AC45" s="6">
        <v>25</v>
      </c>
      <c r="AD45" s="6">
        <v>29</v>
      </c>
      <c r="AE45" s="6">
        <v>201</v>
      </c>
      <c r="AF45" s="6">
        <v>220</v>
      </c>
      <c r="AG45" s="16">
        <v>421</v>
      </c>
      <c r="AH45" s="17">
        <v>16.75</v>
      </c>
      <c r="AI45" s="17">
        <v>18.333333333333332</v>
      </c>
      <c r="AJ45" s="17">
        <v>17.541666666666668</v>
      </c>
      <c r="AK45" s="18">
        <v>2.8079382968322625E-4</v>
      </c>
      <c r="AL45" s="19">
        <v>5.3566631945372603</v>
      </c>
      <c r="AM45" s="20">
        <v>0.30536797308525948</v>
      </c>
      <c r="AN45" s="21">
        <v>37574250</v>
      </c>
      <c r="AO45" s="22">
        <v>3.4731681838904749E-3</v>
      </c>
      <c r="AP45" s="22">
        <v>0.92357581930392807</v>
      </c>
      <c r="AQ45" s="22" t="s">
        <v>179</v>
      </c>
      <c r="AR45" s="22" t="s">
        <v>152</v>
      </c>
      <c r="AS45" s="22" t="s">
        <v>183</v>
      </c>
      <c r="AT45" s="23">
        <v>53</v>
      </c>
      <c r="AU45" s="24">
        <v>2.8909090909090911</v>
      </c>
      <c r="AV45" s="24">
        <v>50</v>
      </c>
      <c r="AW45" s="24">
        <v>30</v>
      </c>
      <c r="AX45" s="1" t="s">
        <v>154</v>
      </c>
      <c r="AY45" s="25">
        <v>0.61111111111111105</v>
      </c>
      <c r="AZ45" s="23">
        <v>30</v>
      </c>
      <c r="BA45" s="26">
        <v>18.333333333333332</v>
      </c>
      <c r="BB45" s="27">
        <v>36.666666666666664</v>
      </c>
    </row>
    <row r="46" spans="1:54" ht="12" x14ac:dyDescent="0.3">
      <c r="A46" s="12" t="s">
        <v>211</v>
      </c>
      <c r="B46" s="12">
        <v>209003</v>
      </c>
      <c r="C46" s="13" t="s">
        <v>98</v>
      </c>
      <c r="D46" s="13" t="s">
        <v>47</v>
      </c>
      <c r="E46" s="14">
        <v>29869</v>
      </c>
      <c r="F46" s="15" t="s">
        <v>45</v>
      </c>
      <c r="G46" s="6">
        <v>15</v>
      </c>
      <c r="H46" s="6">
        <v>33</v>
      </c>
      <c r="I46" s="6">
        <v>68</v>
      </c>
      <c r="J46" s="6">
        <v>73</v>
      </c>
      <c r="K46" s="6">
        <v>83</v>
      </c>
      <c r="L46" s="6">
        <v>43</v>
      </c>
      <c r="M46" s="6">
        <v>30</v>
      </c>
      <c r="N46" s="6">
        <v>66</v>
      </c>
      <c r="O46" s="6">
        <v>77</v>
      </c>
      <c r="P46" s="6">
        <v>50</v>
      </c>
      <c r="Q46" s="6">
        <v>58</v>
      </c>
      <c r="R46" s="6">
        <v>44</v>
      </c>
      <c r="S46" s="6">
        <v>50</v>
      </c>
      <c r="T46" s="6">
        <v>42</v>
      </c>
      <c r="U46" s="6">
        <v>54</v>
      </c>
      <c r="V46" s="6">
        <v>55</v>
      </c>
      <c r="W46" s="6">
        <v>30</v>
      </c>
      <c r="X46" s="6">
        <v>28</v>
      </c>
      <c r="Y46" s="6">
        <v>40</v>
      </c>
      <c r="Z46" s="6">
        <v>24</v>
      </c>
      <c r="AA46" s="6">
        <v>15</v>
      </c>
      <c r="AB46" s="6">
        <v>24</v>
      </c>
      <c r="AC46" s="6">
        <v>26</v>
      </c>
      <c r="AD46" s="6">
        <v>27</v>
      </c>
      <c r="AE46" s="6">
        <v>640</v>
      </c>
      <c r="AF46" s="6">
        <v>415</v>
      </c>
      <c r="AG46" s="16">
        <v>1055</v>
      </c>
      <c r="AH46" s="17">
        <v>53.333333333333336</v>
      </c>
      <c r="AI46" s="17">
        <v>34.583333333333336</v>
      </c>
      <c r="AJ46" s="17">
        <v>43.958333333333336</v>
      </c>
      <c r="AK46" s="18">
        <v>5.2967926962972233E-4</v>
      </c>
      <c r="AL46" s="19">
        <v>19.654580540725977</v>
      </c>
      <c r="AM46" s="20">
        <v>0.44711841988381368</v>
      </c>
      <c r="AN46" s="21">
        <v>31511795</v>
      </c>
      <c r="AO46" s="22">
        <v>2.9127863845926122E-3</v>
      </c>
      <c r="AP46" s="22">
        <v>0.94229218705658924</v>
      </c>
      <c r="AQ46" s="22" t="s">
        <v>179</v>
      </c>
      <c r="AR46" s="22" t="s">
        <v>152</v>
      </c>
      <c r="AS46" s="22" t="s">
        <v>183</v>
      </c>
      <c r="AT46" s="23">
        <v>201</v>
      </c>
      <c r="AU46" s="24">
        <v>5.8120481927710843</v>
      </c>
      <c r="AV46" s="24">
        <v>60</v>
      </c>
      <c r="AW46" s="24">
        <v>30</v>
      </c>
      <c r="AX46" s="1" t="s">
        <v>154</v>
      </c>
      <c r="AY46" s="25">
        <v>1.1527777777777779</v>
      </c>
      <c r="AZ46" s="23">
        <v>30</v>
      </c>
      <c r="BA46" s="26">
        <v>34.583333333333336</v>
      </c>
      <c r="BB46" s="27">
        <v>69.166666666666671</v>
      </c>
    </row>
    <row r="47" spans="1:54" ht="12" x14ac:dyDescent="0.3">
      <c r="A47" s="12" t="s">
        <v>214</v>
      </c>
      <c r="B47" s="12">
        <v>101079</v>
      </c>
      <c r="C47" s="13" t="s">
        <v>101</v>
      </c>
      <c r="D47" s="13" t="s">
        <v>64</v>
      </c>
      <c r="E47" s="14">
        <v>5831</v>
      </c>
      <c r="F47" s="15" t="s">
        <v>45</v>
      </c>
      <c r="G47" s="6">
        <v>42</v>
      </c>
      <c r="H47" s="6">
        <v>189</v>
      </c>
      <c r="I47" s="6">
        <v>210</v>
      </c>
      <c r="J47" s="6">
        <v>210</v>
      </c>
      <c r="K47" s="6">
        <v>189</v>
      </c>
      <c r="L47" s="6">
        <v>210</v>
      </c>
      <c r="M47" s="6">
        <v>189</v>
      </c>
      <c r="N47" s="6">
        <v>189</v>
      </c>
      <c r="O47" s="6">
        <v>210</v>
      </c>
      <c r="P47" s="6">
        <v>252</v>
      </c>
      <c r="Q47" s="6">
        <v>231</v>
      </c>
      <c r="R47" s="6">
        <v>189</v>
      </c>
      <c r="S47" s="6">
        <v>126</v>
      </c>
      <c r="T47" s="6">
        <v>0</v>
      </c>
      <c r="U47" s="6">
        <v>105</v>
      </c>
      <c r="V47" s="6">
        <v>189</v>
      </c>
      <c r="W47" s="6">
        <v>210</v>
      </c>
      <c r="X47" s="6">
        <v>210</v>
      </c>
      <c r="Y47" s="6">
        <v>168</v>
      </c>
      <c r="Z47" s="6">
        <v>210</v>
      </c>
      <c r="AA47" s="6">
        <v>378</v>
      </c>
      <c r="AB47" s="6">
        <v>420</v>
      </c>
      <c r="AC47" s="6">
        <v>336</v>
      </c>
      <c r="AD47" s="6">
        <v>462</v>
      </c>
      <c r="AE47" s="6">
        <v>2310</v>
      </c>
      <c r="AF47" s="6">
        <v>2814</v>
      </c>
      <c r="AG47" s="16">
        <v>5124</v>
      </c>
      <c r="AH47" s="17">
        <v>192.5</v>
      </c>
      <c r="AI47" s="17">
        <v>234.5</v>
      </c>
      <c r="AJ47" s="17">
        <v>213.5</v>
      </c>
      <c r="AK47" s="18">
        <v>3.5916083487663578E-3</v>
      </c>
      <c r="AL47" s="19">
        <v>103.92932381106925</v>
      </c>
      <c r="AM47" s="20">
        <v>0.48678840192538292</v>
      </c>
      <c r="AN47" s="21">
        <v>29878044</v>
      </c>
      <c r="AO47" s="22">
        <v>2.7617709420062861E-3</v>
      </c>
      <c r="AP47" s="22">
        <v>0.9506252260944742</v>
      </c>
      <c r="AQ47" s="22" t="s">
        <v>215</v>
      </c>
      <c r="AR47" s="22" t="s">
        <v>152</v>
      </c>
      <c r="AS47" s="22" t="s">
        <v>216</v>
      </c>
      <c r="AT47" s="23">
        <v>558</v>
      </c>
      <c r="AU47" s="24">
        <v>2.3795309168443497</v>
      </c>
      <c r="AV47" s="24">
        <v>600</v>
      </c>
      <c r="AW47" s="24">
        <v>420</v>
      </c>
      <c r="AX47" s="1" t="s">
        <v>154</v>
      </c>
      <c r="AY47" s="25">
        <v>7.8166666666666664</v>
      </c>
      <c r="AZ47" s="23">
        <v>30</v>
      </c>
      <c r="BA47" s="26">
        <v>234.5</v>
      </c>
      <c r="BB47" s="27">
        <v>469</v>
      </c>
    </row>
    <row r="48" spans="1:54" ht="12" x14ac:dyDescent="0.3">
      <c r="A48" s="12" t="s">
        <v>219</v>
      </c>
      <c r="B48" s="12">
        <v>106050</v>
      </c>
      <c r="C48" s="13" t="s">
        <v>103</v>
      </c>
      <c r="D48" s="13" t="s">
        <v>44</v>
      </c>
      <c r="E48" s="14">
        <v>83386</v>
      </c>
      <c r="F48" s="15" t="s">
        <v>45</v>
      </c>
      <c r="G48" s="6">
        <v>19</v>
      </c>
      <c r="H48" s="6">
        <v>10</v>
      </c>
      <c r="I48" s="6">
        <v>16</v>
      </c>
      <c r="J48" s="6">
        <v>19</v>
      </c>
      <c r="K48" s="6">
        <v>13</v>
      </c>
      <c r="L48" s="6">
        <v>12</v>
      </c>
      <c r="M48" s="6">
        <v>20</v>
      </c>
      <c r="N48" s="6">
        <v>9</v>
      </c>
      <c r="O48" s="6">
        <v>15</v>
      </c>
      <c r="P48" s="6">
        <v>18</v>
      </c>
      <c r="Q48" s="6">
        <v>9</v>
      </c>
      <c r="R48" s="6">
        <v>12</v>
      </c>
      <c r="S48" s="6">
        <v>20</v>
      </c>
      <c r="T48" s="6">
        <v>9</v>
      </c>
      <c r="U48" s="6">
        <v>11</v>
      </c>
      <c r="V48" s="6">
        <v>19</v>
      </c>
      <c r="W48" s="6">
        <v>11</v>
      </c>
      <c r="X48" s="6">
        <v>13</v>
      </c>
      <c r="Y48" s="6">
        <v>20</v>
      </c>
      <c r="Z48" s="6">
        <v>10</v>
      </c>
      <c r="AA48" s="6">
        <v>13</v>
      </c>
      <c r="AB48" s="6">
        <v>17</v>
      </c>
      <c r="AC48" s="6">
        <v>11</v>
      </c>
      <c r="AD48" s="6">
        <v>17</v>
      </c>
      <c r="AE48" s="6">
        <v>172</v>
      </c>
      <c r="AF48" s="6">
        <v>171</v>
      </c>
      <c r="AG48" s="16">
        <v>343</v>
      </c>
      <c r="AH48" s="17">
        <v>14.333333333333334</v>
      </c>
      <c r="AI48" s="17">
        <v>14.25</v>
      </c>
      <c r="AJ48" s="17">
        <v>14.291666666666666</v>
      </c>
      <c r="AK48" s="18">
        <v>2.1825338579923496E-4</v>
      </c>
      <c r="AL48" s="19">
        <v>3.9834349025920321</v>
      </c>
      <c r="AM48" s="20">
        <v>0.27872430805308679</v>
      </c>
      <c r="AN48" s="21">
        <v>28601398</v>
      </c>
      <c r="AO48" s="22">
        <v>2.6437644277234719E-3</v>
      </c>
      <c r="AP48" s="22">
        <v>0.95596260706969127</v>
      </c>
      <c r="AQ48" s="22" t="s">
        <v>215</v>
      </c>
      <c r="AR48" s="22" t="s">
        <v>152</v>
      </c>
      <c r="AS48" s="22" t="s">
        <v>216</v>
      </c>
      <c r="AT48" s="23">
        <v>84</v>
      </c>
      <c r="AU48" s="24">
        <v>5.8947368421052628</v>
      </c>
      <c r="AV48" s="24">
        <v>30</v>
      </c>
      <c r="AW48" s="24">
        <v>15</v>
      </c>
      <c r="AX48" s="1" t="s">
        <v>154</v>
      </c>
      <c r="AY48" s="25">
        <v>0.47499999999999998</v>
      </c>
      <c r="AZ48" s="23">
        <v>30</v>
      </c>
      <c r="BA48" s="26">
        <v>14.25</v>
      </c>
      <c r="BB48" s="27">
        <v>28.5</v>
      </c>
    </row>
    <row r="49" spans="1:54" ht="12" x14ac:dyDescent="0.3">
      <c r="A49" s="12" t="s">
        <v>225</v>
      </c>
      <c r="B49" s="12">
        <v>101020</v>
      </c>
      <c r="C49" s="13" t="s">
        <v>108</v>
      </c>
      <c r="D49" s="13" t="s">
        <v>53</v>
      </c>
      <c r="E49" s="14">
        <v>8531</v>
      </c>
      <c r="F49" s="15" t="s">
        <v>45</v>
      </c>
      <c r="G49" s="6">
        <v>120</v>
      </c>
      <c r="H49" s="6">
        <v>90</v>
      </c>
      <c r="I49" s="6">
        <v>90</v>
      </c>
      <c r="J49" s="6">
        <v>150</v>
      </c>
      <c r="K49" s="6">
        <v>210</v>
      </c>
      <c r="L49" s="6">
        <v>150</v>
      </c>
      <c r="M49" s="6">
        <v>150</v>
      </c>
      <c r="N49" s="6">
        <v>120</v>
      </c>
      <c r="O49" s="6">
        <v>60</v>
      </c>
      <c r="P49" s="6">
        <v>30</v>
      </c>
      <c r="Q49" s="6">
        <v>120</v>
      </c>
      <c r="R49" s="6">
        <v>120</v>
      </c>
      <c r="S49" s="6">
        <v>120</v>
      </c>
      <c r="T49" s="6">
        <v>180</v>
      </c>
      <c r="U49" s="6">
        <v>120</v>
      </c>
      <c r="V49" s="6">
        <v>120</v>
      </c>
      <c r="W49" s="6">
        <v>150</v>
      </c>
      <c r="X49" s="6">
        <v>120</v>
      </c>
      <c r="Y49" s="6">
        <v>150</v>
      </c>
      <c r="Z49" s="6">
        <v>150</v>
      </c>
      <c r="AA49" s="6">
        <v>150</v>
      </c>
      <c r="AB49" s="6">
        <v>150</v>
      </c>
      <c r="AC49" s="6">
        <v>150</v>
      </c>
      <c r="AD49" s="6">
        <v>90</v>
      </c>
      <c r="AE49" s="6">
        <v>1410</v>
      </c>
      <c r="AF49" s="6">
        <v>1650</v>
      </c>
      <c r="AG49" s="16">
        <v>3060</v>
      </c>
      <c r="AH49" s="17">
        <v>117.5</v>
      </c>
      <c r="AI49" s="17">
        <v>137.5</v>
      </c>
      <c r="AJ49" s="17">
        <v>127.5</v>
      </c>
      <c r="AK49" s="18">
        <v>2.1059537226241968E-3</v>
      </c>
      <c r="AL49" s="19">
        <v>37.792338768131529</v>
      </c>
      <c r="AM49" s="20">
        <v>0.29641050014220804</v>
      </c>
      <c r="AN49" s="21">
        <v>26104860</v>
      </c>
      <c r="AO49" s="22">
        <v>2.4129974436459837E-3</v>
      </c>
      <c r="AP49" s="22">
        <v>0.96841965389265738</v>
      </c>
      <c r="AQ49" s="22" t="s">
        <v>215</v>
      </c>
      <c r="AR49" s="22" t="s">
        <v>152</v>
      </c>
      <c r="AS49" s="22" t="s">
        <v>216</v>
      </c>
      <c r="AT49" s="23">
        <v>390</v>
      </c>
      <c r="AU49" s="24">
        <v>2.8363636363636364</v>
      </c>
      <c r="AV49" s="24">
        <v>300</v>
      </c>
      <c r="AW49" s="24">
        <v>150</v>
      </c>
      <c r="AX49" s="1" t="s">
        <v>154</v>
      </c>
      <c r="AY49" s="25">
        <v>4.583333333333333</v>
      </c>
      <c r="AZ49" s="23">
        <v>30</v>
      </c>
      <c r="BA49" s="26">
        <v>137.5</v>
      </c>
      <c r="BB49" s="27">
        <v>275</v>
      </c>
    </row>
    <row r="50" spans="1:54" ht="12" x14ac:dyDescent="0.3">
      <c r="A50" s="12" t="s">
        <v>226</v>
      </c>
      <c r="B50" s="12">
        <v>209019</v>
      </c>
      <c r="C50" s="13" t="s">
        <v>109</v>
      </c>
      <c r="D50" s="13" t="s">
        <v>47</v>
      </c>
      <c r="E50" s="14">
        <v>6283</v>
      </c>
      <c r="F50" s="15" t="s">
        <v>45</v>
      </c>
      <c r="G50" s="6">
        <v>188</v>
      </c>
      <c r="H50" s="6">
        <v>129</v>
      </c>
      <c r="I50" s="6">
        <v>217</v>
      </c>
      <c r="J50" s="6">
        <v>148</v>
      </c>
      <c r="K50" s="6">
        <v>202</v>
      </c>
      <c r="L50" s="6">
        <v>116</v>
      </c>
      <c r="M50" s="6">
        <v>201</v>
      </c>
      <c r="N50" s="6">
        <v>266</v>
      </c>
      <c r="O50" s="6">
        <v>187</v>
      </c>
      <c r="P50" s="6">
        <v>211</v>
      </c>
      <c r="Q50" s="6">
        <v>203</v>
      </c>
      <c r="R50" s="6">
        <v>146</v>
      </c>
      <c r="S50" s="6">
        <v>205</v>
      </c>
      <c r="T50" s="6">
        <v>156</v>
      </c>
      <c r="U50" s="6">
        <v>229</v>
      </c>
      <c r="V50" s="6">
        <v>223</v>
      </c>
      <c r="W50" s="6">
        <v>128</v>
      </c>
      <c r="X50" s="6">
        <v>170</v>
      </c>
      <c r="Y50" s="6">
        <v>178</v>
      </c>
      <c r="Z50" s="6">
        <v>166</v>
      </c>
      <c r="AA50" s="6">
        <v>72</v>
      </c>
      <c r="AB50" s="6">
        <v>96</v>
      </c>
      <c r="AC50" s="6">
        <v>144</v>
      </c>
      <c r="AD50" s="6">
        <v>125</v>
      </c>
      <c r="AE50" s="6">
        <v>2214</v>
      </c>
      <c r="AF50" s="6">
        <v>1892</v>
      </c>
      <c r="AG50" s="16">
        <v>4106</v>
      </c>
      <c r="AH50" s="17">
        <v>184.5</v>
      </c>
      <c r="AI50" s="17">
        <v>157.66666666666666</v>
      </c>
      <c r="AJ50" s="17">
        <v>171.08333333333334</v>
      </c>
      <c r="AK50" s="18">
        <v>2.4148269352757459E-3</v>
      </c>
      <c r="AL50" s="19">
        <v>46.51219257324918</v>
      </c>
      <c r="AM50" s="20">
        <v>0.27186863657038002</v>
      </c>
      <c r="AN50" s="21">
        <v>25797998</v>
      </c>
      <c r="AO50" s="22">
        <v>2.384632716865143E-3</v>
      </c>
      <c r="AP50" s="22">
        <v>0.97080428660952256</v>
      </c>
      <c r="AQ50" s="22" t="s">
        <v>215</v>
      </c>
      <c r="AR50" s="22" t="s">
        <v>152</v>
      </c>
      <c r="AS50" s="22" t="s">
        <v>216</v>
      </c>
      <c r="AT50" s="23">
        <v>210</v>
      </c>
      <c r="AU50" s="24">
        <v>1.3319238900634249</v>
      </c>
      <c r="AV50" s="24">
        <v>250</v>
      </c>
      <c r="AW50" s="24">
        <v>150</v>
      </c>
      <c r="AX50" s="1" t="s">
        <v>154</v>
      </c>
      <c r="AY50" s="25">
        <v>5.2555555555555555</v>
      </c>
      <c r="AZ50" s="23">
        <v>30</v>
      </c>
      <c r="BA50" s="26">
        <v>157.66666666666666</v>
      </c>
      <c r="BB50" s="27">
        <v>315.33333333333331</v>
      </c>
    </row>
    <row r="51" spans="1:54" ht="12" x14ac:dyDescent="0.3">
      <c r="A51" s="12" t="s">
        <v>231</v>
      </c>
      <c r="B51" s="12">
        <v>101053</v>
      </c>
      <c r="C51" s="13" t="s">
        <v>114</v>
      </c>
      <c r="D51" s="13" t="s">
        <v>64</v>
      </c>
      <c r="E51" s="14">
        <v>15748</v>
      </c>
      <c r="F51" s="15" t="s">
        <v>45</v>
      </c>
      <c r="G51" s="6">
        <v>56</v>
      </c>
      <c r="H51" s="6">
        <v>28</v>
      </c>
      <c r="I51" s="6">
        <v>28</v>
      </c>
      <c r="J51" s="6">
        <v>28</v>
      </c>
      <c r="K51" s="6">
        <v>56</v>
      </c>
      <c r="L51" s="6">
        <v>56</v>
      </c>
      <c r="M51" s="6">
        <v>56</v>
      </c>
      <c r="N51" s="6">
        <v>56</v>
      </c>
      <c r="O51" s="6">
        <v>28</v>
      </c>
      <c r="P51" s="6">
        <v>28</v>
      </c>
      <c r="Q51" s="6">
        <v>56</v>
      </c>
      <c r="R51" s="6">
        <v>56</v>
      </c>
      <c r="S51" s="6">
        <v>56</v>
      </c>
      <c r="T51" s="6">
        <v>28</v>
      </c>
      <c r="U51" s="6">
        <v>28</v>
      </c>
      <c r="V51" s="6">
        <v>84</v>
      </c>
      <c r="W51" s="6">
        <v>56</v>
      </c>
      <c r="X51" s="6">
        <v>0</v>
      </c>
      <c r="Y51" s="6">
        <v>84</v>
      </c>
      <c r="Z51" s="6">
        <v>28</v>
      </c>
      <c r="AA51" s="6">
        <v>28</v>
      </c>
      <c r="AB51" s="6">
        <v>56</v>
      </c>
      <c r="AC51" s="6">
        <v>28</v>
      </c>
      <c r="AD51" s="6">
        <v>56</v>
      </c>
      <c r="AE51" s="6">
        <v>532</v>
      </c>
      <c r="AF51" s="6">
        <v>532</v>
      </c>
      <c r="AG51" s="16">
        <v>1064</v>
      </c>
      <c r="AH51" s="17">
        <v>44.333333333333336</v>
      </c>
      <c r="AI51" s="17">
        <v>44.333333333333336</v>
      </c>
      <c r="AJ51" s="17">
        <v>44.333333333333336</v>
      </c>
      <c r="AK51" s="18">
        <v>6.7901053359761994E-4</v>
      </c>
      <c r="AL51" s="19">
        <v>20.083882065989627</v>
      </c>
      <c r="AM51" s="20">
        <v>0.4530198962253299</v>
      </c>
      <c r="AN51" s="21">
        <v>16755872</v>
      </c>
      <c r="AO51" s="22">
        <v>1.5488256325473233E-3</v>
      </c>
      <c r="AP51" s="22">
        <v>0.98059176388995761</v>
      </c>
      <c r="AQ51" s="22" t="s">
        <v>215</v>
      </c>
      <c r="AR51" s="22" t="s">
        <v>152</v>
      </c>
      <c r="AS51" s="22" t="s">
        <v>216</v>
      </c>
      <c r="AT51" s="23">
        <v>56</v>
      </c>
      <c r="AU51" s="24">
        <v>1.263157894736842</v>
      </c>
      <c r="AV51" s="24">
        <v>56</v>
      </c>
      <c r="AW51" s="24">
        <v>28</v>
      </c>
      <c r="AX51" s="1" t="s">
        <v>154</v>
      </c>
      <c r="AY51" s="25">
        <v>1.4777777777777779</v>
      </c>
      <c r="AZ51" s="23">
        <v>30</v>
      </c>
      <c r="BA51" s="26">
        <v>44.333333333333336</v>
      </c>
      <c r="BB51" s="27">
        <v>88.666666666666671</v>
      </c>
    </row>
    <row r="52" spans="1:54" ht="12" x14ac:dyDescent="0.3">
      <c r="A52" s="12" t="s">
        <v>238</v>
      </c>
      <c r="B52" s="12">
        <v>209109</v>
      </c>
      <c r="C52" s="13" t="s">
        <v>122</v>
      </c>
      <c r="D52" s="13" t="s">
        <v>47</v>
      </c>
      <c r="E52" s="14">
        <v>28441</v>
      </c>
      <c r="F52" s="15" t="s">
        <v>45</v>
      </c>
      <c r="G52" s="6">
        <v>19</v>
      </c>
      <c r="H52" s="6">
        <v>17</v>
      </c>
      <c r="I52" s="6">
        <v>26</v>
      </c>
      <c r="J52" s="6">
        <v>21</v>
      </c>
      <c r="K52" s="6">
        <v>23</v>
      </c>
      <c r="L52" s="6">
        <v>25</v>
      </c>
      <c r="M52" s="6">
        <v>20</v>
      </c>
      <c r="N52" s="6">
        <v>17</v>
      </c>
      <c r="O52" s="6">
        <v>15</v>
      </c>
      <c r="P52" s="6">
        <v>29</v>
      </c>
      <c r="Q52" s="6">
        <v>27</v>
      </c>
      <c r="R52" s="6">
        <v>28</v>
      </c>
      <c r="S52" s="6">
        <v>22</v>
      </c>
      <c r="T52" s="6">
        <v>18</v>
      </c>
      <c r="U52" s="6">
        <v>12</v>
      </c>
      <c r="V52" s="6">
        <v>13</v>
      </c>
      <c r="W52" s="6">
        <v>10</v>
      </c>
      <c r="X52" s="6">
        <v>10</v>
      </c>
      <c r="Y52" s="6">
        <v>6</v>
      </c>
      <c r="Z52" s="6">
        <v>16</v>
      </c>
      <c r="AA52" s="6">
        <v>10</v>
      </c>
      <c r="AB52" s="6">
        <v>22</v>
      </c>
      <c r="AC52" s="6">
        <v>23</v>
      </c>
      <c r="AD52" s="6">
        <v>13</v>
      </c>
      <c r="AE52" s="6">
        <v>267</v>
      </c>
      <c r="AF52" s="6">
        <v>175</v>
      </c>
      <c r="AG52" s="16">
        <v>442</v>
      </c>
      <c r="AH52" s="17">
        <v>22.25</v>
      </c>
      <c r="AI52" s="17">
        <v>14.583333333333334</v>
      </c>
      <c r="AJ52" s="17">
        <v>18.416666666666668</v>
      </c>
      <c r="AK52" s="18">
        <v>2.2335872815711181E-4</v>
      </c>
      <c r="AL52" s="19">
        <v>6.405952847473821</v>
      </c>
      <c r="AM52" s="20">
        <v>0.34783454375423462</v>
      </c>
      <c r="AN52" s="21">
        <v>12570922</v>
      </c>
      <c r="AO52" s="22">
        <v>1.1619906274261979E-3</v>
      </c>
      <c r="AP52" s="22">
        <v>0.98938839652815191</v>
      </c>
      <c r="AQ52" s="22" t="s">
        <v>215</v>
      </c>
      <c r="AR52" s="22" t="s">
        <v>152</v>
      </c>
      <c r="AS52" s="22" t="s">
        <v>216</v>
      </c>
      <c r="AT52" s="23">
        <v>40</v>
      </c>
      <c r="AU52" s="24">
        <v>2.7428571428571429</v>
      </c>
      <c r="AV52" s="24">
        <v>28</v>
      </c>
      <c r="AW52" s="24">
        <v>18</v>
      </c>
      <c r="AX52" s="1" t="s">
        <v>154</v>
      </c>
      <c r="AY52" s="25">
        <v>0.4861111111111111</v>
      </c>
      <c r="AZ52" s="23">
        <v>30</v>
      </c>
      <c r="BA52" s="26">
        <v>14.583333333333334</v>
      </c>
      <c r="BB52" s="27">
        <v>29.166666666666668</v>
      </c>
    </row>
    <row r="53" spans="1:54" ht="12" x14ac:dyDescent="0.3">
      <c r="A53" s="12" t="s">
        <v>240</v>
      </c>
      <c r="B53" s="12">
        <v>209105</v>
      </c>
      <c r="C53" s="13" t="s">
        <v>124</v>
      </c>
      <c r="D53" s="13" t="s">
        <v>53</v>
      </c>
      <c r="E53" s="14">
        <v>593</v>
      </c>
      <c r="F53" s="15" t="s">
        <v>45</v>
      </c>
      <c r="G53" s="6">
        <v>812</v>
      </c>
      <c r="H53" s="6">
        <v>975</v>
      </c>
      <c r="I53" s="6">
        <v>1173</v>
      </c>
      <c r="J53" s="6">
        <v>1120</v>
      </c>
      <c r="K53" s="6">
        <v>988</v>
      </c>
      <c r="L53" s="6">
        <v>784</v>
      </c>
      <c r="M53" s="6">
        <v>924</v>
      </c>
      <c r="N53" s="6">
        <v>1176</v>
      </c>
      <c r="O53" s="6">
        <v>644</v>
      </c>
      <c r="P53" s="6">
        <v>840</v>
      </c>
      <c r="Q53" s="6">
        <v>966</v>
      </c>
      <c r="R53" s="6">
        <v>644</v>
      </c>
      <c r="S53" s="6">
        <v>1066</v>
      </c>
      <c r="T53" s="6">
        <v>924</v>
      </c>
      <c r="U53" s="6">
        <v>840</v>
      </c>
      <c r="V53" s="6">
        <v>1236</v>
      </c>
      <c r="W53" s="6">
        <v>804</v>
      </c>
      <c r="X53" s="6">
        <v>696</v>
      </c>
      <c r="Y53" s="6">
        <v>616</v>
      </c>
      <c r="Z53" s="6">
        <v>896</v>
      </c>
      <c r="AA53" s="6">
        <v>588</v>
      </c>
      <c r="AB53" s="6">
        <v>560</v>
      </c>
      <c r="AC53" s="6">
        <v>532</v>
      </c>
      <c r="AD53" s="6">
        <v>574</v>
      </c>
      <c r="AE53" s="6">
        <v>11046</v>
      </c>
      <c r="AF53" s="6">
        <v>9332</v>
      </c>
      <c r="AG53" s="16">
        <v>20378</v>
      </c>
      <c r="AH53" s="17">
        <v>920.5</v>
      </c>
      <c r="AI53" s="17">
        <v>777.66666666666663</v>
      </c>
      <c r="AJ53" s="17">
        <v>849.08333333333337</v>
      </c>
      <c r="AK53" s="18">
        <v>1.191076372092667E-2</v>
      </c>
      <c r="AL53" s="19">
        <v>212.83120821065162</v>
      </c>
      <c r="AM53" s="20">
        <v>0.25065997630069875</v>
      </c>
      <c r="AN53" s="21">
        <v>12084154</v>
      </c>
      <c r="AO53" s="22">
        <v>1.1169963259954044E-3</v>
      </c>
      <c r="AP53" s="22">
        <v>0.99164969497388522</v>
      </c>
      <c r="AQ53" s="22" t="s">
        <v>215</v>
      </c>
      <c r="AR53" s="22" t="s">
        <v>152</v>
      </c>
      <c r="AS53" s="22" t="s">
        <v>216</v>
      </c>
      <c r="AT53" s="23">
        <v>4777</v>
      </c>
      <c r="AU53" s="24">
        <v>6.1427346763823403</v>
      </c>
      <c r="AV53" s="24">
        <v>1200</v>
      </c>
      <c r="AW53" s="24">
        <v>600</v>
      </c>
      <c r="AX53" s="1" t="s">
        <v>154</v>
      </c>
      <c r="AY53" s="25">
        <v>25.922222222222221</v>
      </c>
      <c r="AZ53" s="23">
        <v>30</v>
      </c>
      <c r="BA53" s="26">
        <v>777.66666666666663</v>
      </c>
      <c r="BB53" s="27">
        <v>1555.3333333333333</v>
      </c>
    </row>
    <row r="54" spans="1:54" ht="12" x14ac:dyDescent="0.3">
      <c r="A54" s="12" t="s">
        <v>253</v>
      </c>
      <c r="B54" s="12">
        <v>209155</v>
      </c>
      <c r="C54" s="13" t="s">
        <v>138</v>
      </c>
      <c r="D54" s="13" t="s">
        <v>53</v>
      </c>
      <c r="E54" s="14">
        <v>3451</v>
      </c>
      <c r="F54" s="15" t="s">
        <v>45</v>
      </c>
      <c r="G54" s="6">
        <v>60</v>
      </c>
      <c r="H54" s="6">
        <v>60</v>
      </c>
      <c r="I54" s="6">
        <v>60</v>
      </c>
      <c r="J54" s="6">
        <v>60</v>
      </c>
      <c r="K54" s="6">
        <v>60</v>
      </c>
      <c r="L54" s="6">
        <v>30</v>
      </c>
      <c r="M54" s="6">
        <v>30</v>
      </c>
      <c r="N54" s="6">
        <v>30</v>
      </c>
      <c r="O54" s="6">
        <v>30</v>
      </c>
      <c r="P54" s="6">
        <v>30</v>
      </c>
      <c r="Q54" s="6">
        <v>30</v>
      </c>
      <c r="R54" s="6">
        <v>30</v>
      </c>
      <c r="S54" s="6">
        <v>30</v>
      </c>
      <c r="T54" s="6">
        <v>30</v>
      </c>
      <c r="U54" s="6">
        <v>30</v>
      </c>
      <c r="V54" s="6">
        <v>60</v>
      </c>
      <c r="W54" s="6">
        <v>30</v>
      </c>
      <c r="X54" s="6">
        <v>30</v>
      </c>
      <c r="Y54" s="6">
        <v>30</v>
      </c>
      <c r="Z54" s="6">
        <v>30</v>
      </c>
      <c r="AA54" s="6">
        <v>30</v>
      </c>
      <c r="AB54" s="6">
        <v>0</v>
      </c>
      <c r="AC54" s="6">
        <v>30</v>
      </c>
      <c r="AD54" s="6">
        <v>30</v>
      </c>
      <c r="AE54" s="6">
        <v>510</v>
      </c>
      <c r="AF54" s="6">
        <v>360</v>
      </c>
      <c r="AG54" s="16">
        <v>870</v>
      </c>
      <c r="AH54" s="17">
        <v>42.5</v>
      </c>
      <c r="AI54" s="17">
        <v>30</v>
      </c>
      <c r="AJ54" s="17">
        <v>36.25</v>
      </c>
      <c r="AK54" s="18">
        <v>4.594808122089157E-4</v>
      </c>
      <c r="AL54" s="19">
        <v>15.269321331121546</v>
      </c>
      <c r="AM54" s="20">
        <v>0.42122265741024956</v>
      </c>
      <c r="AN54" s="21">
        <v>3002370</v>
      </c>
      <c r="AO54" s="22">
        <v>2.7752346248474007E-4</v>
      </c>
      <c r="AP54" s="22">
        <v>0.99906803734044636</v>
      </c>
      <c r="AQ54" s="22" t="s">
        <v>215</v>
      </c>
      <c r="AR54" s="22" t="s">
        <v>152</v>
      </c>
      <c r="AS54" s="22" t="s">
        <v>216</v>
      </c>
      <c r="AT54" s="23">
        <v>0</v>
      </c>
      <c r="AU54" s="24">
        <v>0</v>
      </c>
      <c r="AV54" s="24">
        <v>60</v>
      </c>
      <c r="AW54" s="24">
        <v>30</v>
      </c>
      <c r="AX54" s="1" t="s">
        <v>198</v>
      </c>
      <c r="AY54" s="25">
        <v>1</v>
      </c>
      <c r="AZ54" s="23">
        <v>30</v>
      </c>
      <c r="BA54" s="26">
        <v>30</v>
      </c>
      <c r="BB54" s="27">
        <v>60</v>
      </c>
    </row>
    <row r="55" spans="1:54" ht="12" x14ac:dyDescent="0.3">
      <c r="A55" s="12" t="s">
        <v>165</v>
      </c>
      <c r="B55" s="12">
        <v>101051</v>
      </c>
      <c r="C55" s="13" t="s">
        <v>57</v>
      </c>
      <c r="D55" s="13" t="s">
        <v>47</v>
      </c>
      <c r="E55" s="14">
        <v>1140085</v>
      </c>
      <c r="F55" s="15" t="s">
        <v>45</v>
      </c>
      <c r="G55" s="6">
        <v>10</v>
      </c>
      <c r="H55" s="6">
        <v>11</v>
      </c>
      <c r="I55" s="6">
        <v>6</v>
      </c>
      <c r="J55" s="6">
        <v>12</v>
      </c>
      <c r="K55" s="6">
        <v>18</v>
      </c>
      <c r="L55" s="6">
        <v>6</v>
      </c>
      <c r="M55" s="6">
        <v>0</v>
      </c>
      <c r="N55" s="6">
        <v>0</v>
      </c>
      <c r="O55" s="6">
        <v>4</v>
      </c>
      <c r="P55" s="6">
        <v>6</v>
      </c>
      <c r="Q55" s="6">
        <v>9</v>
      </c>
      <c r="R55" s="6">
        <v>11</v>
      </c>
      <c r="S55" s="6">
        <v>12</v>
      </c>
      <c r="T55" s="6">
        <v>12</v>
      </c>
      <c r="U55" s="6">
        <v>9</v>
      </c>
      <c r="V55" s="6">
        <v>22</v>
      </c>
      <c r="W55" s="6">
        <v>18</v>
      </c>
      <c r="X55" s="6">
        <v>10</v>
      </c>
      <c r="Y55" s="6">
        <v>9</v>
      </c>
      <c r="Z55" s="6">
        <v>13</v>
      </c>
      <c r="AA55" s="6">
        <v>6</v>
      </c>
      <c r="AB55" s="6">
        <v>9</v>
      </c>
      <c r="AC55" s="6">
        <v>13</v>
      </c>
      <c r="AD55" s="6">
        <v>11</v>
      </c>
      <c r="AE55" s="6">
        <v>93</v>
      </c>
      <c r="AF55" s="6">
        <v>144</v>
      </c>
      <c r="AG55" s="16">
        <v>237</v>
      </c>
      <c r="AH55" s="17">
        <v>7.75</v>
      </c>
      <c r="AI55" s="17">
        <v>12</v>
      </c>
      <c r="AJ55" s="17">
        <v>9.875</v>
      </c>
      <c r="AK55" s="18">
        <v>1.8379232488356629E-4</v>
      </c>
      <c r="AL55" s="19">
        <v>5.1441186341043039</v>
      </c>
      <c r="AM55" s="20">
        <v>0.520923405985246</v>
      </c>
      <c r="AN55" s="21">
        <v>270200145</v>
      </c>
      <c r="AO55" s="22">
        <v>2.4975895643867624E-2</v>
      </c>
      <c r="AP55" s="22">
        <v>0.64886519872620219</v>
      </c>
      <c r="AQ55" s="22" t="s">
        <v>151</v>
      </c>
      <c r="AR55" s="22" t="s">
        <v>166</v>
      </c>
      <c r="AS55" s="22" t="s">
        <v>167</v>
      </c>
      <c r="AT55" s="23">
        <v>28</v>
      </c>
      <c r="AU55" s="24">
        <v>2.3333333333333335</v>
      </c>
      <c r="AV55" s="24">
        <v>12</v>
      </c>
      <c r="AW55" s="24">
        <v>9</v>
      </c>
      <c r="AX55" s="1" t="s">
        <v>154</v>
      </c>
      <c r="AY55" s="25">
        <v>0.4</v>
      </c>
      <c r="AZ55" s="23">
        <v>30</v>
      </c>
      <c r="BA55" s="26">
        <v>12</v>
      </c>
      <c r="BB55" s="27">
        <v>24</v>
      </c>
    </row>
    <row r="56" spans="1:54" ht="12" x14ac:dyDescent="0.3">
      <c r="A56" s="12" t="s">
        <v>171</v>
      </c>
      <c r="B56" s="12">
        <v>101099</v>
      </c>
      <c r="C56" s="13" t="s">
        <v>61</v>
      </c>
      <c r="D56" s="13" t="s">
        <v>62</v>
      </c>
      <c r="E56" s="14">
        <v>36315</v>
      </c>
      <c r="F56" s="15" t="s">
        <v>45</v>
      </c>
      <c r="G56" s="6">
        <v>0</v>
      </c>
      <c r="H56" s="6">
        <v>60</v>
      </c>
      <c r="I56" s="6">
        <v>120</v>
      </c>
      <c r="J56" s="6">
        <v>120</v>
      </c>
      <c r="K56" s="6">
        <v>300</v>
      </c>
      <c r="L56" s="6">
        <v>240</v>
      </c>
      <c r="M56" s="6">
        <v>180</v>
      </c>
      <c r="N56" s="6">
        <v>180</v>
      </c>
      <c r="O56" s="6">
        <v>270</v>
      </c>
      <c r="P56" s="6">
        <v>210</v>
      </c>
      <c r="Q56" s="6">
        <v>300</v>
      </c>
      <c r="R56" s="6">
        <v>180</v>
      </c>
      <c r="S56" s="6">
        <v>0</v>
      </c>
      <c r="T56" s="6">
        <v>0</v>
      </c>
      <c r="U56" s="6">
        <v>240</v>
      </c>
      <c r="V56" s="6">
        <v>240</v>
      </c>
      <c r="W56" s="6">
        <v>390</v>
      </c>
      <c r="X56" s="6">
        <v>180</v>
      </c>
      <c r="Y56" s="6">
        <v>240</v>
      </c>
      <c r="Z56" s="6">
        <v>210</v>
      </c>
      <c r="AA56" s="6">
        <v>240</v>
      </c>
      <c r="AB56" s="6">
        <v>240</v>
      </c>
      <c r="AC56" s="6">
        <v>270</v>
      </c>
      <c r="AD56" s="6">
        <v>360</v>
      </c>
      <c r="AE56" s="6">
        <v>2160</v>
      </c>
      <c r="AF56" s="6">
        <v>2610</v>
      </c>
      <c r="AG56" s="16">
        <v>4770</v>
      </c>
      <c r="AH56" s="17">
        <v>180</v>
      </c>
      <c r="AI56" s="17">
        <v>217.5</v>
      </c>
      <c r="AJ56" s="17">
        <v>198.75</v>
      </c>
      <c r="AK56" s="18">
        <v>3.3312358885146391E-3</v>
      </c>
      <c r="AL56" s="19">
        <v>105.34879954331417</v>
      </c>
      <c r="AM56" s="20">
        <v>0.53005685304812167</v>
      </c>
      <c r="AN56" s="21">
        <v>173222550</v>
      </c>
      <c r="AO56" s="22">
        <v>1.6011791303682098E-2</v>
      </c>
      <c r="AP56" s="22">
        <v>0.72890187753410618</v>
      </c>
      <c r="AQ56" s="22" t="s">
        <v>151</v>
      </c>
      <c r="AR56" s="22" t="s">
        <v>166</v>
      </c>
      <c r="AS56" s="22" t="s">
        <v>167</v>
      </c>
      <c r="AT56" s="23">
        <v>630</v>
      </c>
      <c r="AU56" s="24">
        <v>2.896551724137931</v>
      </c>
      <c r="AV56" s="24">
        <v>672</v>
      </c>
      <c r="AW56" s="24">
        <v>300</v>
      </c>
      <c r="AX56" s="1" t="s">
        <v>154</v>
      </c>
      <c r="AY56" s="25">
        <v>7.25</v>
      </c>
      <c r="AZ56" s="23">
        <v>30</v>
      </c>
      <c r="BA56" s="26">
        <v>217.5</v>
      </c>
      <c r="BB56" s="27">
        <v>435</v>
      </c>
    </row>
    <row r="57" spans="1:54" ht="12" x14ac:dyDescent="0.3">
      <c r="A57" s="12" t="s">
        <v>172</v>
      </c>
      <c r="B57" s="12">
        <v>101098</v>
      </c>
      <c r="C57" s="13" t="s">
        <v>63</v>
      </c>
      <c r="D57" s="13" t="s">
        <v>64</v>
      </c>
      <c r="E57" s="14">
        <v>13483</v>
      </c>
      <c r="F57" s="15" t="s">
        <v>45</v>
      </c>
      <c r="G57" s="6">
        <v>448</v>
      </c>
      <c r="H57" s="6">
        <v>628</v>
      </c>
      <c r="I57" s="6">
        <v>672</v>
      </c>
      <c r="J57" s="6">
        <v>716</v>
      </c>
      <c r="K57" s="6">
        <v>672</v>
      </c>
      <c r="L57" s="6">
        <v>448</v>
      </c>
      <c r="M57" s="6">
        <v>448</v>
      </c>
      <c r="N57" s="6">
        <v>1120</v>
      </c>
      <c r="O57" s="6">
        <v>224</v>
      </c>
      <c r="P57" s="6">
        <v>672</v>
      </c>
      <c r="Q57" s="6">
        <v>224</v>
      </c>
      <c r="R57" s="6">
        <v>672</v>
      </c>
      <c r="S57" s="6">
        <v>672</v>
      </c>
      <c r="T57" s="6">
        <v>224</v>
      </c>
      <c r="U57" s="6">
        <v>448</v>
      </c>
      <c r="V57" s="6">
        <v>448</v>
      </c>
      <c r="W57" s="6">
        <v>224</v>
      </c>
      <c r="X57" s="6">
        <v>448</v>
      </c>
      <c r="Y57" s="6">
        <v>0</v>
      </c>
      <c r="Z57" s="6">
        <v>224</v>
      </c>
      <c r="AA57" s="6">
        <v>448</v>
      </c>
      <c r="AB57" s="6">
        <v>224</v>
      </c>
      <c r="AC57" s="6">
        <v>448</v>
      </c>
      <c r="AD57" s="6">
        <v>448</v>
      </c>
      <c r="AE57" s="6">
        <v>6944</v>
      </c>
      <c r="AF57" s="6">
        <v>4256</v>
      </c>
      <c r="AG57" s="16">
        <v>11200</v>
      </c>
      <c r="AH57" s="17">
        <v>578.66666666666663</v>
      </c>
      <c r="AI57" s="17">
        <v>354.66666666666669</v>
      </c>
      <c r="AJ57" s="17">
        <v>466.66666666666669</v>
      </c>
      <c r="AK57" s="18">
        <v>5.4320842687809595E-3</v>
      </c>
      <c r="AL57" s="19">
        <v>237.75081340631056</v>
      </c>
      <c r="AM57" s="20">
        <v>0.50946602872780833</v>
      </c>
      <c r="AN57" s="21">
        <v>151009600</v>
      </c>
      <c r="AO57" s="22">
        <v>1.3958541772145209E-2</v>
      </c>
      <c r="AP57" s="22">
        <v>0.74286041930625135</v>
      </c>
      <c r="AQ57" s="22" t="s">
        <v>151</v>
      </c>
      <c r="AR57" s="22" t="s">
        <v>166</v>
      </c>
      <c r="AS57" s="22" t="s">
        <v>167</v>
      </c>
      <c r="AT57" s="23">
        <v>1344</v>
      </c>
      <c r="AU57" s="24">
        <v>3.7894736842105261</v>
      </c>
      <c r="AV57" s="24">
        <v>224</v>
      </c>
      <c r="AW57" s="24">
        <v>112</v>
      </c>
      <c r="AX57" s="1" t="s">
        <v>154</v>
      </c>
      <c r="AY57" s="25">
        <v>11.822222222222223</v>
      </c>
      <c r="AZ57" s="23">
        <v>30</v>
      </c>
      <c r="BA57" s="26">
        <v>354.66666666666669</v>
      </c>
      <c r="BB57" s="27">
        <v>709.33333333333337</v>
      </c>
    </row>
    <row r="58" spans="1:54" ht="12" x14ac:dyDescent="0.3">
      <c r="A58" s="12" t="s">
        <v>177</v>
      </c>
      <c r="B58" s="12">
        <v>101075</v>
      </c>
      <c r="C58" s="13" t="s">
        <v>69</v>
      </c>
      <c r="D58" s="13" t="s">
        <v>53</v>
      </c>
      <c r="E58" s="14">
        <v>30975</v>
      </c>
      <c r="F58" s="15" t="s">
        <v>45</v>
      </c>
      <c r="G58" s="6">
        <v>224</v>
      </c>
      <c r="H58" s="6">
        <v>224</v>
      </c>
      <c r="I58" s="6">
        <v>224</v>
      </c>
      <c r="J58" s="6">
        <v>112</v>
      </c>
      <c r="K58" s="6">
        <v>0</v>
      </c>
      <c r="L58" s="6">
        <v>0</v>
      </c>
      <c r="M58" s="6">
        <v>0</v>
      </c>
      <c r="N58" s="6">
        <v>112</v>
      </c>
      <c r="O58" s="6">
        <v>112</v>
      </c>
      <c r="P58" s="6">
        <v>224</v>
      </c>
      <c r="Q58" s="6">
        <v>112</v>
      </c>
      <c r="R58" s="6">
        <v>0</v>
      </c>
      <c r="S58" s="6">
        <v>224</v>
      </c>
      <c r="T58" s="6">
        <v>336</v>
      </c>
      <c r="U58" s="6">
        <v>224</v>
      </c>
      <c r="V58" s="6">
        <v>224</v>
      </c>
      <c r="W58" s="6">
        <v>224</v>
      </c>
      <c r="X58" s="6">
        <v>112</v>
      </c>
      <c r="Y58" s="6">
        <v>0</v>
      </c>
      <c r="Z58" s="6">
        <v>0</v>
      </c>
      <c r="AA58" s="6">
        <v>0</v>
      </c>
      <c r="AB58" s="6">
        <v>224</v>
      </c>
      <c r="AC58" s="6">
        <v>224</v>
      </c>
      <c r="AD58" s="6">
        <v>224</v>
      </c>
      <c r="AE58" s="6">
        <v>1344</v>
      </c>
      <c r="AF58" s="6">
        <v>2016</v>
      </c>
      <c r="AG58" s="16">
        <v>3360</v>
      </c>
      <c r="AH58" s="17">
        <v>112</v>
      </c>
      <c r="AI58" s="17">
        <v>168</v>
      </c>
      <c r="AJ58" s="17">
        <v>140</v>
      </c>
      <c r="AK58" s="18">
        <v>2.5730925483699279E-3</v>
      </c>
      <c r="AL58" s="19">
        <v>105.73798626383251</v>
      </c>
      <c r="AM58" s="20">
        <v>0.75527133045594652</v>
      </c>
      <c r="AN58" s="21">
        <v>104076000</v>
      </c>
      <c r="AO58" s="22">
        <v>9.6202439677860532E-3</v>
      </c>
      <c r="AP58" s="22">
        <v>0.79968921143541438</v>
      </c>
      <c r="AQ58" s="22" t="s">
        <v>151</v>
      </c>
      <c r="AR58" s="22" t="s">
        <v>166</v>
      </c>
      <c r="AS58" s="22" t="s">
        <v>167</v>
      </c>
      <c r="AT58" s="23">
        <v>224</v>
      </c>
      <c r="AU58" s="24">
        <v>1.3333333333333333</v>
      </c>
      <c r="AV58" s="24">
        <v>224</v>
      </c>
      <c r="AW58" s="24">
        <v>112</v>
      </c>
      <c r="AX58" s="1" t="s">
        <v>154</v>
      </c>
      <c r="AY58" s="25">
        <v>5.6</v>
      </c>
      <c r="AZ58" s="23">
        <v>30</v>
      </c>
      <c r="BA58" s="26">
        <v>168</v>
      </c>
      <c r="BB58" s="27">
        <v>336</v>
      </c>
    </row>
    <row r="59" spans="1:54" ht="12" x14ac:dyDescent="0.3">
      <c r="A59" s="12" t="s">
        <v>178</v>
      </c>
      <c r="B59" s="12">
        <v>101082</v>
      </c>
      <c r="C59" s="13" t="s">
        <v>70</v>
      </c>
      <c r="D59" s="13" t="s">
        <v>53</v>
      </c>
      <c r="E59" s="14">
        <v>134866</v>
      </c>
      <c r="F59" s="15" t="s">
        <v>45</v>
      </c>
      <c r="G59" s="6">
        <v>30</v>
      </c>
      <c r="H59" s="6">
        <v>30</v>
      </c>
      <c r="I59" s="6">
        <v>30</v>
      </c>
      <c r="J59" s="6">
        <v>30</v>
      </c>
      <c r="K59" s="6">
        <v>0</v>
      </c>
      <c r="L59" s="6">
        <v>0</v>
      </c>
      <c r="M59" s="6">
        <v>30</v>
      </c>
      <c r="N59" s="6">
        <v>30</v>
      </c>
      <c r="O59" s="6">
        <v>30</v>
      </c>
      <c r="P59" s="6">
        <v>30</v>
      </c>
      <c r="Q59" s="6">
        <v>30</v>
      </c>
      <c r="R59" s="6">
        <v>60</v>
      </c>
      <c r="S59" s="6">
        <v>30</v>
      </c>
      <c r="T59" s="6">
        <v>30</v>
      </c>
      <c r="U59" s="6">
        <v>60</v>
      </c>
      <c r="V59" s="6">
        <v>60</v>
      </c>
      <c r="W59" s="6">
        <v>30</v>
      </c>
      <c r="X59" s="6">
        <v>0</v>
      </c>
      <c r="Y59" s="6">
        <v>30</v>
      </c>
      <c r="Z59" s="6">
        <v>30</v>
      </c>
      <c r="AA59" s="6">
        <v>30</v>
      </c>
      <c r="AB59" s="6">
        <v>30</v>
      </c>
      <c r="AC59" s="6">
        <v>30</v>
      </c>
      <c r="AD59" s="6">
        <v>30</v>
      </c>
      <c r="AE59" s="6">
        <v>330</v>
      </c>
      <c r="AF59" s="6">
        <v>390</v>
      </c>
      <c r="AG59" s="16">
        <v>720</v>
      </c>
      <c r="AH59" s="17">
        <v>27.5</v>
      </c>
      <c r="AI59" s="17">
        <v>32.5</v>
      </c>
      <c r="AJ59" s="17">
        <v>30</v>
      </c>
      <c r="AK59" s="18">
        <v>4.9777087989299204E-4</v>
      </c>
      <c r="AL59" s="19">
        <v>15.322617553657475</v>
      </c>
      <c r="AM59" s="20">
        <v>0.5107539184552492</v>
      </c>
      <c r="AN59" s="21">
        <v>97103520</v>
      </c>
      <c r="AO59" s="22">
        <v>8.9757441920403584E-3</v>
      </c>
      <c r="AP59" s="22">
        <v>0.80866495562745477</v>
      </c>
      <c r="AQ59" s="22" t="s">
        <v>179</v>
      </c>
      <c r="AR59" s="22" t="s">
        <v>166</v>
      </c>
      <c r="AS59" s="22" t="s">
        <v>180</v>
      </c>
      <c r="AT59" s="23">
        <v>90</v>
      </c>
      <c r="AU59" s="24">
        <v>2.7692307692307692</v>
      </c>
      <c r="AV59" s="24">
        <v>60</v>
      </c>
      <c r="AW59" s="24">
        <v>30</v>
      </c>
      <c r="AX59" s="1" t="s">
        <v>154</v>
      </c>
      <c r="AY59" s="25">
        <v>1.0833333333333333</v>
      </c>
      <c r="AZ59" s="23">
        <v>30</v>
      </c>
      <c r="BA59" s="26">
        <v>32.5</v>
      </c>
      <c r="BB59" s="27">
        <v>65</v>
      </c>
    </row>
    <row r="60" spans="1:54" ht="12" x14ac:dyDescent="0.3">
      <c r="A60" s="12" t="s">
        <v>181</v>
      </c>
      <c r="B60" s="12">
        <v>209146</v>
      </c>
      <c r="C60" s="13" t="s">
        <v>71</v>
      </c>
      <c r="D60" s="13" t="s">
        <v>47</v>
      </c>
      <c r="E60" s="14">
        <v>99960</v>
      </c>
      <c r="F60" s="15" t="s">
        <v>45</v>
      </c>
      <c r="G60" s="6">
        <v>32</v>
      </c>
      <c r="H60" s="6">
        <v>33</v>
      </c>
      <c r="I60" s="6">
        <v>47</v>
      </c>
      <c r="J60" s="6">
        <v>38</v>
      </c>
      <c r="K60" s="6">
        <v>39</v>
      </c>
      <c r="L60" s="6">
        <v>1</v>
      </c>
      <c r="M60" s="6">
        <v>1</v>
      </c>
      <c r="N60" s="6">
        <v>0</v>
      </c>
      <c r="O60" s="6">
        <v>0</v>
      </c>
      <c r="P60" s="6">
        <v>5</v>
      </c>
      <c r="Q60" s="6">
        <v>71</v>
      </c>
      <c r="R60" s="6">
        <v>46</v>
      </c>
      <c r="S60" s="6">
        <v>42</v>
      </c>
      <c r="T60" s="6">
        <v>36</v>
      </c>
      <c r="U60" s="6">
        <v>27</v>
      </c>
      <c r="V60" s="6">
        <v>66</v>
      </c>
      <c r="W60" s="6">
        <v>53</v>
      </c>
      <c r="X60" s="6">
        <v>29</v>
      </c>
      <c r="Y60" s="6">
        <v>68</v>
      </c>
      <c r="Z60" s="6">
        <v>89</v>
      </c>
      <c r="AA60" s="6">
        <v>71</v>
      </c>
      <c r="AB60" s="6">
        <v>76</v>
      </c>
      <c r="AC60" s="6">
        <v>58</v>
      </c>
      <c r="AD60" s="6">
        <v>20</v>
      </c>
      <c r="AE60" s="6">
        <v>313</v>
      </c>
      <c r="AF60" s="6">
        <v>635</v>
      </c>
      <c r="AG60" s="16">
        <v>948</v>
      </c>
      <c r="AH60" s="17">
        <v>26.083333333333332</v>
      </c>
      <c r="AI60" s="17">
        <v>52.916666666666664</v>
      </c>
      <c r="AJ60" s="17">
        <v>39.5</v>
      </c>
      <c r="AK60" s="18">
        <v>8.1047309931294852E-4</v>
      </c>
      <c r="AL60" s="19">
        <v>26.330673136592747</v>
      </c>
      <c r="AM60" s="20">
        <v>0.66659931991374044</v>
      </c>
      <c r="AN60" s="21">
        <v>94762080</v>
      </c>
      <c r="AO60" s="22">
        <v>8.7593136601604536E-3</v>
      </c>
      <c r="AP60" s="22">
        <v>0.81742426928761525</v>
      </c>
      <c r="AQ60" s="22" t="s">
        <v>179</v>
      </c>
      <c r="AR60" s="22" t="s">
        <v>166</v>
      </c>
      <c r="AS60" s="22" t="s">
        <v>180</v>
      </c>
      <c r="AT60" s="23">
        <v>100</v>
      </c>
      <c r="AU60" s="24">
        <v>1.889763779527559</v>
      </c>
      <c r="AV60" s="24">
        <v>50</v>
      </c>
      <c r="AW60" s="24">
        <v>25</v>
      </c>
      <c r="AX60" s="1" t="s">
        <v>154</v>
      </c>
      <c r="AY60" s="25">
        <v>1.7638888888888888</v>
      </c>
      <c r="AZ60" s="23">
        <v>30</v>
      </c>
      <c r="BA60" s="26">
        <v>52.916666666666664</v>
      </c>
      <c r="BB60" s="27">
        <v>105.83333333333333</v>
      </c>
    </row>
    <row r="61" spans="1:54" ht="12" x14ac:dyDescent="0.3">
      <c r="A61" s="12" t="s">
        <v>188</v>
      </c>
      <c r="B61" s="12">
        <v>201028</v>
      </c>
      <c r="C61" s="13" t="s">
        <v>76</v>
      </c>
      <c r="D61" s="13" t="s">
        <v>62</v>
      </c>
      <c r="E61" s="14">
        <v>32629</v>
      </c>
      <c r="F61" s="15" t="s">
        <v>45</v>
      </c>
      <c r="G61" s="6">
        <v>0</v>
      </c>
      <c r="H61" s="6">
        <v>30</v>
      </c>
      <c r="I61" s="6">
        <v>60</v>
      </c>
      <c r="J61" s="6">
        <v>60</v>
      </c>
      <c r="K61" s="6">
        <v>120</v>
      </c>
      <c r="L61" s="6">
        <v>60</v>
      </c>
      <c r="M61" s="6">
        <v>30</v>
      </c>
      <c r="N61" s="6">
        <v>30</v>
      </c>
      <c r="O61" s="6">
        <v>60</v>
      </c>
      <c r="P61" s="6">
        <v>150</v>
      </c>
      <c r="Q61" s="6">
        <v>120</v>
      </c>
      <c r="R61" s="6">
        <v>30</v>
      </c>
      <c r="S61" s="6">
        <v>120</v>
      </c>
      <c r="T61" s="6">
        <v>0</v>
      </c>
      <c r="U61" s="6">
        <v>120</v>
      </c>
      <c r="V61" s="6">
        <v>120</v>
      </c>
      <c r="W61" s="6">
        <v>120</v>
      </c>
      <c r="X61" s="6">
        <v>90</v>
      </c>
      <c r="Y61" s="6">
        <v>180</v>
      </c>
      <c r="Z61" s="6">
        <v>90</v>
      </c>
      <c r="AA61" s="6">
        <v>90</v>
      </c>
      <c r="AB61" s="6">
        <v>120</v>
      </c>
      <c r="AC61" s="6">
        <v>120</v>
      </c>
      <c r="AD61" s="6">
        <v>150</v>
      </c>
      <c r="AE61" s="6">
        <v>750</v>
      </c>
      <c r="AF61" s="6">
        <v>1320</v>
      </c>
      <c r="AG61" s="16">
        <v>2070</v>
      </c>
      <c r="AH61" s="17">
        <v>62.5</v>
      </c>
      <c r="AI61" s="17">
        <v>110</v>
      </c>
      <c r="AJ61" s="17">
        <v>86.25</v>
      </c>
      <c r="AK61" s="18">
        <v>1.6847629780993576E-3</v>
      </c>
      <c r="AL61" s="19">
        <v>49.502964338116861</v>
      </c>
      <c r="AM61" s="20">
        <v>0.5739474126158477</v>
      </c>
      <c r="AN61" s="21">
        <v>67542030</v>
      </c>
      <c r="AO61" s="22">
        <v>6.2432338548707158E-3</v>
      </c>
      <c r="AP61" s="22">
        <v>0.85415260643660373</v>
      </c>
      <c r="AQ61" s="22" t="s">
        <v>179</v>
      </c>
      <c r="AR61" s="22" t="s">
        <v>166</v>
      </c>
      <c r="AS61" s="22" t="s">
        <v>180</v>
      </c>
      <c r="AT61" s="23">
        <v>300</v>
      </c>
      <c r="AU61" s="24">
        <v>2.7272727272727271</v>
      </c>
      <c r="AV61" s="24">
        <v>300</v>
      </c>
      <c r="AW61" s="24">
        <v>150</v>
      </c>
      <c r="AX61" s="1" t="s">
        <v>154</v>
      </c>
      <c r="AY61" s="25">
        <v>3.6666666666666665</v>
      </c>
      <c r="AZ61" s="23">
        <v>30</v>
      </c>
      <c r="BA61" s="26">
        <v>110</v>
      </c>
      <c r="BB61" s="27">
        <v>220</v>
      </c>
    </row>
    <row r="62" spans="1:54" ht="12" x14ac:dyDescent="0.3">
      <c r="A62" s="12" t="s">
        <v>189</v>
      </c>
      <c r="B62" s="12">
        <v>101048</v>
      </c>
      <c r="C62" s="13" t="s">
        <v>77</v>
      </c>
      <c r="D62" s="13" t="s">
        <v>47</v>
      </c>
      <c r="E62" s="14">
        <v>105654</v>
      </c>
      <c r="F62" s="15" t="s">
        <v>45</v>
      </c>
      <c r="G62" s="6">
        <v>17</v>
      </c>
      <c r="H62" s="6">
        <v>10</v>
      </c>
      <c r="I62" s="6">
        <v>24</v>
      </c>
      <c r="J62" s="6">
        <v>8</v>
      </c>
      <c r="K62" s="6">
        <v>21</v>
      </c>
      <c r="L62" s="6">
        <v>9</v>
      </c>
      <c r="M62" s="6">
        <v>17</v>
      </c>
      <c r="N62" s="6">
        <v>25</v>
      </c>
      <c r="O62" s="6">
        <v>12</v>
      </c>
      <c r="P62" s="6">
        <v>24</v>
      </c>
      <c r="Q62" s="6">
        <v>36</v>
      </c>
      <c r="R62" s="6">
        <v>26</v>
      </c>
      <c r="S62" s="6">
        <v>14</v>
      </c>
      <c r="T62" s="6">
        <v>37</v>
      </c>
      <c r="U62" s="6">
        <v>39</v>
      </c>
      <c r="V62" s="6">
        <v>49</v>
      </c>
      <c r="W62" s="6">
        <v>22</v>
      </c>
      <c r="X62" s="6">
        <v>52</v>
      </c>
      <c r="Y62" s="6">
        <v>53</v>
      </c>
      <c r="Z62" s="6">
        <v>49</v>
      </c>
      <c r="AA62" s="6">
        <v>11</v>
      </c>
      <c r="AB62" s="6">
        <v>44</v>
      </c>
      <c r="AC62" s="6">
        <v>15</v>
      </c>
      <c r="AD62" s="6">
        <v>15</v>
      </c>
      <c r="AE62" s="6">
        <v>229</v>
      </c>
      <c r="AF62" s="6">
        <v>400</v>
      </c>
      <c r="AG62" s="16">
        <v>629</v>
      </c>
      <c r="AH62" s="17">
        <v>19.083333333333332</v>
      </c>
      <c r="AI62" s="17">
        <v>33.333333333333336</v>
      </c>
      <c r="AJ62" s="17">
        <v>26.208333333333332</v>
      </c>
      <c r="AK62" s="18">
        <v>5.1053423578768418E-4</v>
      </c>
      <c r="AL62" s="19">
        <v>14.838197378700531</v>
      </c>
      <c r="AM62" s="20">
        <v>0.56616333400447183</v>
      </c>
      <c r="AN62" s="21">
        <v>66456366</v>
      </c>
      <c r="AO62" s="22">
        <v>6.1428807230531736E-3</v>
      </c>
      <c r="AP62" s="22">
        <v>0.86029548715965687</v>
      </c>
      <c r="AQ62" s="22" t="s">
        <v>179</v>
      </c>
      <c r="AR62" s="22" t="s">
        <v>166</v>
      </c>
      <c r="AS62" s="22" t="s">
        <v>180</v>
      </c>
      <c r="AT62" s="23">
        <v>123</v>
      </c>
      <c r="AU62" s="24">
        <v>3.69</v>
      </c>
      <c r="AV62" s="24">
        <v>80</v>
      </c>
      <c r="AW62" s="24">
        <v>50</v>
      </c>
      <c r="AX62" s="1" t="s">
        <v>154</v>
      </c>
      <c r="AY62" s="25">
        <v>1.1111111111111112</v>
      </c>
      <c r="AZ62" s="23">
        <v>30</v>
      </c>
      <c r="BA62" s="26">
        <v>33.333333333333336</v>
      </c>
      <c r="BB62" s="27">
        <v>66.666666666666671</v>
      </c>
    </row>
    <row r="63" spans="1:54" ht="12" x14ac:dyDescent="0.3">
      <c r="A63" s="12" t="s">
        <v>191</v>
      </c>
      <c r="B63" s="12">
        <v>101049</v>
      </c>
      <c r="C63" s="13" t="s">
        <v>79</v>
      </c>
      <c r="D63" s="13" t="s">
        <v>64</v>
      </c>
      <c r="E63" s="14">
        <v>8854</v>
      </c>
      <c r="F63" s="15" t="s">
        <v>45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120</v>
      </c>
      <c r="R63" s="6">
        <v>120</v>
      </c>
      <c r="S63" s="6">
        <v>112</v>
      </c>
      <c r="T63" s="6">
        <v>0</v>
      </c>
      <c r="U63" s="6">
        <v>0</v>
      </c>
      <c r="V63" s="6">
        <v>240</v>
      </c>
      <c r="W63" s="6">
        <v>240</v>
      </c>
      <c r="X63" s="6">
        <v>360</v>
      </c>
      <c r="Y63" s="6">
        <v>480</v>
      </c>
      <c r="Z63" s="6">
        <v>720</v>
      </c>
      <c r="AA63" s="6">
        <v>720</v>
      </c>
      <c r="AB63" s="6">
        <v>1080</v>
      </c>
      <c r="AC63" s="6">
        <v>960</v>
      </c>
      <c r="AD63" s="6">
        <v>720</v>
      </c>
      <c r="AE63" s="6">
        <v>240</v>
      </c>
      <c r="AF63" s="6">
        <v>5632</v>
      </c>
      <c r="AG63" s="16">
        <v>5872</v>
      </c>
      <c r="AH63" s="17">
        <v>20</v>
      </c>
      <c r="AI63" s="17">
        <v>469.33333333333331</v>
      </c>
      <c r="AJ63" s="17">
        <v>244.66666666666666</v>
      </c>
      <c r="AK63" s="18">
        <v>7.1883220398905922E-3</v>
      </c>
      <c r="AL63" s="19">
        <v>344.08424987856205</v>
      </c>
      <c r="AM63" s="20">
        <v>1.4063388959614254</v>
      </c>
      <c r="AN63" s="21">
        <v>51990688</v>
      </c>
      <c r="AO63" s="22">
        <v>4.8057487087613546E-3</v>
      </c>
      <c r="AP63" s="22">
        <v>0.87075166004082361</v>
      </c>
      <c r="AQ63" s="22" t="s">
        <v>179</v>
      </c>
      <c r="AR63" s="22" t="s">
        <v>166</v>
      </c>
      <c r="AS63" s="22" t="s">
        <v>180</v>
      </c>
      <c r="AT63" s="23">
        <v>2160</v>
      </c>
      <c r="AU63" s="24">
        <v>4.6022727272727275</v>
      </c>
      <c r="AV63" s="24">
        <v>800</v>
      </c>
      <c r="AW63" s="24">
        <v>480</v>
      </c>
      <c r="AX63" s="1" t="s">
        <v>154</v>
      </c>
      <c r="AY63" s="25">
        <v>15.644444444444444</v>
      </c>
      <c r="AZ63" s="23">
        <v>30</v>
      </c>
      <c r="BA63" s="26">
        <v>469.33333333333331</v>
      </c>
      <c r="BB63" s="27">
        <v>938.66666666666663</v>
      </c>
    </row>
    <row r="64" spans="1:54" ht="12" x14ac:dyDescent="0.3">
      <c r="A64" s="12" t="s">
        <v>200</v>
      </c>
      <c r="B64" s="12">
        <v>101058</v>
      </c>
      <c r="C64" s="13" t="s">
        <v>87</v>
      </c>
      <c r="D64" s="13" t="s">
        <v>64</v>
      </c>
      <c r="E64" s="14">
        <v>45026</v>
      </c>
      <c r="F64" s="15" t="s">
        <v>45</v>
      </c>
      <c r="G64" s="6">
        <v>84</v>
      </c>
      <c r="H64" s="6">
        <v>28</v>
      </c>
      <c r="I64" s="6">
        <v>28</v>
      </c>
      <c r="J64" s="6">
        <v>56</v>
      </c>
      <c r="K64" s="6">
        <v>84</v>
      </c>
      <c r="L64" s="6">
        <v>0</v>
      </c>
      <c r="M64" s="6">
        <v>28</v>
      </c>
      <c r="N64" s="6">
        <v>28</v>
      </c>
      <c r="O64" s="6">
        <v>28</v>
      </c>
      <c r="P64" s="6">
        <v>28</v>
      </c>
      <c r="Q64" s="6">
        <v>84</v>
      </c>
      <c r="R64" s="6">
        <v>56</v>
      </c>
      <c r="S64" s="6">
        <v>56</v>
      </c>
      <c r="T64" s="6">
        <v>84</v>
      </c>
      <c r="U64" s="6">
        <v>84</v>
      </c>
      <c r="V64" s="6">
        <v>28</v>
      </c>
      <c r="W64" s="6">
        <v>28</v>
      </c>
      <c r="X64" s="6">
        <v>28</v>
      </c>
      <c r="Y64" s="6">
        <v>28</v>
      </c>
      <c r="Z64" s="6">
        <v>28</v>
      </c>
      <c r="AA64" s="6">
        <v>0</v>
      </c>
      <c r="AB64" s="6">
        <v>28</v>
      </c>
      <c r="AC64" s="6">
        <v>0</v>
      </c>
      <c r="AD64" s="6">
        <v>28</v>
      </c>
      <c r="AE64" s="6">
        <v>532</v>
      </c>
      <c r="AF64" s="6">
        <v>420</v>
      </c>
      <c r="AG64" s="16">
        <v>952</v>
      </c>
      <c r="AH64" s="17">
        <v>44.333333333333336</v>
      </c>
      <c r="AI64" s="17">
        <v>35</v>
      </c>
      <c r="AJ64" s="17">
        <v>39.666666666666664</v>
      </c>
      <c r="AK64" s="18">
        <v>5.3606094757706834E-4</v>
      </c>
      <c r="AL64" s="19">
        <v>27.280613703836853</v>
      </c>
      <c r="AM64" s="20">
        <v>0.68774656396227363</v>
      </c>
      <c r="AN64" s="21">
        <v>42864752</v>
      </c>
      <c r="AO64" s="22">
        <v>3.9621946640786068E-3</v>
      </c>
      <c r="AP64" s="22">
        <v>0.90509196416649207</v>
      </c>
      <c r="AQ64" s="22" t="s">
        <v>179</v>
      </c>
      <c r="AR64" s="22" t="s">
        <v>166</v>
      </c>
      <c r="AS64" s="22" t="s">
        <v>180</v>
      </c>
      <c r="AT64" s="23">
        <v>84</v>
      </c>
      <c r="AU64" s="24">
        <v>2.4</v>
      </c>
      <c r="AV64" s="24">
        <v>56</v>
      </c>
      <c r="AW64" s="24">
        <v>28</v>
      </c>
      <c r="AX64" s="1" t="s">
        <v>154</v>
      </c>
      <c r="AY64" s="25">
        <v>1.1666666666666667</v>
      </c>
      <c r="AZ64" s="23">
        <v>30</v>
      </c>
      <c r="BA64" s="26">
        <v>35</v>
      </c>
      <c r="BB64" s="27">
        <v>70</v>
      </c>
    </row>
    <row r="65" spans="1:54" ht="12" x14ac:dyDescent="0.3">
      <c r="A65" s="12" t="s">
        <v>203</v>
      </c>
      <c r="B65" s="12">
        <v>209005</v>
      </c>
      <c r="C65" s="13" t="s">
        <v>90</v>
      </c>
      <c r="D65" s="13" t="s">
        <v>47</v>
      </c>
      <c r="E65" s="14">
        <v>16584</v>
      </c>
      <c r="F65" s="15" t="s">
        <v>45</v>
      </c>
      <c r="G65" s="6">
        <v>108</v>
      </c>
      <c r="H65" s="6">
        <v>140</v>
      </c>
      <c r="I65" s="6">
        <v>235</v>
      </c>
      <c r="J65" s="6">
        <v>186</v>
      </c>
      <c r="K65" s="6">
        <v>31</v>
      </c>
      <c r="L65" s="6">
        <v>131</v>
      </c>
      <c r="M65" s="6">
        <v>207</v>
      </c>
      <c r="N65" s="6">
        <v>108</v>
      </c>
      <c r="O65" s="6">
        <v>8</v>
      </c>
      <c r="P65" s="6">
        <v>167</v>
      </c>
      <c r="Q65" s="6">
        <v>202</v>
      </c>
      <c r="R65" s="6">
        <v>71</v>
      </c>
      <c r="S65" s="6">
        <v>93</v>
      </c>
      <c r="T65" s="6">
        <v>0</v>
      </c>
      <c r="U65" s="6">
        <v>3</v>
      </c>
      <c r="V65" s="6">
        <v>56</v>
      </c>
      <c r="W65" s="6">
        <v>190</v>
      </c>
      <c r="X65" s="6">
        <v>160</v>
      </c>
      <c r="Y65" s="6">
        <v>56</v>
      </c>
      <c r="Z65" s="6">
        <v>0</v>
      </c>
      <c r="AA65" s="6">
        <v>0</v>
      </c>
      <c r="AB65" s="6">
        <v>0</v>
      </c>
      <c r="AC65" s="6">
        <v>10</v>
      </c>
      <c r="AD65" s="6">
        <v>265</v>
      </c>
      <c r="AE65" s="6">
        <v>1594</v>
      </c>
      <c r="AF65" s="6">
        <v>833</v>
      </c>
      <c r="AG65" s="16">
        <v>2427</v>
      </c>
      <c r="AH65" s="17">
        <v>132.83333333333334</v>
      </c>
      <c r="AI65" s="17">
        <v>69.416666666666671</v>
      </c>
      <c r="AJ65" s="17">
        <v>101.125</v>
      </c>
      <c r="AK65" s="18">
        <v>1.0631875460278522E-3</v>
      </c>
      <c r="AL65" s="19">
        <v>85.730270895559912</v>
      </c>
      <c r="AM65" s="20">
        <v>0.84776534878180387</v>
      </c>
      <c r="AN65" s="21">
        <v>40249368</v>
      </c>
      <c r="AO65" s="22">
        <v>3.7204421740766455E-3</v>
      </c>
      <c r="AP65" s="22">
        <v>0.91659747923626467</v>
      </c>
      <c r="AQ65" s="22" t="s">
        <v>179</v>
      </c>
      <c r="AR65" s="22" t="s">
        <v>166</v>
      </c>
      <c r="AS65" s="22" t="s">
        <v>180</v>
      </c>
      <c r="AT65" s="23">
        <v>137</v>
      </c>
      <c r="AU65" s="24">
        <v>1.9735894357743096</v>
      </c>
      <c r="AV65" s="24">
        <v>150</v>
      </c>
      <c r="AW65" s="24">
        <v>100</v>
      </c>
      <c r="AX65" s="1" t="s">
        <v>154</v>
      </c>
      <c r="AY65" s="25">
        <v>2.3138888888888891</v>
      </c>
      <c r="AZ65" s="23">
        <v>30</v>
      </c>
      <c r="BA65" s="26">
        <v>69.416666666666671</v>
      </c>
      <c r="BB65" s="27">
        <v>138.83333333333334</v>
      </c>
    </row>
    <row r="66" spans="1:54" ht="12" x14ac:dyDescent="0.3">
      <c r="A66" s="12" t="s">
        <v>204</v>
      </c>
      <c r="B66" s="12">
        <v>101065</v>
      </c>
      <c r="C66" s="13" t="s">
        <v>91</v>
      </c>
      <c r="D66" s="13" t="s">
        <v>64</v>
      </c>
      <c r="E66" s="14">
        <v>48616</v>
      </c>
      <c r="F66" s="15" t="s">
        <v>45</v>
      </c>
      <c r="G66" s="6">
        <v>60</v>
      </c>
      <c r="H66" s="6">
        <v>60</v>
      </c>
      <c r="I66" s="6">
        <v>60</v>
      </c>
      <c r="J66" s="6">
        <v>0</v>
      </c>
      <c r="K66" s="6">
        <v>0</v>
      </c>
      <c r="L66" s="6">
        <v>60</v>
      </c>
      <c r="M66" s="6">
        <v>120</v>
      </c>
      <c r="N66" s="6">
        <v>0</v>
      </c>
      <c r="O66" s="6">
        <v>0</v>
      </c>
      <c r="P66" s="6">
        <v>0</v>
      </c>
      <c r="Q66" s="6">
        <v>60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60</v>
      </c>
      <c r="Z66" s="6">
        <v>60</v>
      </c>
      <c r="AA66" s="6">
        <v>60</v>
      </c>
      <c r="AB66" s="6">
        <v>0</v>
      </c>
      <c r="AC66" s="6">
        <v>120</v>
      </c>
      <c r="AD66" s="6">
        <v>60</v>
      </c>
      <c r="AE66" s="6">
        <v>420</v>
      </c>
      <c r="AF66" s="6">
        <v>360</v>
      </c>
      <c r="AG66" s="16">
        <v>780</v>
      </c>
      <c r="AH66" s="17">
        <v>35</v>
      </c>
      <c r="AI66" s="17">
        <v>30</v>
      </c>
      <c r="AJ66" s="17">
        <v>32.5</v>
      </c>
      <c r="AK66" s="18">
        <v>4.594808122089157E-4</v>
      </c>
      <c r="AL66" s="19">
        <v>39.480319808404708</v>
      </c>
      <c r="AM66" s="20">
        <v>1.2147790710278372</v>
      </c>
      <c r="AN66" s="21">
        <v>37920480</v>
      </c>
      <c r="AO66" s="22">
        <v>3.5051718837729316E-3</v>
      </c>
      <c r="AP66" s="22">
        <v>0.92010265112003764</v>
      </c>
      <c r="AQ66" s="22" t="s">
        <v>179</v>
      </c>
      <c r="AR66" s="22" t="s">
        <v>166</v>
      </c>
      <c r="AS66" s="22" t="s">
        <v>180</v>
      </c>
      <c r="AT66" s="23">
        <v>60</v>
      </c>
      <c r="AU66" s="24">
        <v>2</v>
      </c>
      <c r="AV66" s="24">
        <v>0</v>
      </c>
      <c r="AW66" s="24">
        <v>0</v>
      </c>
      <c r="AX66" s="1" t="s">
        <v>154</v>
      </c>
      <c r="AY66" s="25">
        <v>1</v>
      </c>
      <c r="AZ66" s="23">
        <v>30</v>
      </c>
      <c r="BA66" s="26">
        <v>30</v>
      </c>
      <c r="BB66" s="27">
        <v>60</v>
      </c>
    </row>
    <row r="67" spans="1:54" ht="12" x14ac:dyDescent="0.3">
      <c r="A67" s="12" t="s">
        <v>207</v>
      </c>
      <c r="B67" s="12">
        <v>209162</v>
      </c>
      <c r="C67" s="13" t="s">
        <v>94</v>
      </c>
      <c r="D67" s="13" t="s">
        <v>64</v>
      </c>
      <c r="E67" s="14">
        <v>46410</v>
      </c>
      <c r="F67" s="15" t="s">
        <v>45</v>
      </c>
      <c r="G67" s="6">
        <v>60</v>
      </c>
      <c r="H67" s="6">
        <v>30</v>
      </c>
      <c r="I67" s="6">
        <v>25</v>
      </c>
      <c r="J67" s="6">
        <v>35</v>
      </c>
      <c r="K67" s="6">
        <v>65</v>
      </c>
      <c r="L67" s="6">
        <v>50</v>
      </c>
      <c r="M67" s="6">
        <v>50</v>
      </c>
      <c r="N67" s="6">
        <v>15</v>
      </c>
      <c r="O67" s="6">
        <v>15</v>
      </c>
      <c r="P67" s="6">
        <v>15</v>
      </c>
      <c r="Q67" s="6">
        <v>60</v>
      </c>
      <c r="R67" s="6">
        <v>40</v>
      </c>
      <c r="S67" s="6">
        <v>45</v>
      </c>
      <c r="T67" s="6">
        <v>45</v>
      </c>
      <c r="U67" s="6">
        <v>40</v>
      </c>
      <c r="V67" s="6">
        <v>35</v>
      </c>
      <c r="W67" s="6">
        <v>40</v>
      </c>
      <c r="X67" s="6">
        <v>25</v>
      </c>
      <c r="Y67" s="6">
        <v>5</v>
      </c>
      <c r="Z67" s="6">
        <v>10</v>
      </c>
      <c r="AA67" s="6">
        <v>15</v>
      </c>
      <c r="AB67" s="6">
        <v>15</v>
      </c>
      <c r="AC67" s="6">
        <v>5</v>
      </c>
      <c r="AD67" s="6">
        <v>10</v>
      </c>
      <c r="AE67" s="6">
        <v>460</v>
      </c>
      <c r="AF67" s="6">
        <v>290</v>
      </c>
      <c r="AG67" s="16">
        <v>750</v>
      </c>
      <c r="AH67" s="17">
        <v>38.333333333333336</v>
      </c>
      <c r="AI67" s="17">
        <v>24.166666666666668</v>
      </c>
      <c r="AJ67" s="17">
        <v>31.25</v>
      </c>
      <c r="AK67" s="18">
        <v>3.7013732094607097E-4</v>
      </c>
      <c r="AL67" s="19">
        <v>18.430244519362141</v>
      </c>
      <c r="AM67" s="20">
        <v>0.58976782461958854</v>
      </c>
      <c r="AN67" s="21">
        <v>34807500</v>
      </c>
      <c r="AO67" s="22">
        <v>3.217424208354597E-3</v>
      </c>
      <c r="AP67" s="22">
        <v>0.93015837224121767</v>
      </c>
      <c r="AQ67" s="22" t="s">
        <v>179</v>
      </c>
      <c r="AR67" s="22" t="s">
        <v>166</v>
      </c>
      <c r="AS67" s="22" t="s">
        <v>180</v>
      </c>
      <c r="AT67" s="23">
        <v>215</v>
      </c>
      <c r="AU67" s="24">
        <v>8.8965517241379306</v>
      </c>
      <c r="AV67" s="24">
        <v>10</v>
      </c>
      <c r="AW67" s="24">
        <v>5</v>
      </c>
      <c r="AX67" s="1" t="s">
        <v>154</v>
      </c>
      <c r="AY67" s="25">
        <v>0.80555555555555558</v>
      </c>
      <c r="AZ67" s="23">
        <v>30</v>
      </c>
      <c r="BA67" s="26">
        <v>24.166666666666668</v>
      </c>
      <c r="BB67" s="27">
        <v>48.333333333333336</v>
      </c>
    </row>
    <row r="68" spans="1:54" ht="12" x14ac:dyDescent="0.3">
      <c r="A68" s="12" t="s">
        <v>208</v>
      </c>
      <c r="B68" s="12">
        <v>209040</v>
      </c>
      <c r="C68" s="13" t="s">
        <v>95</v>
      </c>
      <c r="D68" s="13" t="s">
        <v>47</v>
      </c>
      <c r="E68" s="14">
        <v>9586</v>
      </c>
      <c r="F68" s="15" t="s">
        <v>45</v>
      </c>
      <c r="G68" s="6">
        <v>250</v>
      </c>
      <c r="H68" s="6">
        <v>220</v>
      </c>
      <c r="I68" s="6">
        <v>281</v>
      </c>
      <c r="J68" s="6">
        <v>246</v>
      </c>
      <c r="K68" s="6">
        <v>0</v>
      </c>
      <c r="L68" s="6">
        <v>0</v>
      </c>
      <c r="M68" s="6">
        <v>82</v>
      </c>
      <c r="N68" s="6">
        <v>261</v>
      </c>
      <c r="O68" s="6">
        <v>288</v>
      </c>
      <c r="P68" s="6">
        <v>233</v>
      </c>
      <c r="Q68" s="6">
        <v>177</v>
      </c>
      <c r="R68" s="6">
        <v>163</v>
      </c>
      <c r="S68" s="6">
        <v>244</v>
      </c>
      <c r="T68" s="6">
        <v>148</v>
      </c>
      <c r="U68" s="6">
        <v>227</v>
      </c>
      <c r="V68" s="6">
        <v>255</v>
      </c>
      <c r="W68" s="6">
        <v>221</v>
      </c>
      <c r="X68" s="6">
        <v>186</v>
      </c>
      <c r="Y68" s="6">
        <v>112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2201</v>
      </c>
      <c r="AF68" s="6">
        <v>1393</v>
      </c>
      <c r="AG68" s="16">
        <v>3594</v>
      </c>
      <c r="AH68" s="17">
        <v>183.41666666666666</v>
      </c>
      <c r="AI68" s="17">
        <v>116.08333333333333</v>
      </c>
      <c r="AJ68" s="17">
        <v>149.75</v>
      </c>
      <c r="AK68" s="18">
        <v>1.77793547613061E-3</v>
      </c>
      <c r="AL68" s="19">
        <v>109.56961257575021</v>
      </c>
      <c r="AM68" s="20">
        <v>0.73168355643238869</v>
      </c>
      <c r="AN68" s="21">
        <v>34452084</v>
      </c>
      <c r="AO68" s="22">
        <v>3.1845714024237902E-3</v>
      </c>
      <c r="AP68" s="22">
        <v>0.93334294364364145</v>
      </c>
      <c r="AQ68" s="22" t="s">
        <v>179</v>
      </c>
      <c r="AR68" s="22" t="s">
        <v>166</v>
      </c>
      <c r="AS68" s="22" t="s">
        <v>180</v>
      </c>
      <c r="AT68" s="23">
        <v>0</v>
      </c>
      <c r="AU68" s="24">
        <v>0</v>
      </c>
      <c r="AV68" s="24">
        <v>0</v>
      </c>
      <c r="AW68" s="24">
        <v>0</v>
      </c>
      <c r="AX68" s="1" t="s">
        <v>198</v>
      </c>
      <c r="AY68" s="25">
        <v>3.8694444444444445</v>
      </c>
      <c r="AZ68" s="23">
        <v>30</v>
      </c>
      <c r="BA68" s="26">
        <v>116.08333333333333</v>
      </c>
      <c r="BB68" s="27">
        <v>232.16666666666666</v>
      </c>
    </row>
    <row r="69" spans="1:54" ht="12" x14ac:dyDescent="0.3">
      <c r="A69" s="12" t="s">
        <v>209</v>
      </c>
      <c r="B69" s="12">
        <v>101044</v>
      </c>
      <c r="C69" s="13" t="s">
        <v>96</v>
      </c>
      <c r="D69" s="13" t="s">
        <v>47</v>
      </c>
      <c r="E69" s="14">
        <v>305604</v>
      </c>
      <c r="F69" s="15" t="s">
        <v>45</v>
      </c>
      <c r="G69" s="6">
        <v>7</v>
      </c>
      <c r="H69" s="6">
        <v>3</v>
      </c>
      <c r="I69" s="6">
        <v>2</v>
      </c>
      <c r="J69" s="6">
        <v>4</v>
      </c>
      <c r="K69" s="6">
        <v>4</v>
      </c>
      <c r="L69" s="6">
        <v>3</v>
      </c>
      <c r="M69" s="6">
        <v>6</v>
      </c>
      <c r="N69" s="6">
        <v>11</v>
      </c>
      <c r="O69" s="6">
        <v>6</v>
      </c>
      <c r="P69" s="6">
        <v>4</v>
      </c>
      <c r="Q69" s="6">
        <v>7</v>
      </c>
      <c r="R69" s="6">
        <v>5</v>
      </c>
      <c r="S69" s="6">
        <v>5</v>
      </c>
      <c r="T69" s="6">
        <v>6</v>
      </c>
      <c r="U69" s="6">
        <v>0</v>
      </c>
      <c r="V69" s="6">
        <v>0</v>
      </c>
      <c r="W69" s="6">
        <v>6</v>
      </c>
      <c r="X69" s="6">
        <v>2</v>
      </c>
      <c r="Y69" s="6">
        <v>4</v>
      </c>
      <c r="Z69" s="6">
        <v>6</v>
      </c>
      <c r="AA69" s="6">
        <v>5</v>
      </c>
      <c r="AB69" s="6">
        <v>4</v>
      </c>
      <c r="AC69" s="6">
        <v>6</v>
      </c>
      <c r="AD69" s="6">
        <v>3</v>
      </c>
      <c r="AE69" s="6">
        <v>62</v>
      </c>
      <c r="AF69" s="6">
        <v>47</v>
      </c>
      <c r="AG69" s="16">
        <v>109</v>
      </c>
      <c r="AH69" s="17">
        <v>5.166666666666667</v>
      </c>
      <c r="AI69" s="17">
        <v>3.9166666666666665</v>
      </c>
      <c r="AJ69" s="17">
        <v>4.541666666666667</v>
      </c>
      <c r="AK69" s="18">
        <v>5.9987772705052883E-5</v>
      </c>
      <c r="AL69" s="19">
        <v>2.3770490779200539</v>
      </c>
      <c r="AM69" s="20">
        <v>0.5233869529365256</v>
      </c>
      <c r="AN69" s="21">
        <v>33310836</v>
      </c>
      <c r="AO69" s="22">
        <v>3.0790803748309936E-3</v>
      </c>
      <c r="AP69" s="22">
        <v>0.93642202401847241</v>
      </c>
      <c r="AQ69" s="22" t="s">
        <v>179</v>
      </c>
      <c r="AR69" s="22" t="s">
        <v>166</v>
      </c>
      <c r="AS69" s="22" t="s">
        <v>180</v>
      </c>
      <c r="AT69" s="23">
        <v>18</v>
      </c>
      <c r="AU69" s="24">
        <v>4.5957446808510642</v>
      </c>
      <c r="AV69" s="24">
        <v>12</v>
      </c>
      <c r="AW69" s="24">
        <v>6</v>
      </c>
      <c r="AX69" s="1" t="s">
        <v>154</v>
      </c>
      <c r="AY69" s="25">
        <v>0.13055555555555556</v>
      </c>
      <c r="AZ69" s="23">
        <v>30</v>
      </c>
      <c r="BA69" s="26">
        <v>3.916666666666667</v>
      </c>
      <c r="BB69" s="27">
        <v>7.8333333333333339</v>
      </c>
    </row>
    <row r="70" spans="1:54" ht="12" x14ac:dyDescent="0.3">
      <c r="A70" s="12" t="s">
        <v>212</v>
      </c>
      <c r="B70" s="12">
        <v>209051</v>
      </c>
      <c r="C70" s="13" t="s">
        <v>99</v>
      </c>
      <c r="D70" s="13" t="s">
        <v>47</v>
      </c>
      <c r="E70" s="14">
        <v>22491</v>
      </c>
      <c r="F70" s="15" t="s">
        <v>45</v>
      </c>
      <c r="G70" s="6">
        <v>5</v>
      </c>
      <c r="H70" s="6">
        <v>13</v>
      </c>
      <c r="I70" s="6">
        <v>73</v>
      </c>
      <c r="J70" s="6">
        <v>66</v>
      </c>
      <c r="K70" s="6">
        <v>92</v>
      </c>
      <c r="L70" s="6">
        <v>48</v>
      </c>
      <c r="M70" s="6">
        <v>35</v>
      </c>
      <c r="N70" s="6">
        <v>23</v>
      </c>
      <c r="O70" s="6">
        <v>0</v>
      </c>
      <c r="P70" s="6">
        <v>6</v>
      </c>
      <c r="Q70" s="6">
        <v>79</v>
      </c>
      <c r="R70" s="6">
        <v>86</v>
      </c>
      <c r="S70" s="6">
        <v>74</v>
      </c>
      <c r="T70" s="6">
        <v>57</v>
      </c>
      <c r="U70" s="6">
        <v>89</v>
      </c>
      <c r="V70" s="6">
        <v>122</v>
      </c>
      <c r="W70" s="6">
        <v>22</v>
      </c>
      <c r="X70" s="6">
        <v>60</v>
      </c>
      <c r="Y70" s="6">
        <v>70</v>
      </c>
      <c r="Z70" s="6">
        <v>55</v>
      </c>
      <c r="AA70" s="6">
        <v>66</v>
      </c>
      <c r="AB70" s="6">
        <v>83</v>
      </c>
      <c r="AC70" s="6">
        <v>62</v>
      </c>
      <c r="AD70" s="6">
        <v>60</v>
      </c>
      <c r="AE70" s="6">
        <v>526</v>
      </c>
      <c r="AF70" s="6">
        <v>820</v>
      </c>
      <c r="AG70" s="16">
        <v>1346</v>
      </c>
      <c r="AH70" s="17">
        <v>43.833333333333336</v>
      </c>
      <c r="AI70" s="17">
        <v>68.333333333333329</v>
      </c>
      <c r="AJ70" s="17">
        <v>56.083333333333336</v>
      </c>
      <c r="AK70" s="18">
        <v>1.0465951833647524E-3</v>
      </c>
      <c r="AL70" s="19">
        <v>31.494535988032098</v>
      </c>
      <c r="AM70" s="20">
        <v>0.56156676353103296</v>
      </c>
      <c r="AN70" s="21">
        <v>30272886</v>
      </c>
      <c r="AO70" s="22">
        <v>2.7982680822569547E-3</v>
      </c>
      <c r="AP70" s="22">
        <v>0.94509045513884615</v>
      </c>
      <c r="AQ70" s="22" t="s">
        <v>179</v>
      </c>
      <c r="AR70" s="22" t="s">
        <v>166</v>
      </c>
      <c r="AS70" s="22" t="s">
        <v>180</v>
      </c>
      <c r="AT70" s="23">
        <v>204</v>
      </c>
      <c r="AU70" s="24">
        <v>2.9853658536585366</v>
      </c>
      <c r="AV70" s="24">
        <v>120</v>
      </c>
      <c r="AW70" s="24">
        <v>80</v>
      </c>
      <c r="AX70" s="1" t="s">
        <v>154</v>
      </c>
      <c r="AY70" s="25">
        <v>2.2777777777777777</v>
      </c>
      <c r="AZ70" s="23">
        <v>30</v>
      </c>
      <c r="BA70" s="26">
        <v>68.333333333333329</v>
      </c>
      <c r="BB70" s="27">
        <v>136.66666666666666</v>
      </c>
    </row>
    <row r="71" spans="1:54" ht="12" x14ac:dyDescent="0.3">
      <c r="A71" s="12" t="s">
        <v>213</v>
      </c>
      <c r="B71" s="12">
        <v>209045</v>
      </c>
      <c r="C71" s="13" t="s">
        <v>100</v>
      </c>
      <c r="D71" s="13" t="s">
        <v>47</v>
      </c>
      <c r="E71" s="14">
        <v>59405</v>
      </c>
      <c r="F71" s="15" t="s">
        <v>45</v>
      </c>
      <c r="G71" s="6">
        <v>24</v>
      </c>
      <c r="H71" s="6">
        <v>26</v>
      </c>
      <c r="I71" s="6">
        <v>33</v>
      </c>
      <c r="J71" s="6">
        <v>25</v>
      </c>
      <c r="K71" s="6">
        <v>23</v>
      </c>
      <c r="L71" s="6">
        <v>95</v>
      </c>
      <c r="M71" s="6">
        <v>66</v>
      </c>
      <c r="N71" s="6">
        <v>72</v>
      </c>
      <c r="O71" s="6">
        <v>79</v>
      </c>
      <c r="P71" s="6">
        <v>1</v>
      </c>
      <c r="Q71" s="6">
        <v>0</v>
      </c>
      <c r="R71" s="6">
        <v>0</v>
      </c>
      <c r="S71" s="6">
        <v>0</v>
      </c>
      <c r="T71" s="6">
        <v>0</v>
      </c>
      <c r="U71" s="6">
        <v>2</v>
      </c>
      <c r="V71" s="6">
        <v>3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14</v>
      </c>
      <c r="AD71" s="6">
        <v>42</v>
      </c>
      <c r="AE71" s="6">
        <v>444</v>
      </c>
      <c r="AF71" s="6">
        <v>61</v>
      </c>
      <c r="AG71" s="16">
        <v>505</v>
      </c>
      <c r="AH71" s="17">
        <v>37</v>
      </c>
      <c r="AI71" s="17">
        <v>5.083333333333333</v>
      </c>
      <c r="AJ71" s="17">
        <v>21.041666666666668</v>
      </c>
      <c r="AK71" s="18">
        <v>7.7856470957621827E-5</v>
      </c>
      <c r="AL71" s="19">
        <v>29.228454222416282</v>
      </c>
      <c r="AM71" s="20">
        <v>1.3890750521544371</v>
      </c>
      <c r="AN71" s="21">
        <v>29999525</v>
      </c>
      <c r="AO71" s="22">
        <v>2.7730000136217464E-3</v>
      </c>
      <c r="AP71" s="22">
        <v>0.94786345515246795</v>
      </c>
      <c r="AQ71" s="22" t="s">
        <v>179</v>
      </c>
      <c r="AR71" s="22" t="s">
        <v>166</v>
      </c>
      <c r="AS71" s="22" t="s">
        <v>180</v>
      </c>
      <c r="AT71" s="23">
        <v>73</v>
      </c>
      <c r="AU71" s="24">
        <v>14.360655737704919</v>
      </c>
      <c r="AV71" s="24">
        <v>80</v>
      </c>
      <c r="AW71" s="24">
        <v>40</v>
      </c>
      <c r="AX71" s="1" t="s">
        <v>154</v>
      </c>
      <c r="AY71" s="25">
        <v>0.16944444444444443</v>
      </c>
      <c r="AZ71" s="23">
        <v>30</v>
      </c>
      <c r="BA71" s="26">
        <v>5.083333333333333</v>
      </c>
      <c r="BB71" s="27">
        <v>10.166666666666666</v>
      </c>
    </row>
    <row r="72" spans="1:54" ht="12" x14ac:dyDescent="0.3">
      <c r="A72" s="12" t="s">
        <v>221</v>
      </c>
      <c r="B72" s="12">
        <v>209103</v>
      </c>
      <c r="C72" s="13" t="s">
        <v>105</v>
      </c>
      <c r="D72" s="13" t="s">
        <v>47</v>
      </c>
      <c r="E72" s="14">
        <v>222530</v>
      </c>
      <c r="F72" s="15" t="s">
        <v>45</v>
      </c>
      <c r="G72" s="6">
        <v>0</v>
      </c>
      <c r="H72" s="6">
        <v>0</v>
      </c>
      <c r="I72" s="6">
        <v>4</v>
      </c>
      <c r="J72" s="6">
        <v>12</v>
      </c>
      <c r="K72" s="6">
        <v>6</v>
      </c>
      <c r="L72" s="6">
        <v>4</v>
      </c>
      <c r="M72" s="6">
        <v>4</v>
      </c>
      <c r="N72" s="6">
        <v>4</v>
      </c>
      <c r="O72" s="6">
        <v>4</v>
      </c>
      <c r="P72" s="6">
        <v>8</v>
      </c>
      <c r="Q72" s="6">
        <v>8</v>
      </c>
      <c r="R72" s="6">
        <v>13</v>
      </c>
      <c r="S72" s="6">
        <v>5</v>
      </c>
      <c r="T72" s="6">
        <v>12</v>
      </c>
      <c r="U72" s="6">
        <v>8</v>
      </c>
      <c r="V72" s="6">
        <v>4</v>
      </c>
      <c r="W72" s="6">
        <v>0</v>
      </c>
      <c r="X72" s="6">
        <v>0</v>
      </c>
      <c r="Y72" s="6">
        <v>17</v>
      </c>
      <c r="Z72" s="6">
        <v>1</v>
      </c>
      <c r="AA72" s="6">
        <v>4</v>
      </c>
      <c r="AB72" s="6">
        <v>4</v>
      </c>
      <c r="AC72" s="6">
        <v>0</v>
      </c>
      <c r="AD72" s="6">
        <v>0</v>
      </c>
      <c r="AE72" s="6">
        <v>67</v>
      </c>
      <c r="AF72" s="6">
        <v>55</v>
      </c>
      <c r="AG72" s="16">
        <v>122</v>
      </c>
      <c r="AH72" s="17">
        <v>5.583333333333333</v>
      </c>
      <c r="AI72" s="17">
        <v>4.583333333333333</v>
      </c>
      <c r="AJ72" s="17">
        <v>5.083333333333333</v>
      </c>
      <c r="AK72" s="18">
        <v>7.0198457420806562E-5</v>
      </c>
      <c r="AL72" s="19">
        <v>4.6989052070591439</v>
      </c>
      <c r="AM72" s="20">
        <v>0.92437479483130702</v>
      </c>
      <c r="AN72" s="21">
        <v>27148660</v>
      </c>
      <c r="AO72" s="22">
        <v>2.5094808851077528E-3</v>
      </c>
      <c r="AP72" s="22">
        <v>0.96104898523499749</v>
      </c>
      <c r="AQ72" s="22" t="s">
        <v>215</v>
      </c>
      <c r="AR72" s="22" t="s">
        <v>166</v>
      </c>
      <c r="AS72" s="22" t="s">
        <v>222</v>
      </c>
      <c r="AT72" s="23">
        <v>74</v>
      </c>
      <c r="AU72" s="24">
        <v>16.145454545454548</v>
      </c>
      <c r="AV72" s="24">
        <v>4</v>
      </c>
      <c r="AW72" s="24">
        <v>3</v>
      </c>
      <c r="AX72" s="1" t="s">
        <v>154</v>
      </c>
      <c r="AY72" s="25">
        <v>0.15277777777777776</v>
      </c>
      <c r="AZ72" s="23">
        <v>30</v>
      </c>
      <c r="BA72" s="26">
        <v>4.583333333333333</v>
      </c>
      <c r="BB72" s="27">
        <v>9.1666666666666661</v>
      </c>
    </row>
    <row r="73" spans="1:54" ht="12" x14ac:dyDescent="0.3">
      <c r="A73" s="12" t="s">
        <v>223</v>
      </c>
      <c r="B73" s="12">
        <v>209041</v>
      </c>
      <c r="C73" s="13" t="s">
        <v>106</v>
      </c>
      <c r="D73" s="13" t="s">
        <v>47</v>
      </c>
      <c r="E73" s="14">
        <v>22015</v>
      </c>
      <c r="F73" s="15" t="s">
        <v>45</v>
      </c>
      <c r="G73" s="6">
        <v>14</v>
      </c>
      <c r="H73" s="6">
        <v>0</v>
      </c>
      <c r="I73" s="6">
        <v>0</v>
      </c>
      <c r="J73" s="6">
        <v>0</v>
      </c>
      <c r="K73" s="6">
        <v>166</v>
      </c>
      <c r="L73" s="6">
        <v>178</v>
      </c>
      <c r="M73" s="6">
        <v>135</v>
      </c>
      <c r="N73" s="6">
        <v>0</v>
      </c>
      <c r="O73" s="6">
        <v>0</v>
      </c>
      <c r="P73" s="6">
        <v>33</v>
      </c>
      <c r="Q73" s="6">
        <v>37</v>
      </c>
      <c r="R73" s="6">
        <v>2</v>
      </c>
      <c r="S73" s="6">
        <v>0</v>
      </c>
      <c r="T73" s="6">
        <v>23</v>
      </c>
      <c r="U73" s="6">
        <v>0</v>
      </c>
      <c r="V73" s="6">
        <v>8</v>
      </c>
      <c r="W73" s="6">
        <v>5</v>
      </c>
      <c r="X73" s="6">
        <v>5</v>
      </c>
      <c r="Y73" s="6">
        <v>64</v>
      </c>
      <c r="Z73" s="6">
        <v>126</v>
      </c>
      <c r="AA73" s="6">
        <v>120</v>
      </c>
      <c r="AB73" s="6">
        <v>112</v>
      </c>
      <c r="AC73" s="6">
        <v>88</v>
      </c>
      <c r="AD73" s="6">
        <v>106</v>
      </c>
      <c r="AE73" s="6">
        <v>565</v>
      </c>
      <c r="AF73" s="6">
        <v>657</v>
      </c>
      <c r="AG73" s="16">
        <v>1222</v>
      </c>
      <c r="AH73" s="17">
        <v>47.083333333333336</v>
      </c>
      <c r="AI73" s="17">
        <v>54.75</v>
      </c>
      <c r="AJ73" s="17">
        <v>50.916666666666664</v>
      </c>
      <c r="AK73" s="18">
        <v>8.3855248228127113E-4</v>
      </c>
      <c r="AL73" s="19">
        <v>60.591947137973833</v>
      </c>
      <c r="AM73" s="20">
        <v>1.1900218750502227</v>
      </c>
      <c r="AN73" s="21">
        <v>26902330</v>
      </c>
      <c r="AO73" s="22">
        <v>2.4867114214793973E-3</v>
      </c>
      <c r="AP73" s="22">
        <v>0.96353569665647687</v>
      </c>
      <c r="AQ73" s="22" t="s">
        <v>215</v>
      </c>
      <c r="AR73" s="22" t="s">
        <v>166</v>
      </c>
      <c r="AS73" s="22" t="s">
        <v>222</v>
      </c>
      <c r="AT73" s="23">
        <v>114</v>
      </c>
      <c r="AU73" s="24">
        <v>2.0821917808219177</v>
      </c>
      <c r="AV73" s="24">
        <v>160</v>
      </c>
      <c r="AW73" s="24">
        <v>80</v>
      </c>
      <c r="AX73" s="1" t="s">
        <v>154</v>
      </c>
      <c r="AY73" s="25">
        <v>1.825</v>
      </c>
      <c r="AZ73" s="23">
        <v>30</v>
      </c>
      <c r="BA73" s="26">
        <v>54.75</v>
      </c>
      <c r="BB73" s="27">
        <v>109.5</v>
      </c>
    </row>
    <row r="74" spans="1:54" ht="12" x14ac:dyDescent="0.3">
      <c r="A74" s="12" t="s">
        <v>228</v>
      </c>
      <c r="B74" s="12">
        <v>209037</v>
      </c>
      <c r="C74" s="13" t="s">
        <v>111</v>
      </c>
      <c r="D74" s="13" t="s">
        <v>47</v>
      </c>
      <c r="E74" s="14">
        <v>307290</v>
      </c>
      <c r="F74" s="15" t="s">
        <v>45</v>
      </c>
      <c r="G74" s="6">
        <v>0</v>
      </c>
      <c r="H74" s="6">
        <v>0</v>
      </c>
      <c r="I74" s="6">
        <v>0</v>
      </c>
      <c r="J74" s="6">
        <v>0</v>
      </c>
      <c r="K74" s="6">
        <v>9</v>
      </c>
      <c r="L74" s="6">
        <v>4</v>
      </c>
      <c r="M74" s="6">
        <v>11</v>
      </c>
      <c r="N74" s="6">
        <v>8</v>
      </c>
      <c r="O74" s="6">
        <v>4</v>
      </c>
      <c r="P74" s="6">
        <v>2</v>
      </c>
      <c r="Q74" s="6">
        <v>0</v>
      </c>
      <c r="R74" s="6">
        <v>2</v>
      </c>
      <c r="S74" s="6">
        <v>5</v>
      </c>
      <c r="T74" s="6">
        <v>4</v>
      </c>
      <c r="U74" s="6">
        <v>3</v>
      </c>
      <c r="V74" s="6">
        <v>2</v>
      </c>
      <c r="W74" s="6">
        <v>3</v>
      </c>
      <c r="X74" s="6">
        <v>0</v>
      </c>
      <c r="Y74" s="6">
        <v>1</v>
      </c>
      <c r="Z74" s="6">
        <v>3</v>
      </c>
      <c r="AA74" s="6">
        <v>2</v>
      </c>
      <c r="AB74" s="6">
        <v>7</v>
      </c>
      <c r="AC74" s="6">
        <v>5</v>
      </c>
      <c r="AD74" s="6">
        <v>4</v>
      </c>
      <c r="AE74" s="6">
        <v>40</v>
      </c>
      <c r="AF74" s="6">
        <v>39</v>
      </c>
      <c r="AG74" s="16">
        <v>79</v>
      </c>
      <c r="AH74" s="17">
        <v>3.3333333333333335</v>
      </c>
      <c r="AI74" s="17">
        <v>3.25</v>
      </c>
      <c r="AJ74" s="17">
        <v>3.2916666666666665</v>
      </c>
      <c r="AK74" s="18">
        <v>4.9777087989299204E-5</v>
      </c>
      <c r="AL74" s="19">
        <v>3.0428700220374996</v>
      </c>
      <c r="AM74" s="20">
        <v>0.92441620922658219</v>
      </c>
      <c r="AN74" s="21">
        <v>24275910</v>
      </c>
      <c r="AO74" s="22">
        <v>2.2439388210540095E-3</v>
      </c>
      <c r="AP74" s="22">
        <v>0.97542531278736977</v>
      </c>
      <c r="AQ74" s="22" t="s">
        <v>215</v>
      </c>
      <c r="AR74" s="22" t="s">
        <v>166</v>
      </c>
      <c r="AS74" s="22" t="s">
        <v>222</v>
      </c>
      <c r="AT74" s="23">
        <v>3</v>
      </c>
      <c r="AU74" s="24">
        <v>0.92307692307692313</v>
      </c>
      <c r="AV74" s="24">
        <v>10</v>
      </c>
      <c r="AW74" s="24">
        <v>5</v>
      </c>
      <c r="AX74" s="1" t="s">
        <v>198</v>
      </c>
      <c r="AY74" s="25">
        <v>0.10833333333333334</v>
      </c>
      <c r="AZ74" s="23">
        <v>30</v>
      </c>
      <c r="BA74" s="26">
        <v>3.25</v>
      </c>
      <c r="BB74" s="27">
        <v>6.5</v>
      </c>
    </row>
    <row r="75" spans="1:54" ht="12" x14ac:dyDescent="0.3">
      <c r="A75" s="12" t="s">
        <v>229</v>
      </c>
      <c r="B75" s="12">
        <v>209072</v>
      </c>
      <c r="C75" s="13" t="s">
        <v>112</v>
      </c>
      <c r="D75" s="13" t="s">
        <v>47</v>
      </c>
      <c r="E75" s="14">
        <v>14816</v>
      </c>
      <c r="F75" s="15" t="s">
        <v>45</v>
      </c>
      <c r="G75" s="6">
        <v>59</v>
      </c>
      <c r="H75" s="6">
        <v>26</v>
      </c>
      <c r="I75" s="6">
        <v>30</v>
      </c>
      <c r="J75" s="6">
        <v>47</v>
      </c>
      <c r="K75" s="6">
        <v>148</v>
      </c>
      <c r="L75" s="6">
        <v>63</v>
      </c>
      <c r="M75" s="6">
        <v>20</v>
      </c>
      <c r="N75" s="6">
        <v>74</v>
      </c>
      <c r="O75" s="6">
        <v>87</v>
      </c>
      <c r="P75" s="6">
        <v>25</v>
      </c>
      <c r="Q75" s="6">
        <v>21</v>
      </c>
      <c r="R75" s="6">
        <v>57</v>
      </c>
      <c r="S75" s="6">
        <v>48</v>
      </c>
      <c r="T75" s="6">
        <v>87</v>
      </c>
      <c r="U75" s="6">
        <v>87</v>
      </c>
      <c r="V75" s="6">
        <v>77</v>
      </c>
      <c r="W75" s="6">
        <v>0</v>
      </c>
      <c r="X75" s="6">
        <v>0</v>
      </c>
      <c r="Y75" s="6">
        <v>62</v>
      </c>
      <c r="Z75" s="6">
        <v>108</v>
      </c>
      <c r="AA75" s="6">
        <v>97</v>
      </c>
      <c r="AB75" s="6">
        <v>140</v>
      </c>
      <c r="AC75" s="6">
        <v>122</v>
      </c>
      <c r="AD75" s="6">
        <v>12</v>
      </c>
      <c r="AE75" s="6">
        <v>657</v>
      </c>
      <c r="AF75" s="6">
        <v>840</v>
      </c>
      <c r="AG75" s="16">
        <v>1497</v>
      </c>
      <c r="AH75" s="17">
        <v>54.75</v>
      </c>
      <c r="AI75" s="17">
        <v>70</v>
      </c>
      <c r="AJ75" s="17">
        <v>62.375</v>
      </c>
      <c r="AK75" s="18">
        <v>1.0721218951541367E-3</v>
      </c>
      <c r="AL75" s="19">
        <v>41.931426939914545</v>
      </c>
      <c r="AM75" s="20">
        <v>0.67224732569001278</v>
      </c>
      <c r="AN75" s="21">
        <v>22179552</v>
      </c>
      <c r="AO75" s="22">
        <v>2.0501623941753823E-3</v>
      </c>
      <c r="AP75" s="22">
        <v>0.97747547518154521</v>
      </c>
      <c r="AQ75" s="22" t="s">
        <v>215</v>
      </c>
      <c r="AR75" s="22" t="s">
        <v>166</v>
      </c>
      <c r="AS75" s="22" t="s">
        <v>222</v>
      </c>
      <c r="AT75" s="23">
        <v>14</v>
      </c>
      <c r="AU75" s="24">
        <v>0.2</v>
      </c>
      <c r="AV75" s="24">
        <v>40</v>
      </c>
      <c r="AW75" s="24">
        <v>20</v>
      </c>
      <c r="AX75" s="1" t="s">
        <v>198</v>
      </c>
      <c r="AY75" s="25">
        <v>2.3333333333333335</v>
      </c>
      <c r="AZ75" s="23">
        <v>30</v>
      </c>
      <c r="BA75" s="26">
        <v>70</v>
      </c>
      <c r="BB75" s="27">
        <v>140</v>
      </c>
    </row>
    <row r="76" spans="1:54" ht="12" x14ac:dyDescent="0.3">
      <c r="A76" s="12" t="s">
        <v>230</v>
      </c>
      <c r="B76" s="12">
        <v>209163</v>
      </c>
      <c r="C76" s="13" t="s">
        <v>113</v>
      </c>
      <c r="D76" s="13" t="s">
        <v>64</v>
      </c>
      <c r="E76" s="14">
        <v>56525</v>
      </c>
      <c r="F76" s="15" t="s">
        <v>45</v>
      </c>
      <c r="G76" s="6">
        <v>5</v>
      </c>
      <c r="H76" s="6">
        <v>10</v>
      </c>
      <c r="I76" s="6">
        <v>15</v>
      </c>
      <c r="J76" s="6">
        <v>5</v>
      </c>
      <c r="K76" s="6">
        <v>20</v>
      </c>
      <c r="L76" s="6">
        <v>25</v>
      </c>
      <c r="M76" s="6">
        <v>15</v>
      </c>
      <c r="N76" s="6">
        <v>15</v>
      </c>
      <c r="O76" s="6">
        <v>25</v>
      </c>
      <c r="P76" s="6">
        <v>20</v>
      </c>
      <c r="Q76" s="6">
        <v>5</v>
      </c>
      <c r="R76" s="6">
        <v>30</v>
      </c>
      <c r="S76" s="6">
        <v>10</v>
      </c>
      <c r="T76" s="6">
        <v>20</v>
      </c>
      <c r="U76" s="6">
        <v>15</v>
      </c>
      <c r="V76" s="6">
        <v>10</v>
      </c>
      <c r="W76" s="6">
        <v>5</v>
      </c>
      <c r="X76" s="6">
        <v>5</v>
      </c>
      <c r="Y76" s="6">
        <v>5</v>
      </c>
      <c r="Z76" s="6">
        <v>10</v>
      </c>
      <c r="AA76" s="6">
        <v>5</v>
      </c>
      <c r="AB76" s="6">
        <v>15</v>
      </c>
      <c r="AC76" s="6">
        <v>5</v>
      </c>
      <c r="AD76" s="6">
        <v>5</v>
      </c>
      <c r="AE76" s="6">
        <v>190</v>
      </c>
      <c r="AF76" s="6">
        <v>110</v>
      </c>
      <c r="AG76" s="16">
        <v>300</v>
      </c>
      <c r="AH76" s="17">
        <v>15.833333333333334</v>
      </c>
      <c r="AI76" s="17">
        <v>9.1666666666666661</v>
      </c>
      <c r="AJ76" s="17">
        <v>12.5</v>
      </c>
      <c r="AK76" s="18">
        <v>1.4039691484161312E-4</v>
      </c>
      <c r="AL76" s="19">
        <v>7.6613087768287373</v>
      </c>
      <c r="AM76" s="20">
        <v>0.612904702146299</v>
      </c>
      <c r="AN76" s="21">
        <v>16957500</v>
      </c>
      <c r="AO76" s="22">
        <v>1.56746307586506E-3</v>
      </c>
      <c r="AP76" s="22">
        <v>0.97904293825741029</v>
      </c>
      <c r="AQ76" s="22" t="s">
        <v>215</v>
      </c>
      <c r="AR76" s="22" t="s">
        <v>166</v>
      </c>
      <c r="AS76" s="22" t="s">
        <v>222</v>
      </c>
      <c r="AT76" s="23">
        <v>80</v>
      </c>
      <c r="AU76" s="24">
        <v>8.7272727272727284</v>
      </c>
      <c r="AV76" s="24">
        <v>10</v>
      </c>
      <c r="AW76" s="24">
        <v>5</v>
      </c>
      <c r="AX76" s="1" t="s">
        <v>154</v>
      </c>
      <c r="AY76" s="25">
        <v>0.30555555555555552</v>
      </c>
      <c r="AZ76" s="23">
        <v>30</v>
      </c>
      <c r="BA76" s="26">
        <v>9.1666666666666661</v>
      </c>
      <c r="BB76" s="27">
        <v>18.333333333333332</v>
      </c>
    </row>
    <row r="77" spans="1:54" ht="12" x14ac:dyDescent="0.3">
      <c r="A77" s="12" t="s">
        <v>232</v>
      </c>
      <c r="B77" s="12">
        <v>353005</v>
      </c>
      <c r="C77" s="13" t="s">
        <v>115</v>
      </c>
      <c r="D77" s="13" t="s">
        <v>116</v>
      </c>
      <c r="E77" s="14">
        <v>4522</v>
      </c>
      <c r="F77" s="15" t="s">
        <v>45</v>
      </c>
      <c r="G77" s="6">
        <v>78</v>
      </c>
      <c r="H77" s="6">
        <v>278</v>
      </c>
      <c r="I77" s="6">
        <v>289</v>
      </c>
      <c r="J77" s="6">
        <v>238</v>
      </c>
      <c r="K77" s="6">
        <v>251</v>
      </c>
      <c r="L77" s="6">
        <v>139</v>
      </c>
      <c r="M77" s="6">
        <v>88</v>
      </c>
      <c r="N77" s="6">
        <v>181</v>
      </c>
      <c r="O77" s="6">
        <v>147</v>
      </c>
      <c r="P77" s="6">
        <v>92</v>
      </c>
      <c r="Q77" s="6">
        <v>205</v>
      </c>
      <c r="R77" s="6">
        <v>167</v>
      </c>
      <c r="S77" s="6">
        <v>139</v>
      </c>
      <c r="T77" s="6">
        <v>106</v>
      </c>
      <c r="U77" s="6">
        <v>34</v>
      </c>
      <c r="V77" s="6">
        <v>4</v>
      </c>
      <c r="W77" s="6">
        <v>30</v>
      </c>
      <c r="X77" s="6">
        <v>103</v>
      </c>
      <c r="Y77" s="6">
        <v>156</v>
      </c>
      <c r="Z77" s="6">
        <v>101</v>
      </c>
      <c r="AA77" s="6">
        <v>102</v>
      </c>
      <c r="AB77" s="6">
        <v>168</v>
      </c>
      <c r="AC77" s="6">
        <v>135</v>
      </c>
      <c r="AD77" s="6">
        <v>225</v>
      </c>
      <c r="AE77" s="6">
        <v>2153</v>
      </c>
      <c r="AF77" s="6">
        <v>1303</v>
      </c>
      <c r="AG77" s="16">
        <v>3456</v>
      </c>
      <c r="AH77" s="17">
        <v>179.41666666666666</v>
      </c>
      <c r="AI77" s="17">
        <v>108.58333333333333</v>
      </c>
      <c r="AJ77" s="17">
        <v>144</v>
      </c>
      <c r="AK77" s="18">
        <v>1.6630652730783811E-3</v>
      </c>
      <c r="AL77" s="19">
        <v>76.310578217086572</v>
      </c>
      <c r="AM77" s="20">
        <v>0.52993457095199004</v>
      </c>
      <c r="AN77" s="21">
        <v>15628032</v>
      </c>
      <c r="AO77" s="22">
        <v>1.4445739707172392E-3</v>
      </c>
      <c r="AP77" s="22">
        <v>0.9820363378606749</v>
      </c>
      <c r="AQ77" s="22" t="s">
        <v>215</v>
      </c>
      <c r="AR77" s="22" t="s">
        <v>166</v>
      </c>
      <c r="AS77" s="22" t="s">
        <v>222</v>
      </c>
      <c r="AT77" s="23">
        <v>763</v>
      </c>
      <c r="AU77" s="24">
        <v>7.0268610897927859</v>
      </c>
      <c r="AV77" s="24">
        <v>90</v>
      </c>
      <c r="AW77" s="24">
        <v>0</v>
      </c>
      <c r="AX77" s="1" t="s">
        <v>154</v>
      </c>
      <c r="AY77" s="25">
        <v>3.6194444444444445</v>
      </c>
      <c r="AZ77" s="23">
        <v>30</v>
      </c>
      <c r="BA77" s="26">
        <v>108.58333333333333</v>
      </c>
      <c r="BB77" s="27">
        <v>217.16666666666666</v>
      </c>
    </row>
    <row r="78" spans="1:54" ht="12" x14ac:dyDescent="0.3">
      <c r="A78" s="12" t="s">
        <v>235</v>
      </c>
      <c r="B78" s="12">
        <v>201039</v>
      </c>
      <c r="C78" s="13" t="s">
        <v>119</v>
      </c>
      <c r="D78" s="13" t="s">
        <v>47</v>
      </c>
      <c r="E78" s="14">
        <v>530588</v>
      </c>
      <c r="F78" s="15" t="s">
        <v>45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20</v>
      </c>
      <c r="Z78" s="6">
        <v>0</v>
      </c>
      <c r="AA78" s="6">
        <v>0</v>
      </c>
      <c r="AB78" s="6">
        <v>5</v>
      </c>
      <c r="AC78" s="6">
        <v>0</v>
      </c>
      <c r="AD78" s="6">
        <v>0</v>
      </c>
      <c r="AE78" s="6">
        <v>0</v>
      </c>
      <c r="AF78" s="6">
        <v>25</v>
      </c>
      <c r="AG78" s="16">
        <v>25</v>
      </c>
      <c r="AH78" s="17">
        <v>0</v>
      </c>
      <c r="AI78" s="17">
        <v>2.0833333333333335</v>
      </c>
      <c r="AJ78" s="17">
        <v>1.0416666666666667</v>
      </c>
      <c r="AK78" s="18">
        <v>3.1908389736730261E-5</v>
      </c>
      <c r="AL78" s="19">
        <v>4.1648546784676199</v>
      </c>
      <c r="AM78" s="20">
        <v>3.998260491328915</v>
      </c>
      <c r="AN78" s="21">
        <v>13264700</v>
      </c>
      <c r="AO78" s="22">
        <v>1.2261198562540034E-3</v>
      </c>
      <c r="AP78" s="22">
        <v>0.98589789432402097</v>
      </c>
      <c r="AQ78" s="22" t="s">
        <v>215</v>
      </c>
      <c r="AR78" s="22" t="s">
        <v>166</v>
      </c>
      <c r="AS78" s="22" t="s">
        <v>222</v>
      </c>
      <c r="AT78" s="23">
        <v>0</v>
      </c>
      <c r="AU78" s="24">
        <v>0</v>
      </c>
      <c r="AV78" s="24">
        <v>0</v>
      </c>
      <c r="AW78" s="24">
        <v>0</v>
      </c>
      <c r="AX78" s="1" t="s">
        <v>198</v>
      </c>
      <c r="AY78" s="25">
        <v>6.9444444444444448E-2</v>
      </c>
      <c r="AZ78" s="23">
        <v>30</v>
      </c>
      <c r="BA78" s="26">
        <v>2.0833333333333335</v>
      </c>
      <c r="BB78" s="27">
        <v>4.166666666666667</v>
      </c>
    </row>
    <row r="79" spans="1:54" ht="12" x14ac:dyDescent="0.3">
      <c r="A79" s="12" t="s">
        <v>237</v>
      </c>
      <c r="B79" s="12">
        <v>209067</v>
      </c>
      <c r="C79" s="13" t="s">
        <v>121</v>
      </c>
      <c r="D79" s="13" t="s">
        <v>64</v>
      </c>
      <c r="E79" s="14">
        <v>11287</v>
      </c>
      <c r="F79" s="15" t="s">
        <v>45</v>
      </c>
      <c r="G79" s="6">
        <v>40</v>
      </c>
      <c r="H79" s="6">
        <v>40</v>
      </c>
      <c r="I79" s="6">
        <v>70</v>
      </c>
      <c r="J79" s="6">
        <v>130</v>
      </c>
      <c r="K79" s="6">
        <v>0</v>
      </c>
      <c r="L79" s="6">
        <v>0</v>
      </c>
      <c r="M79" s="6">
        <v>0</v>
      </c>
      <c r="N79" s="6">
        <v>45</v>
      </c>
      <c r="O79" s="6">
        <v>50</v>
      </c>
      <c r="P79" s="6">
        <v>45</v>
      </c>
      <c r="Q79" s="6">
        <v>60</v>
      </c>
      <c r="R79" s="6">
        <v>25</v>
      </c>
      <c r="S79" s="6">
        <v>80</v>
      </c>
      <c r="T79" s="6">
        <v>85</v>
      </c>
      <c r="U79" s="6">
        <v>50</v>
      </c>
      <c r="V79" s="6">
        <v>40</v>
      </c>
      <c r="W79" s="6">
        <v>30</v>
      </c>
      <c r="X79" s="6">
        <v>25</v>
      </c>
      <c r="Y79" s="6">
        <v>60</v>
      </c>
      <c r="Z79" s="6">
        <v>50</v>
      </c>
      <c r="AA79" s="6">
        <v>30</v>
      </c>
      <c r="AB79" s="6">
        <v>45</v>
      </c>
      <c r="AC79" s="6">
        <v>65</v>
      </c>
      <c r="AD79" s="6">
        <v>50</v>
      </c>
      <c r="AE79" s="6">
        <v>505</v>
      </c>
      <c r="AF79" s="6">
        <v>610</v>
      </c>
      <c r="AG79" s="16">
        <v>1115</v>
      </c>
      <c r="AH79" s="17">
        <v>42.083333333333336</v>
      </c>
      <c r="AI79" s="17">
        <v>50.833333333333336</v>
      </c>
      <c r="AJ79" s="17">
        <v>46.458333333333336</v>
      </c>
      <c r="AK79" s="18">
        <v>7.7856470957621835E-4</v>
      </c>
      <c r="AL79" s="19">
        <v>28.722024826688799</v>
      </c>
      <c r="AM79" s="20">
        <v>0.61823192452065567</v>
      </c>
      <c r="AN79" s="21">
        <v>12585005</v>
      </c>
      <c r="AO79" s="22">
        <v>1.163292386677114E-3</v>
      </c>
      <c r="AP79" s="22">
        <v>0.98822640590072575</v>
      </c>
      <c r="AQ79" s="22" t="s">
        <v>215</v>
      </c>
      <c r="AR79" s="22" t="s">
        <v>166</v>
      </c>
      <c r="AS79" s="22" t="s">
        <v>222</v>
      </c>
      <c r="AT79" s="23">
        <v>405</v>
      </c>
      <c r="AU79" s="24">
        <v>7.9672131147540979</v>
      </c>
      <c r="AV79" s="24">
        <v>70</v>
      </c>
      <c r="AW79" s="24">
        <v>35</v>
      </c>
      <c r="AX79" s="1" t="s">
        <v>154</v>
      </c>
      <c r="AY79" s="25">
        <v>1.6944444444444444</v>
      </c>
      <c r="AZ79" s="23">
        <v>30</v>
      </c>
      <c r="BA79" s="26">
        <v>50.833333333333336</v>
      </c>
      <c r="BB79" s="27">
        <v>101.66666666666667</v>
      </c>
    </row>
    <row r="80" spans="1:54" ht="12" x14ac:dyDescent="0.3">
      <c r="A80" s="12" t="s">
        <v>239</v>
      </c>
      <c r="B80" s="12">
        <v>209064</v>
      </c>
      <c r="C80" s="13" t="s">
        <v>123</v>
      </c>
      <c r="D80" s="13" t="s">
        <v>47</v>
      </c>
      <c r="E80" s="14">
        <v>11624</v>
      </c>
      <c r="F80" s="15" t="s">
        <v>45</v>
      </c>
      <c r="G80" s="6">
        <v>25</v>
      </c>
      <c r="H80" s="6">
        <v>35</v>
      </c>
      <c r="I80" s="6">
        <v>36</v>
      </c>
      <c r="J80" s="6">
        <v>55</v>
      </c>
      <c r="K80" s="6">
        <v>106</v>
      </c>
      <c r="L80" s="6">
        <v>57</v>
      </c>
      <c r="M80" s="6">
        <v>68</v>
      </c>
      <c r="N80" s="6">
        <v>89</v>
      </c>
      <c r="O80" s="6">
        <v>66</v>
      </c>
      <c r="P80" s="6">
        <v>39</v>
      </c>
      <c r="Q80" s="6">
        <v>14</v>
      </c>
      <c r="R80" s="6">
        <v>21</v>
      </c>
      <c r="S80" s="6">
        <v>25</v>
      </c>
      <c r="T80" s="6">
        <v>50</v>
      </c>
      <c r="U80" s="6">
        <v>34</v>
      </c>
      <c r="V80" s="6">
        <v>42</v>
      </c>
      <c r="W80" s="6">
        <v>33</v>
      </c>
      <c r="X80" s="6">
        <v>22</v>
      </c>
      <c r="Y80" s="6">
        <v>38</v>
      </c>
      <c r="Z80" s="6">
        <v>12</v>
      </c>
      <c r="AA80" s="6">
        <v>36</v>
      </c>
      <c r="AB80" s="6">
        <v>48</v>
      </c>
      <c r="AC80" s="6">
        <v>55</v>
      </c>
      <c r="AD80" s="6">
        <v>59</v>
      </c>
      <c r="AE80" s="6">
        <v>611</v>
      </c>
      <c r="AF80" s="6">
        <v>454</v>
      </c>
      <c r="AG80" s="16">
        <v>1065</v>
      </c>
      <c r="AH80" s="17">
        <v>50.916666666666664</v>
      </c>
      <c r="AI80" s="17">
        <v>37.833333333333336</v>
      </c>
      <c r="AJ80" s="17">
        <v>44.375</v>
      </c>
      <c r="AK80" s="18">
        <v>5.7945635761902153E-4</v>
      </c>
      <c r="AL80" s="19">
        <v>22.619369344993185</v>
      </c>
      <c r="AM80" s="20">
        <v>0.50973226692942386</v>
      </c>
      <c r="AN80" s="21">
        <v>12379560</v>
      </c>
      <c r="AO80" s="22">
        <v>1.1443021197379366E-3</v>
      </c>
      <c r="AP80" s="22">
        <v>0.99053269864788984</v>
      </c>
      <c r="AQ80" s="22" t="s">
        <v>215</v>
      </c>
      <c r="AR80" s="22" t="s">
        <v>166</v>
      </c>
      <c r="AS80" s="22" t="s">
        <v>222</v>
      </c>
      <c r="AT80" s="23">
        <v>240</v>
      </c>
      <c r="AU80" s="24">
        <v>6.3436123348017617</v>
      </c>
      <c r="AV80" s="24">
        <v>100</v>
      </c>
      <c r="AW80" s="24">
        <v>60</v>
      </c>
      <c r="AX80" s="1" t="s">
        <v>154</v>
      </c>
      <c r="AY80" s="25">
        <v>1.2611111111111113</v>
      </c>
      <c r="AZ80" s="23">
        <v>30</v>
      </c>
      <c r="BA80" s="26">
        <v>37.833333333333336</v>
      </c>
      <c r="BB80" s="27">
        <v>75.666666666666671</v>
      </c>
    </row>
    <row r="81" spans="1:54" ht="12" x14ac:dyDescent="0.3">
      <c r="A81" s="12" t="s">
        <v>242</v>
      </c>
      <c r="B81" s="12">
        <v>102047</v>
      </c>
      <c r="C81" s="13" t="s">
        <v>126</v>
      </c>
      <c r="D81" s="13" t="s">
        <v>53</v>
      </c>
      <c r="E81" s="14">
        <v>8204</v>
      </c>
      <c r="F81" s="15" t="s">
        <v>45</v>
      </c>
      <c r="G81" s="6">
        <v>60</v>
      </c>
      <c r="H81" s="6">
        <v>0</v>
      </c>
      <c r="I81" s="6">
        <v>60</v>
      </c>
      <c r="J81" s="6">
        <v>30</v>
      </c>
      <c r="K81" s="6">
        <v>30</v>
      </c>
      <c r="L81" s="6">
        <v>90</v>
      </c>
      <c r="M81" s="6">
        <v>150</v>
      </c>
      <c r="N81" s="6">
        <v>120</v>
      </c>
      <c r="O81" s="6">
        <v>120</v>
      </c>
      <c r="P81" s="6">
        <v>240</v>
      </c>
      <c r="Q81" s="6">
        <v>0</v>
      </c>
      <c r="R81" s="6">
        <v>30</v>
      </c>
      <c r="S81" s="6">
        <v>0</v>
      </c>
      <c r="T81" s="6">
        <v>300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930</v>
      </c>
      <c r="AF81" s="6">
        <v>300</v>
      </c>
      <c r="AG81" s="16">
        <v>1230</v>
      </c>
      <c r="AH81" s="17">
        <v>77.5</v>
      </c>
      <c r="AI81" s="17">
        <v>25</v>
      </c>
      <c r="AJ81" s="17">
        <v>51.25</v>
      </c>
      <c r="AK81" s="18">
        <v>3.8290067684076311E-4</v>
      </c>
      <c r="AL81" s="19">
        <v>81.790426781155006</v>
      </c>
      <c r="AM81" s="20">
        <v>1.595910766461561</v>
      </c>
      <c r="AN81" s="21">
        <v>10090920</v>
      </c>
      <c r="AO81" s="22">
        <v>9.3275214515749672E-4</v>
      </c>
      <c r="AP81" s="22">
        <v>0.99354739985020102</v>
      </c>
      <c r="AQ81" s="22" t="s">
        <v>215</v>
      </c>
      <c r="AR81" s="22" t="s">
        <v>166</v>
      </c>
      <c r="AS81" s="22" t="s">
        <v>222</v>
      </c>
      <c r="AT81" s="23">
        <v>270</v>
      </c>
      <c r="AU81" s="24">
        <v>10.8</v>
      </c>
      <c r="AV81" s="24">
        <v>60</v>
      </c>
      <c r="AW81" s="24">
        <v>30</v>
      </c>
      <c r="AX81" s="1" t="s">
        <v>154</v>
      </c>
      <c r="AY81" s="25">
        <v>0.83333333333333337</v>
      </c>
      <c r="AZ81" s="23">
        <v>30</v>
      </c>
      <c r="BA81" s="26">
        <v>25</v>
      </c>
      <c r="BB81" s="27">
        <v>50</v>
      </c>
    </row>
    <row r="82" spans="1:54" ht="12" x14ac:dyDescent="0.3">
      <c r="A82" s="12" t="s">
        <v>243</v>
      </c>
      <c r="B82" s="12">
        <v>209135</v>
      </c>
      <c r="C82" s="13" t="s">
        <v>127</v>
      </c>
      <c r="D82" s="13" t="s">
        <v>64</v>
      </c>
      <c r="E82" s="14">
        <v>59500</v>
      </c>
      <c r="F82" s="15" t="s">
        <v>45</v>
      </c>
      <c r="G82" s="6">
        <v>35</v>
      </c>
      <c r="H82" s="6">
        <v>20</v>
      </c>
      <c r="I82" s="6">
        <v>15</v>
      </c>
      <c r="J82" s="6">
        <v>25</v>
      </c>
      <c r="K82" s="6">
        <v>20</v>
      </c>
      <c r="L82" s="6">
        <v>10</v>
      </c>
      <c r="M82" s="6">
        <v>10</v>
      </c>
      <c r="N82" s="6">
        <v>5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140</v>
      </c>
      <c r="AF82" s="6">
        <v>0</v>
      </c>
      <c r="AG82" s="16">
        <v>140</v>
      </c>
      <c r="AH82" s="17">
        <v>11.666666666666666</v>
      </c>
      <c r="AI82" s="17">
        <v>0</v>
      </c>
      <c r="AJ82" s="17">
        <v>5.833333333333333</v>
      </c>
      <c r="AK82" s="18">
        <v>0</v>
      </c>
      <c r="AL82" s="19">
        <v>9.9637022395714236</v>
      </c>
      <c r="AM82" s="20">
        <v>1.708063241069387</v>
      </c>
      <c r="AN82" s="21">
        <v>8330000</v>
      </c>
      <c r="AO82" s="22">
        <v>7.699818618284505E-4</v>
      </c>
      <c r="AP82" s="22">
        <v>0.99431738171202944</v>
      </c>
      <c r="AQ82" s="22" t="s">
        <v>215</v>
      </c>
      <c r="AR82" s="22" t="s">
        <v>166</v>
      </c>
      <c r="AS82" s="22" t="s">
        <v>222</v>
      </c>
      <c r="AT82" s="23">
        <v>0</v>
      </c>
      <c r="AU82" s="24">
        <v>0</v>
      </c>
      <c r="AV82" s="24">
        <v>0</v>
      </c>
      <c r="AW82" s="24">
        <v>0</v>
      </c>
      <c r="AX82" s="1" t="s">
        <v>198</v>
      </c>
      <c r="AY82" s="25">
        <v>0</v>
      </c>
      <c r="AZ82" s="23">
        <v>30</v>
      </c>
      <c r="BA82" s="26">
        <v>0</v>
      </c>
      <c r="BB82" s="27">
        <v>0</v>
      </c>
    </row>
    <row r="83" spans="1:54" ht="12" x14ac:dyDescent="0.3">
      <c r="A83" s="12" t="s">
        <v>244</v>
      </c>
      <c r="B83" s="12">
        <v>101017</v>
      </c>
      <c r="C83" s="13" t="s">
        <v>128</v>
      </c>
      <c r="D83" s="13" t="s">
        <v>53</v>
      </c>
      <c r="E83" s="14">
        <v>1663</v>
      </c>
      <c r="F83" s="15" t="s">
        <v>45</v>
      </c>
      <c r="G83" s="6">
        <v>0</v>
      </c>
      <c r="H83" s="6">
        <v>390</v>
      </c>
      <c r="I83" s="6">
        <v>300</v>
      </c>
      <c r="J83" s="6">
        <v>0</v>
      </c>
      <c r="K83" s="6">
        <v>180</v>
      </c>
      <c r="L83" s="6">
        <v>180</v>
      </c>
      <c r="M83" s="6">
        <v>180</v>
      </c>
      <c r="N83" s="6">
        <v>180</v>
      </c>
      <c r="O83" s="6">
        <v>120</v>
      </c>
      <c r="P83" s="6">
        <v>180</v>
      </c>
      <c r="Q83" s="6">
        <v>180</v>
      </c>
      <c r="R83" s="6">
        <v>120</v>
      </c>
      <c r="S83" s="6">
        <v>180</v>
      </c>
      <c r="T83" s="6">
        <v>0</v>
      </c>
      <c r="U83" s="6">
        <v>60</v>
      </c>
      <c r="V83" s="6">
        <v>180</v>
      </c>
      <c r="W83" s="6">
        <v>270</v>
      </c>
      <c r="X83" s="6">
        <v>270</v>
      </c>
      <c r="Y83" s="6">
        <v>300</v>
      </c>
      <c r="Z83" s="6">
        <v>330</v>
      </c>
      <c r="AA83" s="6">
        <v>330</v>
      </c>
      <c r="AB83" s="6">
        <v>240</v>
      </c>
      <c r="AC83" s="6">
        <v>180</v>
      </c>
      <c r="AD83" s="6">
        <v>240</v>
      </c>
      <c r="AE83" s="6">
        <v>2010</v>
      </c>
      <c r="AF83" s="6">
        <v>2580</v>
      </c>
      <c r="AG83" s="16">
        <v>4590</v>
      </c>
      <c r="AH83" s="17">
        <v>167.5</v>
      </c>
      <c r="AI83" s="17">
        <v>215</v>
      </c>
      <c r="AJ83" s="17">
        <v>191.25</v>
      </c>
      <c r="AK83" s="18">
        <v>3.2929458208305626E-3</v>
      </c>
      <c r="AL83" s="19">
        <v>105.7195839699656</v>
      </c>
      <c r="AM83" s="20">
        <v>0.55278213840504886</v>
      </c>
      <c r="AN83" s="21">
        <v>7633170</v>
      </c>
      <c r="AO83" s="22">
        <v>7.0557052199916848E-4</v>
      </c>
      <c r="AP83" s="22">
        <v>0.99502295223402859</v>
      </c>
      <c r="AQ83" s="22" t="s">
        <v>215</v>
      </c>
      <c r="AR83" s="22" t="s">
        <v>166</v>
      </c>
      <c r="AS83" s="22" t="s">
        <v>222</v>
      </c>
      <c r="AT83" s="23">
        <v>660</v>
      </c>
      <c r="AU83" s="24">
        <v>3.0697674418604652</v>
      </c>
      <c r="AV83" s="24">
        <v>350</v>
      </c>
      <c r="AW83" s="24">
        <v>240</v>
      </c>
      <c r="AX83" s="1" t="s">
        <v>154</v>
      </c>
      <c r="AY83" s="25">
        <v>7.166666666666667</v>
      </c>
      <c r="AZ83" s="23">
        <v>30</v>
      </c>
      <c r="BA83" s="26">
        <v>215</v>
      </c>
      <c r="BB83" s="27">
        <v>430</v>
      </c>
    </row>
    <row r="84" spans="1:54" ht="12" x14ac:dyDescent="0.3">
      <c r="A84" s="12" t="s">
        <v>246</v>
      </c>
      <c r="B84" s="12">
        <v>209046</v>
      </c>
      <c r="C84" s="13" t="s">
        <v>130</v>
      </c>
      <c r="D84" s="13" t="s">
        <v>47</v>
      </c>
      <c r="E84" s="14">
        <v>26900</v>
      </c>
      <c r="F84" s="15" t="s">
        <v>45</v>
      </c>
      <c r="G84" s="6">
        <v>9</v>
      </c>
      <c r="H84" s="6">
        <v>12</v>
      </c>
      <c r="I84" s="6">
        <v>12</v>
      </c>
      <c r="J84" s="6">
        <v>11</v>
      </c>
      <c r="K84" s="6">
        <v>22</v>
      </c>
      <c r="L84" s="6">
        <v>15</v>
      </c>
      <c r="M84" s="6">
        <v>13</v>
      </c>
      <c r="N84" s="6">
        <v>16</v>
      </c>
      <c r="O84" s="6">
        <v>9</v>
      </c>
      <c r="P84" s="6">
        <v>5</v>
      </c>
      <c r="Q84" s="6">
        <v>3</v>
      </c>
      <c r="R84" s="6">
        <v>4</v>
      </c>
      <c r="S84" s="6">
        <v>3</v>
      </c>
      <c r="T84" s="6">
        <v>16</v>
      </c>
      <c r="U84" s="6">
        <v>10</v>
      </c>
      <c r="V84" s="6">
        <v>8</v>
      </c>
      <c r="W84" s="6">
        <v>6</v>
      </c>
      <c r="X84" s="6">
        <v>4</v>
      </c>
      <c r="Y84" s="6">
        <v>5</v>
      </c>
      <c r="Z84" s="6">
        <v>7</v>
      </c>
      <c r="AA84" s="6">
        <v>13</v>
      </c>
      <c r="AB84" s="6">
        <v>15</v>
      </c>
      <c r="AC84" s="6">
        <v>22</v>
      </c>
      <c r="AD84" s="6">
        <v>22</v>
      </c>
      <c r="AE84" s="6">
        <v>131</v>
      </c>
      <c r="AF84" s="6">
        <v>131</v>
      </c>
      <c r="AG84" s="16">
        <v>262</v>
      </c>
      <c r="AH84" s="17">
        <v>10.916666666666666</v>
      </c>
      <c r="AI84" s="17">
        <v>10.916666666666666</v>
      </c>
      <c r="AJ84" s="17">
        <v>10.916666666666666</v>
      </c>
      <c r="AK84" s="18">
        <v>1.6719996222046656E-4</v>
      </c>
      <c r="AL84" s="19">
        <v>5.9411363769295322</v>
      </c>
      <c r="AM84" s="20">
        <v>0.54422623300117856</v>
      </c>
      <c r="AN84" s="21">
        <v>7047800</v>
      </c>
      <c r="AO84" s="22">
        <v>6.514619646812189E-4</v>
      </c>
      <c r="AP84" s="22">
        <v>0.99637373021258191</v>
      </c>
      <c r="AQ84" s="22" t="s">
        <v>215</v>
      </c>
      <c r="AR84" s="22" t="s">
        <v>166</v>
      </c>
      <c r="AS84" s="22" t="s">
        <v>222</v>
      </c>
      <c r="AT84" s="23">
        <v>123</v>
      </c>
      <c r="AU84" s="24">
        <v>11.267175572519085</v>
      </c>
      <c r="AV84" s="24">
        <v>40</v>
      </c>
      <c r="AW84" s="24">
        <v>25</v>
      </c>
      <c r="AX84" s="1" t="s">
        <v>154</v>
      </c>
      <c r="AY84" s="25">
        <v>0.36388888888888887</v>
      </c>
      <c r="AZ84" s="23">
        <v>30</v>
      </c>
      <c r="BA84" s="26">
        <v>10.916666666666666</v>
      </c>
      <c r="BB84" s="27">
        <v>21.833333333333332</v>
      </c>
    </row>
    <row r="85" spans="1:54" ht="12" x14ac:dyDescent="0.3">
      <c r="A85" s="12" t="s">
        <v>247</v>
      </c>
      <c r="B85" s="12">
        <v>201043</v>
      </c>
      <c r="C85" s="13" t="s">
        <v>131</v>
      </c>
      <c r="D85" s="13" t="s">
        <v>47</v>
      </c>
      <c r="E85" s="14">
        <v>1231650</v>
      </c>
      <c r="F85" s="15" t="s">
        <v>45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1</v>
      </c>
      <c r="AD85" s="6">
        <v>4</v>
      </c>
      <c r="AE85" s="6">
        <v>0</v>
      </c>
      <c r="AF85" s="6">
        <v>5</v>
      </c>
      <c r="AG85" s="16">
        <v>5</v>
      </c>
      <c r="AH85" s="17">
        <v>0</v>
      </c>
      <c r="AI85" s="17">
        <v>0.41666666666666669</v>
      </c>
      <c r="AJ85" s="17">
        <v>0.20833333333333334</v>
      </c>
      <c r="AK85" s="18">
        <v>6.3816779473460519E-6</v>
      </c>
      <c r="AL85" s="19">
        <v>0.83297093569352398</v>
      </c>
      <c r="AM85" s="20">
        <v>3.998260491328915</v>
      </c>
      <c r="AN85" s="21">
        <v>6158250</v>
      </c>
      <c r="AO85" s="22">
        <v>5.692365907088902E-4</v>
      </c>
      <c r="AP85" s="22">
        <v>0.99694296680329075</v>
      </c>
      <c r="AQ85" s="22" t="s">
        <v>215</v>
      </c>
      <c r="AR85" s="22" t="s">
        <v>166</v>
      </c>
      <c r="AS85" s="22" t="s">
        <v>222</v>
      </c>
      <c r="AT85" s="23">
        <v>16</v>
      </c>
      <c r="AU85" s="24">
        <v>38.4</v>
      </c>
      <c r="AV85" s="24">
        <v>6</v>
      </c>
      <c r="AW85" s="24">
        <v>3</v>
      </c>
      <c r="AX85" s="1" t="s">
        <v>154</v>
      </c>
      <c r="AY85" s="25">
        <v>1.388888888888889E-2</v>
      </c>
      <c r="AZ85" s="23">
        <v>30</v>
      </c>
      <c r="BA85" s="26">
        <v>0.41666666666666669</v>
      </c>
      <c r="BB85" s="27">
        <v>0.83333333333333337</v>
      </c>
    </row>
    <row r="86" spans="1:54" ht="12" x14ac:dyDescent="0.3">
      <c r="A86" s="12" t="s">
        <v>248</v>
      </c>
      <c r="B86" s="12">
        <v>209119</v>
      </c>
      <c r="C86" s="13" t="s">
        <v>132</v>
      </c>
      <c r="D86" s="13" t="s">
        <v>47</v>
      </c>
      <c r="E86" s="14">
        <v>17180</v>
      </c>
      <c r="F86" s="15" t="s">
        <v>45</v>
      </c>
      <c r="G86" s="6">
        <v>6</v>
      </c>
      <c r="H86" s="6">
        <v>7</v>
      </c>
      <c r="I86" s="6">
        <v>13</v>
      </c>
      <c r="J86" s="6">
        <v>16</v>
      </c>
      <c r="K86" s="6">
        <v>25</v>
      </c>
      <c r="L86" s="6">
        <v>3</v>
      </c>
      <c r="M86" s="6">
        <v>4</v>
      </c>
      <c r="N86" s="6">
        <v>28</v>
      </c>
      <c r="O86" s="6">
        <v>51</v>
      </c>
      <c r="P86" s="6">
        <v>39</v>
      </c>
      <c r="Q86" s="6">
        <v>9</v>
      </c>
      <c r="R86" s="6">
        <v>8</v>
      </c>
      <c r="S86" s="6">
        <v>4</v>
      </c>
      <c r="T86" s="6">
        <v>8</v>
      </c>
      <c r="U86" s="6">
        <v>18</v>
      </c>
      <c r="V86" s="6">
        <v>19</v>
      </c>
      <c r="W86" s="6">
        <v>13</v>
      </c>
      <c r="X86" s="6">
        <v>0</v>
      </c>
      <c r="Y86" s="6">
        <v>3</v>
      </c>
      <c r="Z86" s="6">
        <v>19</v>
      </c>
      <c r="AA86" s="6">
        <v>0</v>
      </c>
      <c r="AB86" s="6">
        <v>0</v>
      </c>
      <c r="AC86" s="6">
        <v>12</v>
      </c>
      <c r="AD86" s="6">
        <v>0</v>
      </c>
      <c r="AE86" s="6">
        <v>209</v>
      </c>
      <c r="AF86" s="6">
        <v>96</v>
      </c>
      <c r="AG86" s="16">
        <v>305</v>
      </c>
      <c r="AH86" s="17">
        <v>17.416666666666668</v>
      </c>
      <c r="AI86" s="17">
        <v>8</v>
      </c>
      <c r="AJ86" s="17">
        <v>12.708333333333334</v>
      </c>
      <c r="AK86" s="18">
        <v>1.225282165890442E-4</v>
      </c>
      <c r="AL86" s="19">
        <v>12.824837202684575</v>
      </c>
      <c r="AM86" s="20">
        <v>1.0091675175882944</v>
      </c>
      <c r="AN86" s="21">
        <v>5239900</v>
      </c>
      <c r="AO86" s="22">
        <v>4.8434909457321701E-4</v>
      </c>
      <c r="AP86" s="22">
        <v>0.99742731589786393</v>
      </c>
      <c r="AQ86" s="22" t="s">
        <v>215</v>
      </c>
      <c r="AR86" s="22" t="s">
        <v>166</v>
      </c>
      <c r="AS86" s="22" t="s">
        <v>222</v>
      </c>
      <c r="AT86" s="23">
        <v>112</v>
      </c>
      <c r="AU86" s="24">
        <v>14</v>
      </c>
      <c r="AV86" s="24">
        <v>30</v>
      </c>
      <c r="AW86" s="24">
        <v>15</v>
      </c>
      <c r="AX86" s="1" t="s">
        <v>154</v>
      </c>
      <c r="AY86" s="25">
        <v>0.26666666666666666</v>
      </c>
      <c r="AZ86" s="23">
        <v>30</v>
      </c>
      <c r="BA86" s="26">
        <v>8</v>
      </c>
      <c r="BB86" s="27">
        <v>16</v>
      </c>
    </row>
    <row r="87" spans="1:54" ht="12" x14ac:dyDescent="0.3">
      <c r="A87" s="12" t="s">
        <v>249</v>
      </c>
      <c r="B87" s="12">
        <v>209152</v>
      </c>
      <c r="C87" s="13" t="s">
        <v>133</v>
      </c>
      <c r="D87" s="13" t="s">
        <v>64</v>
      </c>
      <c r="E87" s="14">
        <v>7729</v>
      </c>
      <c r="F87" s="15" t="s">
        <v>45</v>
      </c>
      <c r="G87" s="6">
        <v>112</v>
      </c>
      <c r="H87" s="6">
        <v>28</v>
      </c>
      <c r="I87" s="6">
        <v>28</v>
      </c>
      <c r="J87" s="6">
        <v>56</v>
      </c>
      <c r="K87" s="6">
        <v>0</v>
      </c>
      <c r="L87" s="6">
        <v>0</v>
      </c>
      <c r="M87" s="6">
        <v>28</v>
      </c>
      <c r="N87" s="6">
        <v>56</v>
      </c>
      <c r="O87" s="6">
        <v>0</v>
      </c>
      <c r="P87" s="6">
        <v>0</v>
      </c>
      <c r="Q87" s="6">
        <v>0</v>
      </c>
      <c r="R87" s="6">
        <v>0</v>
      </c>
      <c r="S87" s="6">
        <v>28</v>
      </c>
      <c r="T87" s="6">
        <v>56</v>
      </c>
      <c r="U87" s="6">
        <v>28</v>
      </c>
      <c r="V87" s="6">
        <v>56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28</v>
      </c>
      <c r="AC87" s="6">
        <v>0</v>
      </c>
      <c r="AD87" s="6">
        <v>0</v>
      </c>
      <c r="AE87" s="6">
        <v>308</v>
      </c>
      <c r="AF87" s="6">
        <v>196</v>
      </c>
      <c r="AG87" s="16">
        <v>504</v>
      </c>
      <c r="AH87" s="17">
        <v>25.666666666666668</v>
      </c>
      <c r="AI87" s="17">
        <v>16.333333333333332</v>
      </c>
      <c r="AJ87" s="17">
        <v>21</v>
      </c>
      <c r="AK87" s="18">
        <v>2.5016177553596525E-4</v>
      </c>
      <c r="AL87" s="19">
        <v>28.898623406359839</v>
      </c>
      <c r="AM87" s="20">
        <v>1.3761249241123732</v>
      </c>
      <c r="AN87" s="21">
        <v>3895416</v>
      </c>
      <c r="AO87" s="22">
        <v>3.6007198850856369E-4</v>
      </c>
      <c r="AP87" s="22">
        <v>0.99778738788637245</v>
      </c>
      <c r="AQ87" s="22" t="s">
        <v>215</v>
      </c>
      <c r="AR87" s="22" t="s">
        <v>166</v>
      </c>
      <c r="AS87" s="22" t="s">
        <v>222</v>
      </c>
      <c r="AT87" s="23">
        <v>448</v>
      </c>
      <c r="AU87" s="24">
        <v>27.428571428571431</v>
      </c>
      <c r="AV87" s="24">
        <v>56</v>
      </c>
      <c r="AW87" s="24">
        <v>28</v>
      </c>
      <c r="AX87" s="1" t="s">
        <v>154</v>
      </c>
      <c r="AY87" s="25">
        <v>0.5444444444444444</v>
      </c>
      <c r="AZ87" s="23">
        <v>30</v>
      </c>
      <c r="BA87" s="26">
        <v>16.333333333333332</v>
      </c>
      <c r="BB87" s="27">
        <v>32.666666666666664</v>
      </c>
    </row>
    <row r="88" spans="1:54" ht="12" x14ac:dyDescent="0.3">
      <c r="A88" s="12" t="s">
        <v>250</v>
      </c>
      <c r="B88" s="12">
        <v>209085</v>
      </c>
      <c r="C88" s="13" t="s">
        <v>134</v>
      </c>
      <c r="D88" s="13" t="s">
        <v>53</v>
      </c>
      <c r="E88" s="14">
        <v>1187</v>
      </c>
      <c r="F88" s="15" t="s">
        <v>45</v>
      </c>
      <c r="G88" s="6">
        <v>100</v>
      </c>
      <c r="H88" s="6">
        <v>200</v>
      </c>
      <c r="I88" s="6">
        <v>75</v>
      </c>
      <c r="J88" s="6">
        <v>150</v>
      </c>
      <c r="K88" s="6">
        <v>250</v>
      </c>
      <c r="L88" s="6">
        <v>125</v>
      </c>
      <c r="M88" s="6">
        <v>450</v>
      </c>
      <c r="N88" s="6">
        <v>425</v>
      </c>
      <c r="O88" s="6">
        <v>100</v>
      </c>
      <c r="P88" s="6">
        <v>50</v>
      </c>
      <c r="Q88" s="6">
        <v>100</v>
      </c>
      <c r="R88" s="6">
        <v>50</v>
      </c>
      <c r="S88" s="6">
        <v>225</v>
      </c>
      <c r="T88" s="6">
        <v>75</v>
      </c>
      <c r="U88" s="6">
        <v>50</v>
      </c>
      <c r="V88" s="6">
        <v>50</v>
      </c>
      <c r="W88" s="6">
        <v>175</v>
      </c>
      <c r="X88" s="6">
        <v>175</v>
      </c>
      <c r="Y88" s="6">
        <v>125</v>
      </c>
      <c r="Z88" s="6">
        <v>125</v>
      </c>
      <c r="AA88" s="6">
        <v>50</v>
      </c>
      <c r="AB88" s="6">
        <v>25</v>
      </c>
      <c r="AC88" s="6">
        <v>50</v>
      </c>
      <c r="AD88" s="6">
        <v>75</v>
      </c>
      <c r="AE88" s="6">
        <v>2075</v>
      </c>
      <c r="AF88" s="6">
        <v>1200</v>
      </c>
      <c r="AG88" s="16">
        <v>3275</v>
      </c>
      <c r="AH88" s="17">
        <v>172.91666666666666</v>
      </c>
      <c r="AI88" s="17">
        <v>100</v>
      </c>
      <c r="AJ88" s="17">
        <v>136.45833333333334</v>
      </c>
      <c r="AK88" s="18">
        <v>1.5316027073630524E-3</v>
      </c>
      <c r="AL88" s="19">
        <v>110.82182298299989</v>
      </c>
      <c r="AM88" s="20">
        <v>0.81212938979908311</v>
      </c>
      <c r="AN88" s="21">
        <v>3887425</v>
      </c>
      <c r="AO88" s="22">
        <v>3.5933334204303293E-4</v>
      </c>
      <c r="AP88" s="22">
        <v>0.99814672122841552</v>
      </c>
      <c r="AQ88" s="22" t="s">
        <v>215</v>
      </c>
      <c r="AR88" s="22" t="s">
        <v>166</v>
      </c>
      <c r="AS88" s="22" t="s">
        <v>222</v>
      </c>
      <c r="AT88" s="23">
        <v>100</v>
      </c>
      <c r="AU88" s="24">
        <v>1</v>
      </c>
      <c r="AV88" s="24">
        <v>120</v>
      </c>
      <c r="AW88" s="24">
        <v>90</v>
      </c>
      <c r="AX88" s="1" t="s">
        <v>154</v>
      </c>
      <c r="AY88" s="25">
        <v>3.3333333333333335</v>
      </c>
      <c r="AZ88" s="23">
        <v>30</v>
      </c>
      <c r="BA88" s="26">
        <v>100</v>
      </c>
      <c r="BB88" s="27">
        <v>200</v>
      </c>
    </row>
    <row r="89" spans="1:54" ht="12" x14ac:dyDescent="0.3">
      <c r="A89" s="12" t="s">
        <v>251</v>
      </c>
      <c r="B89" s="12">
        <v>101045</v>
      </c>
      <c r="C89" s="13" t="s">
        <v>135</v>
      </c>
      <c r="D89" s="13" t="s">
        <v>53</v>
      </c>
      <c r="E89" s="14">
        <v>988</v>
      </c>
      <c r="F89" s="15" t="s">
        <v>45</v>
      </c>
      <c r="G89" s="6">
        <v>60</v>
      </c>
      <c r="H89" s="6">
        <v>375</v>
      </c>
      <c r="I89" s="6">
        <v>188</v>
      </c>
      <c r="J89" s="6">
        <v>104</v>
      </c>
      <c r="K89" s="6">
        <v>104</v>
      </c>
      <c r="L89" s="6">
        <v>210</v>
      </c>
      <c r="M89" s="6">
        <v>355</v>
      </c>
      <c r="N89" s="6">
        <v>256</v>
      </c>
      <c r="O89" s="6">
        <v>10</v>
      </c>
      <c r="P89" s="6">
        <v>270</v>
      </c>
      <c r="Q89" s="6">
        <v>300</v>
      </c>
      <c r="R89" s="6">
        <v>15</v>
      </c>
      <c r="S89" s="6">
        <v>284</v>
      </c>
      <c r="T89" s="6">
        <v>360</v>
      </c>
      <c r="U89" s="6">
        <v>90</v>
      </c>
      <c r="V89" s="6">
        <v>44</v>
      </c>
      <c r="W89" s="6">
        <v>390</v>
      </c>
      <c r="X89" s="6">
        <v>90</v>
      </c>
      <c r="Y89" s="6">
        <v>43</v>
      </c>
      <c r="Z89" s="6">
        <v>120</v>
      </c>
      <c r="AA89" s="6">
        <v>132</v>
      </c>
      <c r="AB89" s="6">
        <v>0</v>
      </c>
      <c r="AC89" s="6">
        <v>105</v>
      </c>
      <c r="AD89" s="6">
        <v>21</v>
      </c>
      <c r="AE89" s="6">
        <v>2247</v>
      </c>
      <c r="AF89" s="6">
        <v>1679</v>
      </c>
      <c r="AG89" s="16">
        <v>3926</v>
      </c>
      <c r="AH89" s="17">
        <v>187.25</v>
      </c>
      <c r="AI89" s="17">
        <v>139.91666666666666</v>
      </c>
      <c r="AJ89" s="17">
        <v>163.58333333333334</v>
      </c>
      <c r="AK89" s="18">
        <v>2.1429674547188042E-3</v>
      </c>
      <c r="AL89" s="19">
        <v>129.12579531020421</v>
      </c>
      <c r="AM89" s="20">
        <v>0.78935789287949587</v>
      </c>
      <c r="AN89" s="21">
        <v>3878888</v>
      </c>
      <c r="AO89" s="22">
        <v>3.5854422617815544E-4</v>
      </c>
      <c r="AP89" s="22">
        <v>0.99850526545459373</v>
      </c>
      <c r="AQ89" s="22" t="s">
        <v>215</v>
      </c>
      <c r="AR89" s="22" t="s">
        <v>166</v>
      </c>
      <c r="AS89" s="22" t="s">
        <v>222</v>
      </c>
      <c r="AT89" s="23">
        <v>1902</v>
      </c>
      <c r="AU89" s="24">
        <v>13.593805836807624</v>
      </c>
      <c r="AV89" s="24">
        <v>210</v>
      </c>
      <c r="AW89" s="24">
        <v>150</v>
      </c>
      <c r="AX89" s="1" t="s">
        <v>154</v>
      </c>
      <c r="AY89" s="25">
        <v>4.6638888888888888</v>
      </c>
      <c r="AZ89" s="23">
        <v>30</v>
      </c>
      <c r="BA89" s="26">
        <v>139.91666666666666</v>
      </c>
      <c r="BB89" s="27">
        <v>279.83333333333331</v>
      </c>
    </row>
    <row r="90" spans="1:54" ht="12" x14ac:dyDescent="0.3">
      <c r="A90" s="12" t="s">
        <v>252</v>
      </c>
      <c r="B90" s="12">
        <v>101103</v>
      </c>
      <c r="C90" s="13" t="s">
        <v>136</v>
      </c>
      <c r="D90" s="13" t="s">
        <v>137</v>
      </c>
      <c r="E90" s="14">
        <v>181526</v>
      </c>
      <c r="F90" s="15" t="s">
        <v>45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3</v>
      </c>
      <c r="Y90" s="6">
        <v>1</v>
      </c>
      <c r="Z90" s="6">
        <v>1</v>
      </c>
      <c r="AA90" s="6">
        <v>2</v>
      </c>
      <c r="AB90" s="6">
        <v>3</v>
      </c>
      <c r="AC90" s="6">
        <v>3</v>
      </c>
      <c r="AD90" s="6">
        <v>4</v>
      </c>
      <c r="AE90" s="6">
        <v>0</v>
      </c>
      <c r="AF90" s="6">
        <v>17</v>
      </c>
      <c r="AG90" s="16">
        <v>17</v>
      </c>
      <c r="AH90" s="17">
        <v>0</v>
      </c>
      <c r="AI90" s="17">
        <v>1.4166666666666667</v>
      </c>
      <c r="AJ90" s="17">
        <v>0.70833333333333337</v>
      </c>
      <c r="AK90" s="18">
        <v>2.1697705020976575E-5</v>
      </c>
      <c r="AL90" s="19">
        <v>1.2676293062133799</v>
      </c>
      <c r="AM90" s="20">
        <v>1.7895943146541833</v>
      </c>
      <c r="AN90" s="21">
        <v>3085942</v>
      </c>
      <c r="AO90" s="22">
        <v>2.8524842336790062E-4</v>
      </c>
      <c r="AP90" s="22">
        <v>0.99879051387796158</v>
      </c>
      <c r="AQ90" s="22" t="s">
        <v>215</v>
      </c>
      <c r="AR90" s="22" t="s">
        <v>166</v>
      </c>
      <c r="AS90" s="22" t="s">
        <v>222</v>
      </c>
      <c r="AT90" s="23">
        <v>107</v>
      </c>
      <c r="AU90" s="24">
        <v>75.529411764705884</v>
      </c>
      <c r="AV90" s="24">
        <v>0</v>
      </c>
      <c r="AW90" s="24">
        <v>0</v>
      </c>
      <c r="AX90" s="1" t="s">
        <v>154</v>
      </c>
      <c r="AY90" s="25">
        <v>4.7222222222222228E-2</v>
      </c>
      <c r="AZ90" s="23">
        <v>30</v>
      </c>
      <c r="BA90" s="26">
        <v>1.4166666666666667</v>
      </c>
      <c r="BB90" s="27">
        <v>2.8333333333333335</v>
      </c>
    </row>
    <row r="91" spans="1:54" ht="12" x14ac:dyDescent="0.3">
      <c r="A91" s="12" t="s">
        <v>254</v>
      </c>
      <c r="B91" s="12">
        <v>209106</v>
      </c>
      <c r="C91" s="13" t="s">
        <v>139</v>
      </c>
      <c r="D91" s="13" t="s">
        <v>64</v>
      </c>
      <c r="E91" s="14">
        <v>3570</v>
      </c>
      <c r="F91" s="15" t="s">
        <v>45</v>
      </c>
      <c r="G91" s="6">
        <v>45</v>
      </c>
      <c r="H91" s="6">
        <v>50</v>
      </c>
      <c r="I91" s="6">
        <v>60</v>
      </c>
      <c r="J91" s="6">
        <v>55</v>
      </c>
      <c r="K91" s="6">
        <v>25</v>
      </c>
      <c r="L91" s="6">
        <v>25</v>
      </c>
      <c r="M91" s="6">
        <v>0</v>
      </c>
      <c r="N91" s="6">
        <v>10</v>
      </c>
      <c r="O91" s="6">
        <v>5</v>
      </c>
      <c r="P91" s="6">
        <v>5</v>
      </c>
      <c r="Q91" s="6">
        <v>10</v>
      </c>
      <c r="R91" s="6">
        <v>20</v>
      </c>
      <c r="S91" s="6">
        <v>10</v>
      </c>
      <c r="T91" s="6">
        <v>30</v>
      </c>
      <c r="U91" s="6">
        <v>65</v>
      </c>
      <c r="V91" s="6">
        <v>0</v>
      </c>
      <c r="W91" s="6">
        <v>5</v>
      </c>
      <c r="X91" s="6">
        <v>10</v>
      </c>
      <c r="Y91" s="6">
        <v>0</v>
      </c>
      <c r="Z91" s="6">
        <v>0</v>
      </c>
      <c r="AA91" s="6">
        <v>0</v>
      </c>
      <c r="AB91" s="6">
        <v>0</v>
      </c>
      <c r="AC91" s="6">
        <v>10</v>
      </c>
      <c r="AD91" s="6">
        <v>30</v>
      </c>
      <c r="AE91" s="6">
        <v>310</v>
      </c>
      <c r="AF91" s="6">
        <v>160</v>
      </c>
      <c r="AG91" s="16">
        <v>470</v>
      </c>
      <c r="AH91" s="17">
        <v>25.833333333333332</v>
      </c>
      <c r="AI91" s="17">
        <v>13.333333333333334</v>
      </c>
      <c r="AJ91" s="17">
        <v>19.583333333333332</v>
      </c>
      <c r="AK91" s="18">
        <v>2.0421369431507366E-4</v>
      </c>
      <c r="AL91" s="19">
        <v>21.054621854815522</v>
      </c>
      <c r="AM91" s="20">
        <v>1.0751296266288779</v>
      </c>
      <c r="AN91" s="21">
        <v>1677900</v>
      </c>
      <c r="AO91" s="22">
        <v>1.5509634645401646E-4</v>
      </c>
      <c r="AP91" s="22">
        <v>0.99922313368690041</v>
      </c>
      <c r="AQ91" s="22" t="s">
        <v>215</v>
      </c>
      <c r="AR91" s="22" t="s">
        <v>166</v>
      </c>
      <c r="AS91" s="22" t="s">
        <v>222</v>
      </c>
      <c r="AT91" s="23">
        <v>115</v>
      </c>
      <c r="AU91" s="24">
        <v>8.625</v>
      </c>
      <c r="AV91" s="24">
        <v>10</v>
      </c>
      <c r="AW91" s="24">
        <v>5</v>
      </c>
      <c r="AX91" s="1" t="s">
        <v>154</v>
      </c>
      <c r="AY91" s="25">
        <v>0.44444444444444448</v>
      </c>
      <c r="AZ91" s="23">
        <v>30</v>
      </c>
      <c r="BA91" s="26">
        <v>13.333333333333334</v>
      </c>
      <c r="BB91" s="27">
        <v>26.666666666666668</v>
      </c>
    </row>
    <row r="92" spans="1:54" ht="12" x14ac:dyDescent="0.3">
      <c r="A92" s="12" t="s">
        <v>255</v>
      </c>
      <c r="B92" s="12">
        <v>101097</v>
      </c>
      <c r="C92" s="13" t="s">
        <v>140</v>
      </c>
      <c r="D92" s="13" t="s">
        <v>47</v>
      </c>
      <c r="E92" s="14">
        <v>22064</v>
      </c>
      <c r="F92" s="15" t="s">
        <v>45</v>
      </c>
      <c r="G92" s="6">
        <v>7</v>
      </c>
      <c r="H92" s="6">
        <v>19</v>
      </c>
      <c r="I92" s="6">
        <v>7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5</v>
      </c>
      <c r="T92" s="6">
        <v>13</v>
      </c>
      <c r="U92" s="6">
        <v>7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10</v>
      </c>
      <c r="AE92" s="6">
        <v>33</v>
      </c>
      <c r="AF92" s="6">
        <v>35</v>
      </c>
      <c r="AG92" s="16">
        <v>68</v>
      </c>
      <c r="AH92" s="17">
        <v>2.75</v>
      </c>
      <c r="AI92" s="17">
        <v>2.9166666666666665</v>
      </c>
      <c r="AJ92" s="17">
        <v>2.8333333333333335</v>
      </c>
      <c r="AK92" s="18">
        <v>4.4671745631422362E-5</v>
      </c>
      <c r="AL92" s="19">
        <v>5.1471111920365979</v>
      </c>
      <c r="AM92" s="20">
        <v>1.8166274795423285</v>
      </c>
      <c r="AN92" s="21">
        <v>1500352</v>
      </c>
      <c r="AO92" s="22">
        <v>1.3868473305618721E-4</v>
      </c>
      <c r="AP92" s="22">
        <v>0.99936181841995664</v>
      </c>
      <c r="AQ92" s="22" t="s">
        <v>215</v>
      </c>
      <c r="AR92" s="22" t="s">
        <v>166</v>
      </c>
      <c r="AS92" s="22" t="s">
        <v>222</v>
      </c>
      <c r="AT92" s="23">
        <v>37</v>
      </c>
      <c r="AU92" s="24">
        <v>12.685714285714287</v>
      </c>
      <c r="AV92" s="24">
        <v>25</v>
      </c>
      <c r="AW92" s="24">
        <v>25</v>
      </c>
      <c r="AX92" s="1" t="s">
        <v>154</v>
      </c>
      <c r="AY92" s="25">
        <v>9.7222222222222224E-2</v>
      </c>
      <c r="AZ92" s="23">
        <v>30</v>
      </c>
      <c r="BA92" s="26">
        <v>2.9166666666666665</v>
      </c>
      <c r="BB92" s="27">
        <v>5.833333333333333</v>
      </c>
    </row>
    <row r="93" spans="1:54" ht="12" x14ac:dyDescent="0.3">
      <c r="A93" s="12" t="s">
        <v>256</v>
      </c>
      <c r="B93" s="12">
        <v>209090</v>
      </c>
      <c r="C93" s="13" t="s">
        <v>141</v>
      </c>
      <c r="D93" s="13" t="s">
        <v>53</v>
      </c>
      <c r="E93" s="14">
        <v>377</v>
      </c>
      <c r="F93" s="15" t="s">
        <v>45</v>
      </c>
      <c r="G93" s="6">
        <v>45</v>
      </c>
      <c r="H93" s="6">
        <v>138</v>
      </c>
      <c r="I93" s="6">
        <v>181</v>
      </c>
      <c r="J93" s="6">
        <v>150</v>
      </c>
      <c r="K93" s="6">
        <v>102</v>
      </c>
      <c r="L93" s="6">
        <v>65</v>
      </c>
      <c r="M93" s="6">
        <v>142</v>
      </c>
      <c r="N93" s="6">
        <v>187</v>
      </c>
      <c r="O93" s="6">
        <v>49</v>
      </c>
      <c r="P93" s="6">
        <v>44</v>
      </c>
      <c r="Q93" s="6">
        <v>189</v>
      </c>
      <c r="R93" s="6">
        <v>63</v>
      </c>
      <c r="S93" s="6">
        <v>97</v>
      </c>
      <c r="T93" s="6">
        <v>66</v>
      </c>
      <c r="U93" s="6">
        <v>169</v>
      </c>
      <c r="V93" s="6">
        <v>193</v>
      </c>
      <c r="W93" s="6">
        <v>204</v>
      </c>
      <c r="X93" s="6">
        <v>234</v>
      </c>
      <c r="Y93" s="6">
        <v>270</v>
      </c>
      <c r="Z93" s="6">
        <v>365</v>
      </c>
      <c r="AA93" s="6">
        <v>158</v>
      </c>
      <c r="AB93" s="6">
        <v>255</v>
      </c>
      <c r="AC93" s="6">
        <v>244</v>
      </c>
      <c r="AD93" s="6">
        <v>175</v>
      </c>
      <c r="AE93" s="6">
        <v>1355</v>
      </c>
      <c r="AF93" s="6">
        <v>2430</v>
      </c>
      <c r="AG93" s="16">
        <v>3785</v>
      </c>
      <c r="AH93" s="17">
        <v>112.91666666666667</v>
      </c>
      <c r="AI93" s="17">
        <v>202.5</v>
      </c>
      <c r="AJ93" s="17">
        <v>157.70833333333334</v>
      </c>
      <c r="AK93" s="18">
        <v>3.1014954824101809E-3</v>
      </c>
      <c r="AL93" s="19">
        <v>82.202020056986896</v>
      </c>
      <c r="AM93" s="20">
        <v>0.52122813246173982</v>
      </c>
      <c r="AN93" s="21">
        <v>1426945</v>
      </c>
      <c r="AO93" s="22">
        <v>1.3189937188797098E-4</v>
      </c>
      <c r="AP93" s="22">
        <v>0.99949371779184459</v>
      </c>
      <c r="AQ93" s="22" t="s">
        <v>215</v>
      </c>
      <c r="AR93" s="22" t="s">
        <v>166</v>
      </c>
      <c r="AS93" s="22" t="s">
        <v>222</v>
      </c>
      <c r="AT93" s="23">
        <v>885</v>
      </c>
      <c r="AU93" s="24">
        <v>4.3703703703703702</v>
      </c>
      <c r="AV93" s="24">
        <v>70</v>
      </c>
      <c r="AW93" s="24">
        <v>0</v>
      </c>
      <c r="AX93" s="1" t="s">
        <v>154</v>
      </c>
      <c r="AY93" s="25">
        <v>6.75</v>
      </c>
      <c r="AZ93" s="23">
        <v>30</v>
      </c>
      <c r="BA93" s="26">
        <v>202.5</v>
      </c>
      <c r="BB93" s="27">
        <v>405</v>
      </c>
    </row>
    <row r="94" spans="1:54" ht="12" x14ac:dyDescent="0.3">
      <c r="A94" s="12" t="s">
        <v>257</v>
      </c>
      <c r="B94" s="12">
        <v>209159</v>
      </c>
      <c r="C94" s="13" t="s">
        <v>142</v>
      </c>
      <c r="D94" s="13" t="s">
        <v>47</v>
      </c>
      <c r="E94" s="14">
        <v>37525</v>
      </c>
      <c r="F94" s="15" t="s">
        <v>45</v>
      </c>
      <c r="G94" s="6">
        <v>3</v>
      </c>
      <c r="H94" s="6">
        <v>3</v>
      </c>
      <c r="I94" s="6">
        <v>1</v>
      </c>
      <c r="J94" s="6">
        <v>2</v>
      </c>
      <c r="K94" s="6">
        <v>2</v>
      </c>
      <c r="L94" s="6">
        <v>3</v>
      </c>
      <c r="M94" s="6">
        <v>3</v>
      </c>
      <c r="N94" s="6">
        <v>1</v>
      </c>
      <c r="O94" s="6">
        <v>1</v>
      </c>
      <c r="P94" s="6">
        <v>6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1</v>
      </c>
      <c r="Z94" s="6">
        <v>0</v>
      </c>
      <c r="AA94" s="6">
        <v>2</v>
      </c>
      <c r="AB94" s="6">
        <v>1</v>
      </c>
      <c r="AC94" s="6">
        <v>0</v>
      </c>
      <c r="AD94" s="6">
        <v>1</v>
      </c>
      <c r="AE94" s="6">
        <v>25</v>
      </c>
      <c r="AF94" s="6">
        <v>5</v>
      </c>
      <c r="AG94" s="16">
        <v>30</v>
      </c>
      <c r="AH94" s="17">
        <v>2.0833333333333335</v>
      </c>
      <c r="AI94" s="17">
        <v>0.41666666666666669</v>
      </c>
      <c r="AJ94" s="17">
        <v>1.25</v>
      </c>
      <c r="AK94" s="18">
        <v>6.3816779473460519E-6</v>
      </c>
      <c r="AL94" s="19">
        <v>1.5108304655560048</v>
      </c>
      <c r="AM94" s="20">
        <v>1.2086643724448038</v>
      </c>
      <c r="AN94" s="21">
        <v>1125750</v>
      </c>
      <c r="AO94" s="22">
        <v>1.0405847310364683E-4</v>
      </c>
      <c r="AP94" s="22">
        <v>0.99959777626494828</v>
      </c>
      <c r="AQ94" s="22" t="s">
        <v>215</v>
      </c>
      <c r="AR94" s="22" t="s">
        <v>166</v>
      </c>
      <c r="AS94" s="22" t="s">
        <v>222</v>
      </c>
      <c r="AT94" s="23">
        <v>2</v>
      </c>
      <c r="AU94" s="24">
        <v>4.8</v>
      </c>
      <c r="AV94" s="24">
        <v>2</v>
      </c>
      <c r="AW94" s="24">
        <v>1</v>
      </c>
      <c r="AX94" s="1" t="s">
        <v>154</v>
      </c>
      <c r="AY94" s="25">
        <v>1.388888888888889E-2</v>
      </c>
      <c r="AZ94" s="23">
        <v>30</v>
      </c>
      <c r="BA94" s="26">
        <v>0.41666666666666669</v>
      </c>
      <c r="BB94" s="27">
        <v>0.83333333333333337</v>
      </c>
    </row>
    <row r="95" spans="1:54" ht="12" x14ac:dyDescent="0.3">
      <c r="A95" s="12" t="s">
        <v>258</v>
      </c>
      <c r="B95" s="12">
        <v>209033</v>
      </c>
      <c r="C95" s="13" t="s">
        <v>143</v>
      </c>
      <c r="D95" s="13" t="s">
        <v>47</v>
      </c>
      <c r="E95" s="14">
        <v>13388</v>
      </c>
      <c r="F95" s="15" t="s">
        <v>45</v>
      </c>
      <c r="G95" s="6">
        <v>5</v>
      </c>
      <c r="H95" s="6">
        <v>5</v>
      </c>
      <c r="I95" s="6">
        <v>0</v>
      </c>
      <c r="J95" s="6">
        <v>1</v>
      </c>
      <c r="K95" s="6">
        <v>1</v>
      </c>
      <c r="L95" s="6">
        <v>9</v>
      </c>
      <c r="M95" s="6">
        <v>2</v>
      </c>
      <c r="N95" s="6">
        <v>2</v>
      </c>
      <c r="O95" s="6">
        <v>4</v>
      </c>
      <c r="P95" s="6">
        <v>2</v>
      </c>
      <c r="Q95" s="6">
        <v>6</v>
      </c>
      <c r="R95" s="6">
        <v>4</v>
      </c>
      <c r="S95" s="6">
        <v>3</v>
      </c>
      <c r="T95" s="6">
        <v>1</v>
      </c>
      <c r="U95" s="6">
        <v>2</v>
      </c>
      <c r="V95" s="6">
        <v>1</v>
      </c>
      <c r="W95" s="6">
        <v>2</v>
      </c>
      <c r="X95" s="6">
        <v>1</v>
      </c>
      <c r="Y95" s="6">
        <v>7</v>
      </c>
      <c r="Z95" s="6">
        <v>12</v>
      </c>
      <c r="AA95" s="6">
        <v>0</v>
      </c>
      <c r="AB95" s="6">
        <v>0</v>
      </c>
      <c r="AC95" s="6">
        <v>6</v>
      </c>
      <c r="AD95" s="6">
        <v>6</v>
      </c>
      <c r="AE95" s="6">
        <v>41</v>
      </c>
      <c r="AF95" s="6">
        <v>41</v>
      </c>
      <c r="AG95" s="16">
        <v>82</v>
      </c>
      <c r="AH95" s="17">
        <v>3.4166666666666665</v>
      </c>
      <c r="AI95" s="17">
        <v>3.4166666666666665</v>
      </c>
      <c r="AJ95" s="17">
        <v>3.4166666666666665</v>
      </c>
      <c r="AK95" s="18">
        <v>5.2329759168237626E-5</v>
      </c>
      <c r="AL95" s="19">
        <v>3.0775013391960728</v>
      </c>
      <c r="AM95" s="20">
        <v>0.90073209927689946</v>
      </c>
      <c r="AN95" s="21">
        <v>1097816</v>
      </c>
      <c r="AO95" s="22">
        <v>1.0147639947479739E-4</v>
      </c>
      <c r="AP95" s="22">
        <v>0.99969925266442305</v>
      </c>
      <c r="AQ95" s="22" t="s">
        <v>215</v>
      </c>
      <c r="AR95" s="22" t="s">
        <v>166</v>
      </c>
      <c r="AS95" s="22" t="s">
        <v>222</v>
      </c>
      <c r="AT95" s="23">
        <v>72</v>
      </c>
      <c r="AU95" s="24">
        <v>21.073170731707318</v>
      </c>
      <c r="AV95" s="24">
        <v>15</v>
      </c>
      <c r="AW95" s="24">
        <v>10</v>
      </c>
      <c r="AX95" s="1" t="s">
        <v>154</v>
      </c>
      <c r="AY95" s="25">
        <v>0.11388888888888889</v>
      </c>
      <c r="AZ95" s="23">
        <v>30</v>
      </c>
      <c r="BA95" s="26">
        <v>3.4166666666666665</v>
      </c>
      <c r="BB95" s="27">
        <v>6.833333333333333</v>
      </c>
    </row>
    <row r="96" spans="1:54" ht="12" x14ac:dyDescent="0.3">
      <c r="A96" s="12" t="s">
        <v>259</v>
      </c>
      <c r="B96" s="12">
        <v>209010</v>
      </c>
      <c r="C96" s="13" t="s">
        <v>144</v>
      </c>
      <c r="D96" s="13" t="s">
        <v>53</v>
      </c>
      <c r="E96" s="14">
        <v>447</v>
      </c>
      <c r="F96" s="15" t="s">
        <v>45</v>
      </c>
      <c r="G96" s="6">
        <v>36</v>
      </c>
      <c r="H96" s="6">
        <v>76</v>
      </c>
      <c r="I96" s="6">
        <v>64</v>
      </c>
      <c r="J96" s="6">
        <v>0</v>
      </c>
      <c r="K96" s="6">
        <v>128</v>
      </c>
      <c r="L96" s="6">
        <v>124</v>
      </c>
      <c r="M96" s="6">
        <v>146</v>
      </c>
      <c r="N96" s="6">
        <v>232</v>
      </c>
      <c r="O96" s="6">
        <v>200</v>
      </c>
      <c r="P96" s="6">
        <v>200</v>
      </c>
      <c r="Q96" s="6">
        <v>128</v>
      </c>
      <c r="R96" s="6">
        <v>44</v>
      </c>
      <c r="S96" s="6">
        <v>128</v>
      </c>
      <c r="T96" s="6">
        <v>201</v>
      </c>
      <c r="U96" s="6">
        <v>64</v>
      </c>
      <c r="V96" s="6">
        <v>0</v>
      </c>
      <c r="W96" s="6">
        <v>44</v>
      </c>
      <c r="X96" s="6">
        <v>44</v>
      </c>
      <c r="Y96" s="6">
        <v>40</v>
      </c>
      <c r="Z96" s="6">
        <v>64</v>
      </c>
      <c r="AA96" s="6">
        <v>40</v>
      </c>
      <c r="AB96" s="6">
        <v>124</v>
      </c>
      <c r="AC96" s="6">
        <v>86</v>
      </c>
      <c r="AD96" s="6">
        <v>64</v>
      </c>
      <c r="AE96" s="6">
        <v>1378</v>
      </c>
      <c r="AF96" s="6">
        <v>899</v>
      </c>
      <c r="AG96" s="16">
        <v>2277</v>
      </c>
      <c r="AH96" s="17">
        <v>114.83333333333333</v>
      </c>
      <c r="AI96" s="17">
        <v>74.916666666666671</v>
      </c>
      <c r="AJ96" s="17">
        <v>94.875</v>
      </c>
      <c r="AK96" s="18">
        <v>1.1474256949328202E-3</v>
      </c>
      <c r="AL96" s="19">
        <v>65.698463022191476</v>
      </c>
      <c r="AM96" s="20">
        <v>0.69247391854747276</v>
      </c>
      <c r="AN96" s="21">
        <v>1017819</v>
      </c>
      <c r="AO96" s="22">
        <v>9.4081892992121447E-5</v>
      </c>
      <c r="AP96" s="22">
        <v>0.99979333455741515</v>
      </c>
      <c r="AQ96" s="22" t="s">
        <v>215</v>
      </c>
      <c r="AR96" s="22" t="s">
        <v>166</v>
      </c>
      <c r="AS96" s="22" t="s">
        <v>222</v>
      </c>
      <c r="AT96" s="23">
        <v>232</v>
      </c>
      <c r="AU96" s="24">
        <v>3.096774193548387</v>
      </c>
      <c r="AV96" s="24">
        <v>300</v>
      </c>
      <c r="AW96" s="24">
        <v>200</v>
      </c>
      <c r="AX96" s="1" t="s">
        <v>154</v>
      </c>
      <c r="AY96" s="25">
        <v>2.4972222222222222</v>
      </c>
      <c r="AZ96" s="23">
        <v>30</v>
      </c>
      <c r="BA96" s="26">
        <v>74.916666666666671</v>
      </c>
      <c r="BB96" s="27">
        <v>149.83333333333334</v>
      </c>
    </row>
    <row r="97" spans="1:54" ht="12" x14ac:dyDescent="0.3">
      <c r="A97" s="12" t="s">
        <v>260</v>
      </c>
      <c r="B97" s="12">
        <v>101022</v>
      </c>
      <c r="C97" s="13" t="s">
        <v>145</v>
      </c>
      <c r="D97" s="13" t="s">
        <v>53</v>
      </c>
      <c r="E97" s="14">
        <v>194</v>
      </c>
      <c r="F97" s="15" t="s">
        <v>45</v>
      </c>
      <c r="G97" s="6">
        <v>90</v>
      </c>
      <c r="H97" s="6">
        <v>180</v>
      </c>
      <c r="I97" s="6">
        <v>0</v>
      </c>
      <c r="J97" s="6">
        <v>412</v>
      </c>
      <c r="K97" s="6">
        <v>1080</v>
      </c>
      <c r="L97" s="6">
        <v>150</v>
      </c>
      <c r="M97" s="6">
        <v>180</v>
      </c>
      <c r="N97" s="6">
        <v>180</v>
      </c>
      <c r="O97" s="6">
        <v>0</v>
      </c>
      <c r="P97" s="6">
        <v>90</v>
      </c>
      <c r="Q97" s="6">
        <v>270</v>
      </c>
      <c r="R97" s="6">
        <v>0</v>
      </c>
      <c r="S97" s="6">
        <v>100</v>
      </c>
      <c r="T97" s="6">
        <v>390</v>
      </c>
      <c r="U97" s="6">
        <v>155</v>
      </c>
      <c r="V97" s="6">
        <v>90</v>
      </c>
      <c r="W97" s="6">
        <v>0</v>
      </c>
      <c r="X97" s="6">
        <v>110</v>
      </c>
      <c r="Y97" s="6">
        <v>0</v>
      </c>
      <c r="Z97" s="6">
        <v>31</v>
      </c>
      <c r="AA97" s="6">
        <v>100</v>
      </c>
      <c r="AB97" s="6">
        <v>10</v>
      </c>
      <c r="AC97" s="6">
        <v>0</v>
      </c>
      <c r="AD97" s="6">
        <v>0</v>
      </c>
      <c r="AE97" s="6">
        <v>2632</v>
      </c>
      <c r="AF97" s="6">
        <v>986</v>
      </c>
      <c r="AG97" s="16">
        <v>3618</v>
      </c>
      <c r="AH97" s="17">
        <v>219.33333333333334</v>
      </c>
      <c r="AI97" s="17">
        <v>82.166666666666671</v>
      </c>
      <c r="AJ97" s="17">
        <v>150.75</v>
      </c>
      <c r="AK97" s="18">
        <v>1.2584668912166415E-3</v>
      </c>
      <c r="AL97" s="19">
        <v>230.02046222777281</v>
      </c>
      <c r="AM97" s="20">
        <v>1.5258405454578627</v>
      </c>
      <c r="AN97" s="21">
        <v>701892</v>
      </c>
      <c r="AO97" s="22">
        <v>6.4879244773408736E-5</v>
      </c>
      <c r="AP97" s="22">
        <v>0.99985821380218853</v>
      </c>
      <c r="AQ97" s="22" t="s">
        <v>215</v>
      </c>
      <c r="AR97" s="22" t="s">
        <v>166</v>
      </c>
      <c r="AS97" s="22" t="s">
        <v>222</v>
      </c>
      <c r="AT97" s="23">
        <v>1819</v>
      </c>
      <c r="AU97" s="24">
        <v>22.137931034482758</v>
      </c>
      <c r="AV97" s="24">
        <v>150</v>
      </c>
      <c r="AW97" s="24">
        <v>90</v>
      </c>
      <c r="AX97" s="1" t="s">
        <v>154</v>
      </c>
      <c r="AY97" s="25">
        <v>2.7388888888888889</v>
      </c>
      <c r="AZ97" s="23">
        <v>30</v>
      </c>
      <c r="BA97" s="26">
        <v>82.166666666666671</v>
      </c>
      <c r="BB97" s="27">
        <v>164.33333333333334</v>
      </c>
    </row>
    <row r="98" spans="1:54" ht="12" x14ac:dyDescent="0.3">
      <c r="A98" s="12" t="s">
        <v>261</v>
      </c>
      <c r="B98" s="12">
        <v>209164</v>
      </c>
      <c r="C98" s="13" t="s">
        <v>146</v>
      </c>
      <c r="D98" s="13" t="s">
        <v>64</v>
      </c>
      <c r="E98" s="14">
        <v>353</v>
      </c>
      <c r="F98" s="15" t="s">
        <v>45</v>
      </c>
      <c r="G98" s="6">
        <v>0</v>
      </c>
      <c r="H98" s="6">
        <v>30</v>
      </c>
      <c r="I98" s="6">
        <v>120</v>
      </c>
      <c r="J98" s="6">
        <v>0</v>
      </c>
      <c r="K98" s="6">
        <v>60</v>
      </c>
      <c r="L98" s="6">
        <v>60</v>
      </c>
      <c r="M98" s="6">
        <v>60</v>
      </c>
      <c r="N98" s="6">
        <v>60</v>
      </c>
      <c r="O98" s="6">
        <v>60</v>
      </c>
      <c r="P98" s="6">
        <v>90</v>
      </c>
      <c r="Q98" s="6">
        <v>120</v>
      </c>
      <c r="R98" s="6">
        <v>0</v>
      </c>
      <c r="S98" s="6">
        <v>150</v>
      </c>
      <c r="T98" s="6">
        <v>90</v>
      </c>
      <c r="U98" s="6">
        <v>30</v>
      </c>
      <c r="V98" s="6">
        <v>172</v>
      </c>
      <c r="W98" s="6">
        <v>30</v>
      </c>
      <c r="X98" s="6">
        <v>210</v>
      </c>
      <c r="Y98" s="6">
        <v>0</v>
      </c>
      <c r="Z98" s="6">
        <v>120</v>
      </c>
      <c r="AA98" s="6">
        <v>60</v>
      </c>
      <c r="AB98" s="6">
        <v>30</v>
      </c>
      <c r="AC98" s="6">
        <v>30</v>
      </c>
      <c r="AD98" s="6">
        <v>254</v>
      </c>
      <c r="AE98" s="6">
        <v>660</v>
      </c>
      <c r="AF98" s="6">
        <v>1176</v>
      </c>
      <c r="AG98" s="16">
        <v>1836</v>
      </c>
      <c r="AH98" s="17">
        <v>55</v>
      </c>
      <c r="AI98" s="17">
        <v>98</v>
      </c>
      <c r="AJ98" s="17">
        <v>76.5</v>
      </c>
      <c r="AK98" s="18">
        <v>1.5009706532157913E-3</v>
      </c>
      <c r="AL98" s="19">
        <v>67.805989218601056</v>
      </c>
      <c r="AM98" s="20">
        <v>0.88635280024315111</v>
      </c>
      <c r="AN98" s="21">
        <v>648108</v>
      </c>
      <c r="AO98" s="22">
        <v>5.9907731633362958E-5</v>
      </c>
      <c r="AP98" s="22">
        <v>0.99991812153382187</v>
      </c>
      <c r="AQ98" s="22" t="s">
        <v>215</v>
      </c>
      <c r="AR98" s="22" t="s">
        <v>166</v>
      </c>
      <c r="AS98" s="22" t="s">
        <v>222</v>
      </c>
      <c r="AT98" s="23">
        <v>466</v>
      </c>
      <c r="AU98" s="24">
        <v>4.7551020408163263</v>
      </c>
      <c r="AV98" s="24">
        <v>180</v>
      </c>
      <c r="AW98" s="24">
        <v>60</v>
      </c>
      <c r="AX98" s="1" t="s">
        <v>154</v>
      </c>
      <c r="AY98" s="25">
        <v>3.2666666666666666</v>
      </c>
      <c r="AZ98" s="23">
        <v>30</v>
      </c>
      <c r="BA98" s="26">
        <v>98</v>
      </c>
      <c r="BB98" s="27">
        <v>196</v>
      </c>
    </row>
    <row r="99" spans="1:54" ht="12" x14ac:dyDescent="0.3">
      <c r="A99" s="12" t="s">
        <v>262</v>
      </c>
      <c r="B99" s="12">
        <v>209118</v>
      </c>
      <c r="C99" s="13" t="s">
        <v>147</v>
      </c>
      <c r="D99" s="13" t="s">
        <v>53</v>
      </c>
      <c r="E99" s="14">
        <v>1823</v>
      </c>
      <c r="F99" s="15" t="s">
        <v>45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25</v>
      </c>
      <c r="M99" s="6">
        <v>0</v>
      </c>
      <c r="N99" s="6">
        <v>50</v>
      </c>
      <c r="O99" s="6">
        <v>25</v>
      </c>
      <c r="P99" s="6">
        <v>0</v>
      </c>
      <c r="Q99" s="6">
        <v>0</v>
      </c>
      <c r="R99" s="6">
        <v>0</v>
      </c>
      <c r="S99" s="6">
        <v>50</v>
      </c>
      <c r="T99" s="6">
        <v>25</v>
      </c>
      <c r="U99" s="6">
        <v>25</v>
      </c>
      <c r="V99" s="6">
        <v>25</v>
      </c>
      <c r="W99" s="6">
        <v>0</v>
      </c>
      <c r="X99" s="6">
        <v>0</v>
      </c>
      <c r="Y99" s="6">
        <v>0</v>
      </c>
      <c r="Z99" s="6">
        <v>50</v>
      </c>
      <c r="AA99" s="6">
        <v>0</v>
      </c>
      <c r="AB99" s="6">
        <v>0</v>
      </c>
      <c r="AC99" s="6">
        <v>0</v>
      </c>
      <c r="AD99" s="6">
        <v>0</v>
      </c>
      <c r="AE99" s="6">
        <v>100</v>
      </c>
      <c r="AF99" s="6">
        <v>175</v>
      </c>
      <c r="AG99" s="16">
        <v>275</v>
      </c>
      <c r="AH99" s="17">
        <v>8.3333333333333339</v>
      </c>
      <c r="AI99" s="17">
        <v>14.583333333333334</v>
      </c>
      <c r="AJ99" s="17">
        <v>11.458333333333334</v>
      </c>
      <c r="AK99" s="18">
        <v>2.2335872815711181E-4</v>
      </c>
      <c r="AL99" s="19">
        <v>18.026500218981152</v>
      </c>
      <c r="AM99" s="20">
        <v>1.5732218372929005</v>
      </c>
      <c r="AN99" s="21">
        <v>501325</v>
      </c>
      <c r="AO99" s="22">
        <v>4.6339874775648015E-5</v>
      </c>
      <c r="AP99" s="22">
        <v>0.99996446140859752</v>
      </c>
      <c r="AQ99" s="22" t="s">
        <v>215</v>
      </c>
      <c r="AR99" s="22" t="s">
        <v>166</v>
      </c>
      <c r="AS99" s="22" t="s">
        <v>222</v>
      </c>
      <c r="AT99" s="23">
        <v>100</v>
      </c>
      <c r="AU99" s="24">
        <v>6.8571428571428568</v>
      </c>
      <c r="AV99" s="24">
        <v>25</v>
      </c>
      <c r="AW99" s="24">
        <v>25</v>
      </c>
      <c r="AX99" s="1" t="s">
        <v>154</v>
      </c>
      <c r="AY99" s="25">
        <v>0.4861111111111111</v>
      </c>
      <c r="AZ99" s="23">
        <v>30</v>
      </c>
      <c r="BA99" s="26">
        <v>14.583333333333334</v>
      </c>
      <c r="BB99" s="27">
        <v>29.166666666666668</v>
      </c>
    </row>
    <row r="100" spans="1:54" ht="12" x14ac:dyDescent="0.3">
      <c r="A100" s="12" t="s">
        <v>263</v>
      </c>
      <c r="B100" s="12">
        <v>101104</v>
      </c>
      <c r="C100" s="13" t="s">
        <v>148</v>
      </c>
      <c r="D100" s="13" t="s">
        <v>137</v>
      </c>
      <c r="E100" s="14">
        <v>192236</v>
      </c>
      <c r="F100" s="15" t="s">
        <v>45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2</v>
      </c>
      <c r="AD100" s="6">
        <v>0</v>
      </c>
      <c r="AE100" s="6">
        <v>0</v>
      </c>
      <c r="AF100" s="6">
        <v>2</v>
      </c>
      <c r="AG100" s="16">
        <v>2</v>
      </c>
      <c r="AH100" s="17">
        <v>0</v>
      </c>
      <c r="AI100" s="17">
        <v>0.16666666666666666</v>
      </c>
      <c r="AJ100" s="17">
        <v>8.3333333333333329E-2</v>
      </c>
      <c r="AK100" s="18">
        <v>2.5526711789384206E-6</v>
      </c>
      <c r="AL100" s="19">
        <v>0.40824829046386302</v>
      </c>
      <c r="AM100" s="20">
        <v>4.8989794855663567</v>
      </c>
      <c r="AN100" s="21">
        <v>384472</v>
      </c>
      <c r="AO100" s="22">
        <v>3.5538591402269873E-5</v>
      </c>
      <c r="AP100" s="22">
        <v>0.99999999999999978</v>
      </c>
      <c r="AQ100" s="22" t="s">
        <v>215</v>
      </c>
      <c r="AR100" s="22" t="s">
        <v>166</v>
      </c>
      <c r="AS100" s="22" t="s">
        <v>222</v>
      </c>
      <c r="AT100" s="23">
        <v>103</v>
      </c>
      <c r="AU100" s="24">
        <v>618</v>
      </c>
      <c r="AV100" s="24">
        <v>0</v>
      </c>
      <c r="AW100" s="24">
        <v>0</v>
      </c>
      <c r="AX100" s="1" t="s">
        <v>154</v>
      </c>
      <c r="AY100" s="25">
        <v>5.5555555555555549E-3</v>
      </c>
      <c r="AZ100" s="23">
        <v>30</v>
      </c>
      <c r="BA100" s="26">
        <v>0.16666666666666666</v>
      </c>
      <c r="BB100" s="27">
        <v>0.33333333333333331</v>
      </c>
    </row>
    <row r="101" spans="1:54" customFormat="1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28" t="s">
        <v>149</v>
      </c>
      <c r="AE101" s="28">
        <v>772321</v>
      </c>
      <c r="AF101" s="28">
        <v>783493</v>
      </c>
      <c r="AG101" s="29"/>
      <c r="AH101" s="30"/>
      <c r="AI101" s="30"/>
      <c r="AJ101" s="31"/>
      <c r="AK101" s="3"/>
      <c r="AN101" s="32">
        <f>SUM(AN4:AN100)</f>
        <v>10818436658</v>
      </c>
    </row>
    <row r="102" spans="1:54" ht="12" x14ac:dyDescent="0.3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54" ht="12" x14ac:dyDescent="0.3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54" ht="12" x14ac:dyDescent="0.3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54" ht="12" x14ac:dyDescent="0.3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54" ht="12" x14ac:dyDescent="0.3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54" ht="12" x14ac:dyDescent="0.3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AK107" s="33"/>
    </row>
    <row r="108" spans="1:54" ht="12" x14ac:dyDescent="0.3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54" ht="12" x14ac:dyDescent="0.3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54" ht="12" x14ac:dyDescent="0.3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54" ht="12" x14ac:dyDescent="0.3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54" ht="12" x14ac:dyDescent="0.3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33:37" s="1" customFormat="1" ht="12" x14ac:dyDescent="0.3">
      <c r="AG113" s="3"/>
      <c r="AH113" s="3"/>
      <c r="AI113" s="3"/>
      <c r="AJ113" s="3"/>
      <c r="AK113" s="3"/>
    </row>
    <row r="114" spans="33:37" s="1" customFormat="1" ht="12" x14ac:dyDescent="0.3">
      <c r="AG114" s="3"/>
      <c r="AH114" s="3"/>
      <c r="AI114" s="3"/>
      <c r="AJ114" s="3"/>
      <c r="AK114" s="3"/>
    </row>
    <row r="115" spans="33:37" s="1" customFormat="1" ht="12" x14ac:dyDescent="0.3">
      <c r="AG115" s="3"/>
      <c r="AH115" s="3"/>
      <c r="AI115" s="3"/>
      <c r="AJ115" s="3"/>
      <c r="AK115" s="3"/>
    </row>
    <row r="116" spans="33:37" s="1" customFormat="1" ht="12" x14ac:dyDescent="0.3">
      <c r="AG116" s="3"/>
      <c r="AH116" s="3"/>
      <c r="AI116" s="3"/>
      <c r="AJ116" s="3"/>
      <c r="AK116" s="3"/>
    </row>
    <row r="117" spans="33:37" s="1" customFormat="1" ht="12" x14ac:dyDescent="0.3">
      <c r="AG117" s="3"/>
      <c r="AH117" s="3"/>
      <c r="AI117" s="3"/>
      <c r="AJ117" s="3"/>
      <c r="AK117" s="3"/>
    </row>
    <row r="118" spans="33:37" s="1" customFormat="1" ht="12" x14ac:dyDescent="0.3">
      <c r="AG118" s="3"/>
      <c r="AH118" s="3"/>
      <c r="AI118" s="3"/>
      <c r="AJ118" s="3"/>
      <c r="AK118" s="3"/>
    </row>
    <row r="119" spans="33:37" s="1" customFormat="1" ht="12" x14ac:dyDescent="0.3">
      <c r="AG119" s="3"/>
      <c r="AH119" s="3"/>
      <c r="AI119" s="3"/>
      <c r="AJ119" s="3"/>
      <c r="AK119" s="3"/>
    </row>
    <row r="120" spans="33:37" s="1" customFormat="1" ht="12" x14ac:dyDescent="0.3">
      <c r="AG120" s="3"/>
      <c r="AH120" s="3"/>
      <c r="AI120" s="3"/>
      <c r="AJ120" s="3"/>
      <c r="AK120" s="3"/>
    </row>
    <row r="121" spans="33:37" s="1" customFormat="1" ht="12" x14ac:dyDescent="0.3">
      <c r="AG121" s="3"/>
      <c r="AH121" s="3"/>
      <c r="AI121" s="3"/>
      <c r="AJ121" s="3"/>
      <c r="AK121" s="3"/>
    </row>
    <row r="122" spans="33:37" s="1" customFormat="1" ht="12" x14ac:dyDescent="0.3">
      <c r="AG122" s="3"/>
      <c r="AH122" s="3"/>
      <c r="AI122" s="3"/>
      <c r="AJ122" s="3"/>
      <c r="AK122" s="3"/>
    </row>
    <row r="123" spans="33:37" s="1" customFormat="1" ht="12" x14ac:dyDescent="0.3">
      <c r="AG123" s="3"/>
      <c r="AH123" s="3"/>
      <c r="AI123" s="3"/>
      <c r="AJ123" s="3"/>
      <c r="AK123" s="3"/>
    </row>
  </sheetData>
  <sortState xmlns:xlrd2="http://schemas.microsoft.com/office/spreadsheetml/2017/richdata2" ref="A4:BB101">
    <sortCondition ref="AR4:AR1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0011-673D-4A35-9B19-72BB0B74194C}">
  <dimension ref="A1:BP298"/>
  <sheetViews>
    <sheetView showGridLines="0" zoomScale="70" zoomScaleNormal="70" workbookViewId="0">
      <pane xSplit="18" ySplit="3" topLeftCell="AD4" activePane="bottomRight" state="frozen"/>
      <selection pane="topRight" activeCell="R1" sqref="R1"/>
      <selection pane="bottomLeft" activeCell="A5" sqref="A5"/>
      <selection pane="bottomRight" activeCell="A3" sqref="A3:XFD3"/>
    </sheetView>
  </sheetViews>
  <sheetFormatPr baseColWidth="10" defaultRowHeight="12" x14ac:dyDescent="0.3"/>
  <cols>
    <col min="1" max="1" width="4.1796875" style="34" bestFit="1" customWidth="1"/>
    <col min="2" max="2" width="6.81640625" style="34" customWidth="1"/>
    <col min="3" max="3" width="35.1796875" style="34" customWidth="1"/>
    <col min="4" max="4" width="3.7265625" style="34" bestFit="1" customWidth="1"/>
    <col min="5" max="5" width="9.7265625" style="34" hidden="1" customWidth="1"/>
    <col min="6" max="6" width="4.453125" style="34" hidden="1" customWidth="1"/>
    <col min="7" max="8" width="5.453125" style="34" customWidth="1"/>
    <col min="9" max="9" width="7.6328125" style="34" customWidth="1"/>
    <col min="10" max="14" width="5.453125" style="34" customWidth="1"/>
    <col min="15" max="15" width="6.7265625" style="34" customWidth="1"/>
    <col min="16" max="18" width="5.453125" style="34" customWidth="1"/>
    <col min="19" max="20" width="6.54296875" style="34" customWidth="1"/>
    <col min="21" max="21" width="7.08984375" style="34" customWidth="1"/>
    <col min="22" max="22" width="6.90625" style="34" customWidth="1"/>
    <col min="23" max="23" width="7.26953125" style="34" customWidth="1"/>
    <col min="24" max="24" width="5.26953125" style="34" customWidth="1"/>
    <col min="25" max="25" width="6.08984375" style="34" customWidth="1"/>
    <col min="26" max="26" width="6.7265625" style="34" customWidth="1"/>
    <col min="27" max="27" width="7.08984375" style="34" customWidth="1"/>
    <col min="28" max="28" width="6.54296875" style="34" customWidth="1"/>
    <col min="29" max="29" width="6.81640625" style="34" customWidth="1"/>
    <col min="30" max="30" width="5.7265625" style="34" customWidth="1"/>
    <col min="31" max="31" width="7" style="34" hidden="1" customWidth="1"/>
    <col min="32" max="36" width="8.36328125" style="34" hidden="1" customWidth="1"/>
    <col min="37" max="37" width="5.1796875" style="34" hidden="1" customWidth="1"/>
    <col min="38" max="40" width="7.08984375" style="34" hidden="1" customWidth="1"/>
    <col min="41" max="41" width="9.81640625" style="34" bestFit="1" customWidth="1"/>
    <col min="42" max="42" width="8.7265625" style="35" customWidth="1"/>
    <col min="43" max="43" width="12.26953125" style="35" customWidth="1"/>
    <col min="44" max="44" width="12.81640625" style="35" customWidth="1"/>
    <col min="45" max="49" width="8.7265625" style="35" customWidth="1"/>
    <col min="50" max="50" width="10" style="35" bestFit="1" customWidth="1"/>
    <col min="51" max="52" width="8.7265625" style="35" customWidth="1"/>
    <col min="53" max="53" width="9.1796875" style="35" bestFit="1" customWidth="1"/>
    <col min="54" max="54" width="8.7265625" style="35" customWidth="1"/>
    <col min="55" max="55" width="8.7265625" style="36" customWidth="1"/>
    <col min="56" max="56" width="8.7265625" style="35" customWidth="1"/>
    <col min="57" max="57" width="10.90625" style="35" customWidth="1"/>
    <col min="58" max="59" width="10.36328125" style="34" customWidth="1"/>
    <col min="60" max="16384" width="10.90625" style="34"/>
  </cols>
  <sheetData>
    <row r="1" spans="1:68" x14ac:dyDescent="0.3">
      <c r="B1" s="51" t="s">
        <v>0</v>
      </c>
      <c r="AP1" s="34"/>
      <c r="AQ1" s="34"/>
      <c r="AR1" s="34"/>
      <c r="AS1" s="34"/>
      <c r="AT1" s="34"/>
      <c r="AU1" s="34"/>
      <c r="AV1" s="34"/>
      <c r="AW1" s="34"/>
      <c r="BC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</row>
    <row r="2" spans="1:68" x14ac:dyDescent="0.3">
      <c r="BC2" s="35"/>
    </row>
    <row r="3" spans="1:68" ht="48" x14ac:dyDescent="0.3">
      <c r="A3" s="4" t="s">
        <v>1</v>
      </c>
      <c r="B3" s="5" t="s">
        <v>2</v>
      </c>
      <c r="C3" s="6" t="s">
        <v>3</v>
      </c>
      <c r="D3" s="6" t="s">
        <v>4</v>
      </c>
      <c r="E3" s="6" t="s">
        <v>846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15</v>
      </c>
      <c r="AB3" s="6" t="s">
        <v>16</v>
      </c>
      <c r="AC3" s="6" t="s">
        <v>17</v>
      </c>
      <c r="AD3" s="6" t="s">
        <v>18</v>
      </c>
      <c r="AE3" s="7" t="s">
        <v>19</v>
      </c>
      <c r="AF3" s="7" t="s">
        <v>20</v>
      </c>
      <c r="AG3" s="8" t="s">
        <v>21</v>
      </c>
      <c r="AH3" s="8" t="s">
        <v>22</v>
      </c>
      <c r="AI3" s="8" t="s">
        <v>23</v>
      </c>
      <c r="AJ3" s="8" t="s">
        <v>24</v>
      </c>
      <c r="AK3" s="50" t="s">
        <v>25</v>
      </c>
      <c r="AL3" s="10" t="s">
        <v>845</v>
      </c>
      <c r="AM3" s="9" t="s">
        <v>26</v>
      </c>
      <c r="AN3" s="10" t="s">
        <v>27</v>
      </c>
      <c r="AO3" s="9" t="s">
        <v>27</v>
      </c>
      <c r="AP3" s="50" t="s">
        <v>844</v>
      </c>
      <c r="AQ3" s="10" t="s">
        <v>843</v>
      </c>
      <c r="AR3" s="9" t="s">
        <v>28</v>
      </c>
      <c r="AS3" s="9" t="s">
        <v>29</v>
      </c>
      <c r="AT3" s="9" t="s">
        <v>30</v>
      </c>
      <c r="AU3" s="9" t="s">
        <v>31</v>
      </c>
      <c r="AV3" s="9" t="s">
        <v>32</v>
      </c>
      <c r="AW3" s="9" t="s">
        <v>33</v>
      </c>
      <c r="AX3" s="10" t="s">
        <v>34</v>
      </c>
      <c r="AY3" s="10" t="s">
        <v>35</v>
      </c>
      <c r="AZ3" s="10" t="s">
        <v>36</v>
      </c>
      <c r="BA3" s="10" t="s">
        <v>37</v>
      </c>
      <c r="BB3" s="10" t="s">
        <v>38</v>
      </c>
      <c r="BC3" s="10" t="s">
        <v>39</v>
      </c>
      <c r="BD3" s="10" t="s">
        <v>40</v>
      </c>
      <c r="BE3" s="10" t="s">
        <v>842</v>
      </c>
      <c r="BF3" s="11" t="s">
        <v>42</v>
      </c>
      <c r="BG3" s="11"/>
      <c r="BH3" s="34" t="s">
        <v>841</v>
      </c>
    </row>
    <row r="4" spans="1:68" s="1" customFormat="1" x14ac:dyDescent="0.3">
      <c r="A4" s="12" t="s">
        <v>840</v>
      </c>
      <c r="B4" s="12">
        <v>102011</v>
      </c>
      <c r="C4" s="13" t="s">
        <v>839</v>
      </c>
      <c r="D4" s="13" t="s">
        <v>53</v>
      </c>
      <c r="E4" s="14">
        <v>1070</v>
      </c>
      <c r="F4" s="15" t="s">
        <v>137</v>
      </c>
      <c r="G4" s="6">
        <v>2593</v>
      </c>
      <c r="H4" s="6">
        <v>2402</v>
      </c>
      <c r="I4" s="6">
        <v>2242</v>
      </c>
      <c r="J4" s="6">
        <v>3012</v>
      </c>
      <c r="K4" s="6">
        <v>2982</v>
      </c>
      <c r="L4" s="6">
        <v>2742</v>
      </c>
      <c r="M4" s="6">
        <v>2950</v>
      </c>
      <c r="N4" s="6">
        <v>2525</v>
      </c>
      <c r="O4" s="6">
        <v>1082</v>
      </c>
      <c r="P4" s="6">
        <v>1558</v>
      </c>
      <c r="Q4" s="6">
        <v>2542</v>
      </c>
      <c r="R4" s="6">
        <v>2638</v>
      </c>
      <c r="S4" s="6">
        <v>3060</v>
      </c>
      <c r="T4" s="6">
        <v>2245</v>
      </c>
      <c r="U4" s="6">
        <v>3371</v>
      </c>
      <c r="V4" s="6">
        <v>2415</v>
      </c>
      <c r="W4" s="6">
        <v>3221</v>
      </c>
      <c r="X4" s="6">
        <v>1649</v>
      </c>
      <c r="Y4" s="6">
        <v>2741</v>
      </c>
      <c r="Z4" s="6">
        <v>2675</v>
      </c>
      <c r="AA4" s="6">
        <v>1780</v>
      </c>
      <c r="AB4" s="6">
        <v>2012</v>
      </c>
      <c r="AC4" s="6">
        <v>2424</v>
      </c>
      <c r="AD4" s="6">
        <v>2685</v>
      </c>
      <c r="AE4" s="6">
        <v>29268</v>
      </c>
      <c r="AF4" s="6">
        <v>30278</v>
      </c>
      <c r="AG4" s="16">
        <v>59546</v>
      </c>
      <c r="AH4" s="17">
        <v>2439</v>
      </c>
      <c r="AI4" s="17">
        <v>2523.1666666666665</v>
      </c>
      <c r="AJ4" s="17">
        <v>2481.083333333333</v>
      </c>
      <c r="AK4" s="49">
        <v>8.7151454089831257E-3</v>
      </c>
      <c r="AL4" s="48">
        <v>545.00572696462825</v>
      </c>
      <c r="AM4" s="19">
        <v>552.66413392542188</v>
      </c>
      <c r="AN4" s="47">
        <v>0.216000684443343</v>
      </c>
      <c r="AO4" s="20">
        <v>0.22275113717479136</v>
      </c>
      <c r="AP4" s="44">
        <v>3.450867842011747E-2</v>
      </c>
      <c r="AQ4" s="46">
        <v>32397460</v>
      </c>
      <c r="AR4" s="45">
        <v>63714220</v>
      </c>
      <c r="AS4" s="22">
        <v>3.8862770537319992E-2</v>
      </c>
      <c r="AT4" s="22">
        <v>0.1840631354770548</v>
      </c>
      <c r="AU4" s="22" t="s">
        <v>151</v>
      </c>
      <c r="AV4" s="22" t="s">
        <v>157</v>
      </c>
      <c r="AW4" s="22" t="s">
        <v>158</v>
      </c>
      <c r="AX4" s="23">
        <v>4558</v>
      </c>
      <c r="AY4" s="24">
        <v>1.806460136072396</v>
      </c>
      <c r="AZ4" s="23">
        <v>0</v>
      </c>
      <c r="BA4" s="26">
        <v>0</v>
      </c>
      <c r="BB4" s="44" t="s">
        <v>154</v>
      </c>
      <c r="BC4" s="26">
        <v>84.105555555555554</v>
      </c>
      <c r="BD4" s="23">
        <v>30</v>
      </c>
      <c r="BE4" s="26">
        <v>5046.333333333333</v>
      </c>
      <c r="BF4" s="26">
        <v>7569.5</v>
      </c>
      <c r="BG4" s="24"/>
      <c r="BH4" s="1" t="s">
        <v>838</v>
      </c>
      <c r="BI4" s="26">
        <v>11018.551282051281</v>
      </c>
      <c r="BJ4" s="23">
        <v>7.3715197147783146E-4</v>
      </c>
      <c r="BK4" s="26"/>
      <c r="BL4" s="27"/>
      <c r="BN4" s="13"/>
      <c r="BO4" s="43"/>
      <c r="BP4" s="42"/>
    </row>
    <row r="5" spans="1:68" s="1" customFormat="1" x14ac:dyDescent="0.3">
      <c r="A5" s="12" t="s">
        <v>837</v>
      </c>
      <c r="B5" s="12">
        <v>106023</v>
      </c>
      <c r="C5" s="13" t="s">
        <v>836</v>
      </c>
      <c r="D5" s="13" t="s">
        <v>55</v>
      </c>
      <c r="E5" s="14">
        <v>2023</v>
      </c>
      <c r="F5" s="15" t="s">
        <v>137</v>
      </c>
      <c r="G5" s="6">
        <v>1268</v>
      </c>
      <c r="H5" s="6">
        <v>1097</v>
      </c>
      <c r="I5" s="6">
        <v>1306</v>
      </c>
      <c r="J5" s="6">
        <v>831</v>
      </c>
      <c r="K5" s="6">
        <v>1237</v>
      </c>
      <c r="L5" s="6">
        <v>1211</v>
      </c>
      <c r="M5" s="6">
        <v>1329</v>
      </c>
      <c r="N5" s="6">
        <v>1266</v>
      </c>
      <c r="O5" s="6">
        <v>1142</v>
      </c>
      <c r="P5" s="6">
        <v>976</v>
      </c>
      <c r="Q5" s="6">
        <v>1120</v>
      </c>
      <c r="R5" s="6">
        <v>1068</v>
      </c>
      <c r="S5" s="6">
        <v>913</v>
      </c>
      <c r="T5" s="6">
        <v>767</v>
      </c>
      <c r="U5" s="6">
        <v>944</v>
      </c>
      <c r="V5" s="6">
        <v>1060</v>
      </c>
      <c r="W5" s="6">
        <v>993</v>
      </c>
      <c r="X5" s="6">
        <v>914</v>
      </c>
      <c r="Y5" s="6">
        <v>1065</v>
      </c>
      <c r="Z5" s="6">
        <v>1095</v>
      </c>
      <c r="AA5" s="6">
        <v>1016</v>
      </c>
      <c r="AB5" s="6">
        <v>1086</v>
      </c>
      <c r="AC5" s="6">
        <v>827</v>
      </c>
      <c r="AD5" s="6">
        <v>962</v>
      </c>
      <c r="AE5" s="6">
        <v>13851</v>
      </c>
      <c r="AF5" s="6">
        <v>11642</v>
      </c>
      <c r="AG5" s="16">
        <v>25493</v>
      </c>
      <c r="AH5" s="17">
        <v>1154.25</v>
      </c>
      <c r="AI5" s="17">
        <v>970.16666666666663</v>
      </c>
      <c r="AJ5" s="17">
        <v>1062.2083333333333</v>
      </c>
      <c r="AK5" s="49">
        <v>3.3510047840472137E-3</v>
      </c>
      <c r="AL5" s="48">
        <v>103.41165164994533</v>
      </c>
      <c r="AM5" s="19">
        <v>155.80338199339468</v>
      </c>
      <c r="AN5" s="47">
        <v>0.10659163544058958</v>
      </c>
      <c r="AO5" s="20">
        <v>0.14667874192293856</v>
      </c>
      <c r="AP5" s="44">
        <v>-0.15948306981445387</v>
      </c>
      <c r="AQ5" s="46">
        <v>23551766</v>
      </c>
      <c r="AR5" s="45">
        <v>51572339</v>
      </c>
      <c r="AS5" s="22">
        <v>3.1456776472032127E-2</v>
      </c>
      <c r="AT5" s="22">
        <v>0.28895169591518999</v>
      </c>
      <c r="AU5" s="22" t="s">
        <v>151</v>
      </c>
      <c r="AV5" s="22" t="s">
        <v>157</v>
      </c>
      <c r="AW5" s="22" t="s">
        <v>158</v>
      </c>
      <c r="AX5" s="23">
        <v>5328</v>
      </c>
      <c r="AY5" s="24">
        <v>5.4918398900532557</v>
      </c>
      <c r="AZ5" s="23">
        <v>1925</v>
      </c>
      <c r="BA5" s="26">
        <v>1100</v>
      </c>
      <c r="BB5" s="44" t="s">
        <v>154</v>
      </c>
      <c r="BC5" s="26">
        <v>32.338888888888889</v>
      </c>
      <c r="BD5" s="23">
        <v>30</v>
      </c>
      <c r="BE5" s="26">
        <v>1940.3333333333333</v>
      </c>
      <c r="BF5" s="26">
        <v>2910.5</v>
      </c>
      <c r="BG5" s="24"/>
      <c r="BI5" s="26"/>
      <c r="BJ5" s="23"/>
      <c r="BK5" s="26"/>
      <c r="BL5" s="27"/>
      <c r="BN5" s="13"/>
      <c r="BO5" s="43"/>
      <c r="BP5" s="42"/>
    </row>
    <row r="6" spans="1:68" s="1" customFormat="1" x14ac:dyDescent="0.3">
      <c r="A6" s="12" t="s">
        <v>835</v>
      </c>
      <c r="B6" s="12">
        <v>392004</v>
      </c>
      <c r="C6" s="13" t="s">
        <v>834</v>
      </c>
      <c r="D6" s="13" t="s">
        <v>339</v>
      </c>
      <c r="E6" s="14">
        <v>461</v>
      </c>
      <c r="F6" s="15" t="s">
        <v>137</v>
      </c>
      <c r="G6" s="6">
        <v>4419</v>
      </c>
      <c r="H6" s="6">
        <v>4855</v>
      </c>
      <c r="I6" s="6">
        <v>4501</v>
      </c>
      <c r="J6" s="6">
        <v>4753</v>
      </c>
      <c r="K6" s="6">
        <v>5353</v>
      </c>
      <c r="L6" s="6">
        <v>5057</v>
      </c>
      <c r="M6" s="6">
        <v>4418</v>
      </c>
      <c r="N6" s="6">
        <v>4663</v>
      </c>
      <c r="O6" s="6">
        <v>3629</v>
      </c>
      <c r="P6" s="6">
        <v>3085</v>
      </c>
      <c r="Q6" s="6">
        <v>3518</v>
      </c>
      <c r="R6" s="6">
        <v>3883</v>
      </c>
      <c r="S6" s="6">
        <v>3740</v>
      </c>
      <c r="T6" s="6">
        <v>4599</v>
      </c>
      <c r="U6" s="6">
        <v>5096</v>
      </c>
      <c r="V6" s="6">
        <v>5346</v>
      </c>
      <c r="W6" s="6">
        <v>5278</v>
      </c>
      <c r="X6" s="6">
        <v>3385</v>
      </c>
      <c r="Y6" s="6">
        <v>4607</v>
      </c>
      <c r="Z6" s="6">
        <v>4714</v>
      </c>
      <c r="AA6" s="6">
        <v>3981</v>
      </c>
      <c r="AB6" s="6">
        <v>4350</v>
      </c>
      <c r="AC6" s="6">
        <v>3365</v>
      </c>
      <c r="AD6" s="6">
        <v>3875</v>
      </c>
      <c r="AE6" s="6">
        <v>52134</v>
      </c>
      <c r="AF6" s="6">
        <v>52336</v>
      </c>
      <c r="AG6" s="16">
        <v>104470</v>
      </c>
      <c r="AH6" s="17">
        <v>4344.5</v>
      </c>
      <c r="AI6" s="17">
        <v>4361.333333333333</v>
      </c>
      <c r="AJ6" s="17">
        <v>4352.9166666666661</v>
      </c>
      <c r="AK6" s="49">
        <v>1.5064266137939786E-2</v>
      </c>
      <c r="AL6" s="48">
        <v>694.39683877230379</v>
      </c>
      <c r="AM6" s="19">
        <v>672.09018006881092</v>
      </c>
      <c r="AN6" s="47">
        <v>0.15921663988970586</v>
      </c>
      <c r="AO6" s="20">
        <v>0.15439996479038445</v>
      </c>
      <c r="AP6" s="44">
        <v>3.8746307591973829E-3</v>
      </c>
      <c r="AQ6" s="46">
        <v>24126896</v>
      </c>
      <c r="AR6" s="45">
        <v>48160670</v>
      </c>
      <c r="AS6" s="22">
        <v>2.9375813862801595E-2</v>
      </c>
      <c r="AT6" s="22">
        <v>0.31832750977799157</v>
      </c>
      <c r="AU6" s="22" t="s">
        <v>151</v>
      </c>
      <c r="AV6" s="22" t="s">
        <v>157</v>
      </c>
      <c r="AW6" s="22" t="s">
        <v>158</v>
      </c>
      <c r="AX6" s="23">
        <v>5472</v>
      </c>
      <c r="AY6" s="24">
        <v>1.2546621828187099</v>
      </c>
      <c r="AZ6" s="23">
        <v>4800</v>
      </c>
      <c r="BA6" s="26">
        <v>4000</v>
      </c>
      <c r="BB6" s="44" t="s">
        <v>154</v>
      </c>
      <c r="BC6" s="26">
        <v>145.37777777777777</v>
      </c>
      <c r="BD6" s="23">
        <v>30</v>
      </c>
      <c r="BE6" s="26">
        <v>8722.6666666666661</v>
      </c>
      <c r="BF6" s="26">
        <v>13084</v>
      </c>
      <c r="BG6" s="24"/>
      <c r="BH6" s="1" t="s">
        <v>833</v>
      </c>
      <c r="BI6" s="26">
        <v>19323.141025641027</v>
      </c>
      <c r="BJ6" s="23">
        <v>3.3510047840472137E-3</v>
      </c>
      <c r="BK6" s="26"/>
      <c r="BL6" s="27"/>
      <c r="BN6" s="13"/>
      <c r="BO6" s="43"/>
      <c r="BP6" s="42"/>
    </row>
    <row r="7" spans="1:68" s="1" customFormat="1" x14ac:dyDescent="0.3">
      <c r="A7" s="12" t="s">
        <v>832</v>
      </c>
      <c r="B7" s="12">
        <v>209165</v>
      </c>
      <c r="C7" s="13" t="s">
        <v>831</v>
      </c>
      <c r="D7" s="13" t="s">
        <v>137</v>
      </c>
      <c r="E7" s="14">
        <v>9496</v>
      </c>
      <c r="F7" s="15" t="s">
        <v>137</v>
      </c>
      <c r="G7" s="6">
        <v>244</v>
      </c>
      <c r="H7" s="6">
        <v>186</v>
      </c>
      <c r="I7" s="6">
        <v>196</v>
      </c>
      <c r="J7" s="6">
        <v>216</v>
      </c>
      <c r="K7" s="6">
        <v>194</v>
      </c>
      <c r="L7" s="6">
        <v>159</v>
      </c>
      <c r="M7" s="6">
        <v>220</v>
      </c>
      <c r="N7" s="6">
        <v>212</v>
      </c>
      <c r="O7" s="6">
        <v>220</v>
      </c>
      <c r="P7" s="6">
        <v>209</v>
      </c>
      <c r="Q7" s="6">
        <v>205</v>
      </c>
      <c r="R7" s="6">
        <v>195</v>
      </c>
      <c r="S7" s="6">
        <v>261</v>
      </c>
      <c r="T7" s="6">
        <v>164</v>
      </c>
      <c r="U7" s="6">
        <v>204</v>
      </c>
      <c r="V7" s="6">
        <v>206</v>
      </c>
      <c r="W7" s="6">
        <v>241</v>
      </c>
      <c r="X7" s="6">
        <v>208</v>
      </c>
      <c r="Y7" s="6">
        <v>217</v>
      </c>
      <c r="Z7" s="6">
        <v>214</v>
      </c>
      <c r="AA7" s="6">
        <v>176</v>
      </c>
      <c r="AB7" s="6">
        <v>246</v>
      </c>
      <c r="AC7" s="6">
        <v>185</v>
      </c>
      <c r="AD7" s="6">
        <v>222</v>
      </c>
      <c r="AE7" s="6">
        <v>2456</v>
      </c>
      <c r="AF7" s="6">
        <v>2544</v>
      </c>
      <c r="AG7" s="16">
        <v>5000</v>
      </c>
      <c r="AH7" s="17">
        <v>204.66666666666666</v>
      </c>
      <c r="AI7" s="17">
        <v>212</v>
      </c>
      <c r="AJ7" s="17">
        <v>208.33333333333331</v>
      </c>
      <c r="AK7" s="49">
        <v>7.3225873308848234E-4</v>
      </c>
      <c r="AL7" s="48">
        <v>28.559348095437397</v>
      </c>
      <c r="AM7" s="19">
        <v>24.873010808236874</v>
      </c>
      <c r="AN7" s="47">
        <v>0.13471390611055375</v>
      </c>
      <c r="AO7" s="20">
        <v>0.11939045187953701</v>
      </c>
      <c r="AP7" s="44">
        <v>3.5830618892508194E-2</v>
      </c>
      <c r="AQ7" s="46">
        <v>24157824</v>
      </c>
      <c r="AR7" s="45">
        <v>47480000</v>
      </c>
      <c r="AS7" s="22">
        <v>2.8960636183130752E-2</v>
      </c>
      <c r="AT7" s="22">
        <v>0.34728814596112234</v>
      </c>
      <c r="AU7" s="22" t="s">
        <v>151</v>
      </c>
      <c r="AV7" s="22" t="s">
        <v>157</v>
      </c>
      <c r="AW7" s="22" t="s">
        <v>158</v>
      </c>
      <c r="AX7" s="23">
        <v>361</v>
      </c>
      <c r="AY7" s="24">
        <v>1.7028301886792452</v>
      </c>
      <c r="AZ7" s="23">
        <v>368</v>
      </c>
      <c r="BA7" s="26">
        <v>210</v>
      </c>
      <c r="BB7" s="44" t="s">
        <v>154</v>
      </c>
      <c r="BC7" s="26">
        <v>7.0666666666666664</v>
      </c>
      <c r="BD7" s="23">
        <v>30</v>
      </c>
      <c r="BE7" s="26">
        <v>424</v>
      </c>
      <c r="BF7" s="26">
        <v>636</v>
      </c>
      <c r="BG7" s="24"/>
      <c r="BI7" s="26"/>
      <c r="BJ7" s="23"/>
      <c r="BK7" s="26"/>
      <c r="BL7" s="27"/>
      <c r="BN7" s="13"/>
      <c r="BO7" s="43"/>
      <c r="BP7" s="42"/>
    </row>
    <row r="8" spans="1:68" s="1" customFormat="1" x14ac:dyDescent="0.3">
      <c r="A8" s="12" t="s">
        <v>830</v>
      </c>
      <c r="B8" s="12">
        <v>106032</v>
      </c>
      <c r="C8" s="13" t="s">
        <v>829</v>
      </c>
      <c r="D8" s="13" t="s">
        <v>44</v>
      </c>
      <c r="E8" s="14">
        <v>200</v>
      </c>
      <c r="F8" s="15" t="s">
        <v>137</v>
      </c>
      <c r="G8" s="6">
        <v>12257</v>
      </c>
      <c r="H8" s="6">
        <v>10347</v>
      </c>
      <c r="I8" s="6">
        <v>11729</v>
      </c>
      <c r="J8" s="6">
        <v>9829</v>
      </c>
      <c r="K8" s="6">
        <v>8450</v>
      </c>
      <c r="L8" s="6">
        <v>8530</v>
      </c>
      <c r="M8" s="6">
        <v>9518</v>
      </c>
      <c r="N8" s="6">
        <v>11005</v>
      </c>
      <c r="O8" s="6">
        <v>8835</v>
      </c>
      <c r="P8" s="6">
        <v>8209</v>
      </c>
      <c r="Q8" s="6">
        <v>9889</v>
      </c>
      <c r="R8" s="6">
        <v>9897</v>
      </c>
      <c r="S8" s="6">
        <v>8803</v>
      </c>
      <c r="T8" s="6">
        <v>7497</v>
      </c>
      <c r="U8" s="6">
        <v>8290</v>
      </c>
      <c r="V8" s="6">
        <v>10867</v>
      </c>
      <c r="W8" s="6">
        <v>9213</v>
      </c>
      <c r="X8" s="6">
        <v>9541</v>
      </c>
      <c r="Y8" s="6">
        <v>9558</v>
      </c>
      <c r="Z8" s="6">
        <v>8332</v>
      </c>
      <c r="AA8" s="6">
        <v>8072</v>
      </c>
      <c r="AB8" s="6">
        <v>10670</v>
      </c>
      <c r="AC8" s="6">
        <v>7740</v>
      </c>
      <c r="AD8" s="6">
        <v>10092</v>
      </c>
      <c r="AE8" s="6">
        <v>118495</v>
      </c>
      <c r="AF8" s="6">
        <v>108675</v>
      </c>
      <c r="AG8" s="16">
        <v>227170</v>
      </c>
      <c r="AH8" s="17">
        <v>9874.5833333333339</v>
      </c>
      <c r="AI8" s="17">
        <v>9056.25</v>
      </c>
      <c r="AJ8" s="17">
        <v>9465.4166666666679</v>
      </c>
      <c r="AK8" s="49">
        <v>3.1280745997795137E-2</v>
      </c>
      <c r="AL8" s="48">
        <v>1119.0671541308616</v>
      </c>
      <c r="AM8" s="19">
        <v>1255.1011362909555</v>
      </c>
      <c r="AN8" s="47">
        <v>0.12356849182949473</v>
      </c>
      <c r="AO8" s="20">
        <v>0.13259861456610877</v>
      </c>
      <c r="AP8" s="44">
        <v>-8.2872695050424119E-2</v>
      </c>
      <c r="AQ8" s="46">
        <v>21735000</v>
      </c>
      <c r="AR8" s="45">
        <v>45434000</v>
      </c>
      <c r="AS8" s="22">
        <v>2.7712669425955405E-2</v>
      </c>
      <c r="AT8" s="22">
        <v>0.37500081538707775</v>
      </c>
      <c r="AU8" s="22" t="s">
        <v>151</v>
      </c>
      <c r="AV8" s="22" t="s">
        <v>157</v>
      </c>
      <c r="AW8" s="22" t="s">
        <v>158</v>
      </c>
      <c r="AX8" s="23">
        <v>23069</v>
      </c>
      <c r="AY8" s="24">
        <v>2.5473015873015874</v>
      </c>
      <c r="AZ8" s="23">
        <v>17325</v>
      </c>
      <c r="BA8" s="26">
        <v>9900</v>
      </c>
      <c r="BB8" s="44" t="s">
        <v>154</v>
      </c>
      <c r="BC8" s="26">
        <v>301.875</v>
      </c>
      <c r="BD8" s="23">
        <v>30</v>
      </c>
      <c r="BE8" s="26">
        <v>18112.5</v>
      </c>
      <c r="BF8" s="26">
        <v>27168.75</v>
      </c>
      <c r="BG8" s="24"/>
      <c r="BH8" s="1" t="s">
        <v>828</v>
      </c>
      <c r="BI8" s="26">
        <v>42037.60256410257</v>
      </c>
      <c r="BJ8" s="23">
        <v>7.3225873308848234E-4</v>
      </c>
      <c r="BK8" s="26"/>
      <c r="BL8" s="27"/>
      <c r="BN8" s="13"/>
      <c r="BO8" s="43"/>
      <c r="BP8" s="42"/>
    </row>
    <row r="9" spans="1:68" s="1" customFormat="1" x14ac:dyDescent="0.3">
      <c r="A9" s="12" t="s">
        <v>827</v>
      </c>
      <c r="B9" s="12">
        <v>102027</v>
      </c>
      <c r="C9" s="13" t="s">
        <v>826</v>
      </c>
      <c r="D9" s="13" t="s">
        <v>62</v>
      </c>
      <c r="E9" s="14">
        <v>3808</v>
      </c>
      <c r="F9" s="15" t="s">
        <v>137</v>
      </c>
      <c r="G9" s="6">
        <v>493</v>
      </c>
      <c r="H9" s="6">
        <v>391</v>
      </c>
      <c r="I9" s="6">
        <v>477</v>
      </c>
      <c r="J9" s="6">
        <v>600</v>
      </c>
      <c r="K9" s="6">
        <v>454</v>
      </c>
      <c r="L9" s="6">
        <v>413</v>
      </c>
      <c r="M9" s="6">
        <v>389</v>
      </c>
      <c r="N9" s="6">
        <v>471</v>
      </c>
      <c r="O9" s="6">
        <v>441</v>
      </c>
      <c r="P9" s="6">
        <v>609</v>
      </c>
      <c r="Q9" s="6">
        <v>540</v>
      </c>
      <c r="R9" s="6">
        <v>374</v>
      </c>
      <c r="S9" s="6">
        <v>393</v>
      </c>
      <c r="T9" s="6">
        <v>335</v>
      </c>
      <c r="U9" s="6">
        <v>302</v>
      </c>
      <c r="V9" s="6">
        <v>446</v>
      </c>
      <c r="W9" s="6">
        <v>463</v>
      </c>
      <c r="X9" s="6">
        <v>422</v>
      </c>
      <c r="Y9" s="6">
        <v>418</v>
      </c>
      <c r="Z9" s="6">
        <v>504</v>
      </c>
      <c r="AA9" s="6">
        <v>442</v>
      </c>
      <c r="AB9" s="6">
        <v>559</v>
      </c>
      <c r="AC9" s="6">
        <v>437</v>
      </c>
      <c r="AD9" s="6">
        <v>430</v>
      </c>
      <c r="AE9" s="6">
        <v>5652</v>
      </c>
      <c r="AF9" s="6">
        <v>5151</v>
      </c>
      <c r="AG9" s="16">
        <v>10803</v>
      </c>
      <c r="AH9" s="17">
        <v>471</v>
      </c>
      <c r="AI9" s="17">
        <v>429.25</v>
      </c>
      <c r="AJ9" s="17">
        <v>450.125</v>
      </c>
      <c r="AK9" s="49">
        <v>1.482651231972788E-3</v>
      </c>
      <c r="AL9" s="48">
        <v>67.846249980110443</v>
      </c>
      <c r="AM9" s="19">
        <v>74.933194884858437</v>
      </c>
      <c r="AN9" s="47">
        <v>0.15805765866071159</v>
      </c>
      <c r="AO9" s="20">
        <v>0.16647196864172939</v>
      </c>
      <c r="AP9" s="44">
        <v>-8.8641188959660291E-2</v>
      </c>
      <c r="AQ9" s="46">
        <v>19615008</v>
      </c>
      <c r="AR9" s="45">
        <v>41137824</v>
      </c>
      <c r="AS9" s="22">
        <v>2.5092197856564125E-2</v>
      </c>
      <c r="AT9" s="22">
        <v>0.42535353900345341</v>
      </c>
      <c r="AU9" s="22" t="s">
        <v>151</v>
      </c>
      <c r="AV9" s="22" t="s">
        <v>157</v>
      </c>
      <c r="AW9" s="22" t="s">
        <v>158</v>
      </c>
      <c r="AX9" s="23">
        <v>1362</v>
      </c>
      <c r="AY9" s="24">
        <v>3.1729761211415259</v>
      </c>
      <c r="AZ9" s="23">
        <v>651</v>
      </c>
      <c r="BA9" s="26">
        <v>370</v>
      </c>
      <c r="BB9" s="44" t="s">
        <v>154</v>
      </c>
      <c r="BC9" s="26">
        <v>14.308333333333334</v>
      </c>
      <c r="BD9" s="23">
        <v>30</v>
      </c>
      <c r="BE9" s="26">
        <v>858.5</v>
      </c>
      <c r="BF9" s="26">
        <v>1287.75</v>
      </c>
      <c r="BG9" s="24"/>
      <c r="BH9" s="1" t="s">
        <v>825</v>
      </c>
      <c r="BI9" s="26">
        <v>2013.9423076923076</v>
      </c>
      <c r="BJ9" s="23">
        <v>4.8788465117334024E-4</v>
      </c>
      <c r="BK9" s="26"/>
      <c r="BL9" s="27"/>
      <c r="BN9" s="13"/>
      <c r="BO9" s="43"/>
      <c r="BP9" s="42"/>
    </row>
    <row r="10" spans="1:68" s="1" customFormat="1" x14ac:dyDescent="0.3">
      <c r="A10" s="12" t="s">
        <v>824</v>
      </c>
      <c r="B10" s="12">
        <v>102138</v>
      </c>
      <c r="C10" s="13" t="s">
        <v>823</v>
      </c>
      <c r="D10" s="13" t="s">
        <v>62</v>
      </c>
      <c r="E10" s="14">
        <v>88</v>
      </c>
      <c r="F10" s="15" t="s">
        <v>137</v>
      </c>
      <c r="G10" s="6">
        <v>15171</v>
      </c>
      <c r="H10" s="6">
        <v>13118</v>
      </c>
      <c r="I10" s="6">
        <v>16795</v>
      </c>
      <c r="J10" s="6">
        <v>13329</v>
      </c>
      <c r="K10" s="6">
        <v>17266</v>
      </c>
      <c r="L10" s="6">
        <v>15501</v>
      </c>
      <c r="M10" s="6">
        <v>15323</v>
      </c>
      <c r="N10" s="6">
        <v>18412</v>
      </c>
      <c r="O10" s="6">
        <v>16359</v>
      </c>
      <c r="P10" s="6">
        <v>16221</v>
      </c>
      <c r="Q10" s="6">
        <v>15386</v>
      </c>
      <c r="R10" s="6">
        <v>15678</v>
      </c>
      <c r="S10" s="6">
        <v>18868</v>
      </c>
      <c r="T10" s="6">
        <v>14056</v>
      </c>
      <c r="U10" s="6">
        <v>15110</v>
      </c>
      <c r="V10" s="6">
        <v>16365</v>
      </c>
      <c r="W10" s="6">
        <v>15064</v>
      </c>
      <c r="X10" s="6">
        <v>14640</v>
      </c>
      <c r="Y10" s="6">
        <v>17219</v>
      </c>
      <c r="Z10" s="6">
        <v>16826</v>
      </c>
      <c r="AA10" s="6">
        <v>13158</v>
      </c>
      <c r="AB10" s="6">
        <v>18886</v>
      </c>
      <c r="AC10" s="6">
        <v>14871</v>
      </c>
      <c r="AD10" s="6">
        <v>17121</v>
      </c>
      <c r="AE10" s="6">
        <v>188559</v>
      </c>
      <c r="AF10" s="6">
        <v>192184</v>
      </c>
      <c r="AG10" s="16">
        <v>380743</v>
      </c>
      <c r="AH10" s="17">
        <v>15713.25</v>
      </c>
      <c r="AI10" s="17">
        <v>16015.333333333334</v>
      </c>
      <c r="AJ10" s="17">
        <v>15864.291666666668</v>
      </c>
      <c r="AK10" s="49">
        <v>5.5317772154039664E-2</v>
      </c>
      <c r="AL10" s="48">
        <v>1828.0202571651241</v>
      </c>
      <c r="AM10" s="19">
        <v>1640.0519737036573</v>
      </c>
      <c r="AN10" s="47">
        <v>0.11414188010438689</v>
      </c>
      <c r="AO10" s="20">
        <v>0.10338009462784023</v>
      </c>
      <c r="AP10" s="44">
        <v>1.9224751934407838E-2</v>
      </c>
      <c r="AQ10" s="46">
        <v>16912192</v>
      </c>
      <c r="AR10" s="45">
        <v>33505384</v>
      </c>
      <c r="AS10" s="22">
        <v>2.0436757291493055E-2</v>
      </c>
      <c r="AT10" s="22">
        <v>0.48985687472563827</v>
      </c>
      <c r="AU10" s="22" t="s">
        <v>151</v>
      </c>
      <c r="AV10" s="22" t="s">
        <v>157</v>
      </c>
      <c r="AW10" s="22" t="s">
        <v>158</v>
      </c>
      <c r="AX10" s="23">
        <v>26912</v>
      </c>
      <c r="AY10" s="24">
        <v>1.6803896266078342</v>
      </c>
      <c r="AZ10" s="23">
        <v>28875</v>
      </c>
      <c r="BA10" s="26">
        <v>16500</v>
      </c>
      <c r="BB10" s="44" t="s">
        <v>154</v>
      </c>
      <c r="BC10" s="26">
        <v>533.84444444444443</v>
      </c>
      <c r="BD10" s="23">
        <v>30</v>
      </c>
      <c r="BE10" s="26">
        <v>32030.666666666664</v>
      </c>
      <c r="BF10" s="26">
        <v>48046</v>
      </c>
      <c r="BG10" s="24"/>
      <c r="BI10" s="26"/>
      <c r="BJ10" s="23"/>
      <c r="BK10" s="26"/>
      <c r="BL10" s="27"/>
      <c r="BN10" s="13"/>
      <c r="BO10" s="43"/>
      <c r="BP10" s="42"/>
    </row>
    <row r="11" spans="1:68" s="1" customFormat="1" x14ac:dyDescent="0.3">
      <c r="A11" s="12" t="s">
        <v>822</v>
      </c>
      <c r="B11" s="12">
        <v>105019</v>
      </c>
      <c r="C11" s="13" t="s">
        <v>821</v>
      </c>
      <c r="D11" s="13" t="s">
        <v>62</v>
      </c>
      <c r="E11" s="14">
        <v>1952</v>
      </c>
      <c r="F11" s="15" t="s">
        <v>137</v>
      </c>
      <c r="G11" s="6">
        <v>360</v>
      </c>
      <c r="H11" s="6">
        <v>390</v>
      </c>
      <c r="I11" s="6">
        <v>528</v>
      </c>
      <c r="J11" s="6">
        <v>510</v>
      </c>
      <c r="K11" s="6">
        <v>407</v>
      </c>
      <c r="L11" s="6">
        <v>390</v>
      </c>
      <c r="M11" s="6">
        <v>285</v>
      </c>
      <c r="N11" s="6">
        <v>467</v>
      </c>
      <c r="O11" s="6">
        <v>380</v>
      </c>
      <c r="P11" s="6">
        <v>298</v>
      </c>
      <c r="Q11" s="6">
        <v>435</v>
      </c>
      <c r="R11" s="6">
        <v>497</v>
      </c>
      <c r="S11" s="6">
        <v>500</v>
      </c>
      <c r="T11" s="6">
        <v>366</v>
      </c>
      <c r="U11" s="6">
        <v>355</v>
      </c>
      <c r="V11" s="6">
        <v>509</v>
      </c>
      <c r="W11" s="6">
        <v>612</v>
      </c>
      <c r="X11" s="6">
        <v>568</v>
      </c>
      <c r="Y11" s="6">
        <v>508</v>
      </c>
      <c r="Z11" s="6">
        <v>525</v>
      </c>
      <c r="AA11" s="6">
        <v>314</v>
      </c>
      <c r="AB11" s="6">
        <v>437</v>
      </c>
      <c r="AC11" s="6">
        <v>345</v>
      </c>
      <c r="AD11" s="6">
        <v>337</v>
      </c>
      <c r="AE11" s="6">
        <v>4947</v>
      </c>
      <c r="AF11" s="6">
        <v>5376</v>
      </c>
      <c r="AG11" s="16">
        <v>10323</v>
      </c>
      <c r="AH11" s="17">
        <v>412.25</v>
      </c>
      <c r="AI11" s="17">
        <v>448</v>
      </c>
      <c r="AJ11" s="17">
        <v>430.125</v>
      </c>
      <c r="AK11" s="49">
        <v>1.5474146812435854E-3</v>
      </c>
      <c r="AL11" s="48">
        <v>101.6366075781753</v>
      </c>
      <c r="AM11" s="19">
        <v>90.645661063093456</v>
      </c>
      <c r="AN11" s="47">
        <v>0.22686742762985559</v>
      </c>
      <c r="AO11" s="20">
        <v>0.2107426005535448</v>
      </c>
      <c r="AP11" s="44">
        <v>8.6719223771983017E-2</v>
      </c>
      <c r="AQ11" s="46">
        <v>10493952</v>
      </c>
      <c r="AR11" s="45">
        <v>20150496</v>
      </c>
      <c r="AS11" s="22">
        <v>1.2290884236849863E-2</v>
      </c>
      <c r="AT11" s="22">
        <v>0.5992882488638499</v>
      </c>
      <c r="AU11" s="22" t="s">
        <v>151</v>
      </c>
      <c r="AV11" s="22" t="s">
        <v>157</v>
      </c>
      <c r="AW11" s="22" t="s">
        <v>158</v>
      </c>
      <c r="AX11" s="23">
        <v>1890</v>
      </c>
      <c r="AY11" s="24">
        <v>4.21875</v>
      </c>
      <c r="AZ11" s="23">
        <v>620</v>
      </c>
      <c r="BA11" s="26">
        <v>354</v>
      </c>
      <c r="BB11" s="44" t="s">
        <v>154</v>
      </c>
      <c r="BC11" s="26">
        <v>14.933333333333334</v>
      </c>
      <c r="BD11" s="23">
        <v>30</v>
      </c>
      <c r="BE11" s="26">
        <v>896</v>
      </c>
      <c r="BF11" s="26">
        <v>1344</v>
      </c>
      <c r="BG11" s="24"/>
      <c r="BI11" s="26"/>
      <c r="BJ11" s="23"/>
      <c r="BK11" s="26"/>
      <c r="BL11" s="27"/>
      <c r="BN11" s="13"/>
      <c r="BO11" s="43"/>
      <c r="BP11" s="42"/>
    </row>
    <row r="12" spans="1:68" s="1" customFormat="1" x14ac:dyDescent="0.3">
      <c r="A12" s="12" t="s">
        <v>820</v>
      </c>
      <c r="B12" s="12">
        <v>101033</v>
      </c>
      <c r="C12" s="13" t="s">
        <v>819</v>
      </c>
      <c r="D12" s="13" t="s">
        <v>53</v>
      </c>
      <c r="E12" s="14">
        <v>18</v>
      </c>
      <c r="F12" s="15" t="s">
        <v>137</v>
      </c>
      <c r="G12" s="6">
        <v>40856</v>
      </c>
      <c r="H12" s="6">
        <v>38194</v>
      </c>
      <c r="I12" s="6">
        <v>42879.35</v>
      </c>
      <c r="J12" s="6">
        <v>42498</v>
      </c>
      <c r="K12" s="6">
        <v>43471</v>
      </c>
      <c r="L12" s="6">
        <v>43865</v>
      </c>
      <c r="M12" s="6">
        <v>44694</v>
      </c>
      <c r="N12" s="6">
        <v>48137</v>
      </c>
      <c r="O12" s="6">
        <v>44769</v>
      </c>
      <c r="P12" s="6">
        <v>44458</v>
      </c>
      <c r="Q12" s="6">
        <v>46568</v>
      </c>
      <c r="R12" s="6">
        <v>46826</v>
      </c>
      <c r="S12" s="6">
        <v>45963</v>
      </c>
      <c r="T12" s="6">
        <v>42153</v>
      </c>
      <c r="U12" s="6">
        <v>47482</v>
      </c>
      <c r="V12" s="6">
        <v>45481.65</v>
      </c>
      <c r="W12" s="6">
        <v>49836</v>
      </c>
      <c r="X12" s="6">
        <v>45617</v>
      </c>
      <c r="Y12" s="6">
        <v>45708</v>
      </c>
      <c r="Z12" s="6">
        <v>47575</v>
      </c>
      <c r="AA12" s="6">
        <v>42979</v>
      </c>
      <c r="AB12" s="6">
        <v>46857</v>
      </c>
      <c r="AC12" s="6">
        <v>44787</v>
      </c>
      <c r="AD12" s="6">
        <v>46373</v>
      </c>
      <c r="AE12" s="6">
        <v>527215.35</v>
      </c>
      <c r="AF12" s="6">
        <v>550811.65</v>
      </c>
      <c r="AG12" s="16">
        <v>1078027</v>
      </c>
      <c r="AH12" s="17">
        <v>43934.612499999996</v>
      </c>
      <c r="AI12" s="17">
        <v>45900.970833333333</v>
      </c>
      <c r="AJ12" s="17">
        <v>44917.791666666664</v>
      </c>
      <c r="AK12" s="49">
        <v>0.15854427712239647</v>
      </c>
      <c r="AL12" s="48">
        <v>2045.9931887448088</v>
      </c>
      <c r="AM12" s="19">
        <v>2550.1729020950152</v>
      </c>
      <c r="AN12" s="47">
        <v>4.4574072216769026E-2</v>
      </c>
      <c r="AO12" s="20">
        <v>5.6774227037245231E-2</v>
      </c>
      <c r="AP12" s="44">
        <v>4.4756473801455227E-2</v>
      </c>
      <c r="AQ12" s="46">
        <v>9914609.7000000011</v>
      </c>
      <c r="AR12" s="45">
        <v>19404486</v>
      </c>
      <c r="AS12" s="22">
        <v>1.1835852134933744E-2</v>
      </c>
      <c r="AT12" s="22">
        <v>0.62335833815806485</v>
      </c>
      <c r="AU12" s="22" t="s">
        <v>151</v>
      </c>
      <c r="AV12" s="22" t="s">
        <v>157</v>
      </c>
      <c r="AW12" s="22" t="s">
        <v>158</v>
      </c>
      <c r="AX12" s="23">
        <v>142733</v>
      </c>
      <c r="AY12" s="24">
        <v>3.1095856451111739</v>
      </c>
      <c r="AZ12" s="23">
        <v>78750</v>
      </c>
      <c r="BA12" s="26">
        <v>45000</v>
      </c>
      <c r="BB12" s="44" t="s">
        <v>154</v>
      </c>
      <c r="BC12" s="26">
        <v>1530.0323611111112</v>
      </c>
      <c r="BD12" s="23">
        <v>30</v>
      </c>
      <c r="BE12" s="26">
        <v>91801.941666666666</v>
      </c>
      <c r="BF12" s="26">
        <v>137702.91250000001</v>
      </c>
      <c r="BG12" s="24"/>
      <c r="BH12" s="1" t="s">
        <v>818</v>
      </c>
      <c r="BI12" s="26">
        <v>201201.66025641022</v>
      </c>
      <c r="BJ12" s="23">
        <v>0.21307286939112349</v>
      </c>
      <c r="BK12" s="26"/>
      <c r="BL12" s="27"/>
      <c r="BN12" s="13"/>
      <c r="BO12" s="43"/>
      <c r="BP12" s="42"/>
    </row>
    <row r="13" spans="1:68" s="1" customFormat="1" x14ac:dyDescent="0.3">
      <c r="A13" s="12" t="s">
        <v>817</v>
      </c>
      <c r="B13" s="12">
        <v>102057</v>
      </c>
      <c r="C13" s="13" t="s">
        <v>816</v>
      </c>
      <c r="D13" s="13" t="s">
        <v>47</v>
      </c>
      <c r="E13" s="14">
        <v>572</v>
      </c>
      <c r="F13" s="15" t="s">
        <v>137</v>
      </c>
      <c r="G13" s="6">
        <v>1373</v>
      </c>
      <c r="H13" s="6">
        <v>1065</v>
      </c>
      <c r="I13" s="6">
        <v>1113</v>
      </c>
      <c r="J13" s="6">
        <v>1029</v>
      </c>
      <c r="K13" s="6">
        <v>802</v>
      </c>
      <c r="L13" s="6">
        <v>1065</v>
      </c>
      <c r="M13" s="6">
        <v>994</v>
      </c>
      <c r="N13" s="6">
        <v>1242</v>
      </c>
      <c r="O13" s="6">
        <v>989</v>
      </c>
      <c r="P13" s="6">
        <v>945</v>
      </c>
      <c r="Q13" s="6">
        <v>943</v>
      </c>
      <c r="R13" s="6">
        <v>999</v>
      </c>
      <c r="S13" s="6">
        <v>642</v>
      </c>
      <c r="T13" s="6">
        <v>853</v>
      </c>
      <c r="U13" s="6">
        <v>1011</v>
      </c>
      <c r="V13" s="6">
        <v>1060</v>
      </c>
      <c r="W13" s="6">
        <v>820</v>
      </c>
      <c r="X13" s="6">
        <v>951</v>
      </c>
      <c r="Y13" s="6">
        <v>896</v>
      </c>
      <c r="Z13" s="6">
        <v>1194</v>
      </c>
      <c r="AA13" s="6">
        <v>1095</v>
      </c>
      <c r="AB13" s="6">
        <v>1727</v>
      </c>
      <c r="AC13" s="6">
        <v>945</v>
      </c>
      <c r="AD13" s="6">
        <v>1351</v>
      </c>
      <c r="AE13" s="6">
        <v>12559</v>
      </c>
      <c r="AF13" s="6">
        <v>12545</v>
      </c>
      <c r="AG13" s="16">
        <v>25104</v>
      </c>
      <c r="AH13" s="17">
        <v>1046.5833333333333</v>
      </c>
      <c r="AI13" s="17">
        <v>1045.4166666666667</v>
      </c>
      <c r="AJ13" s="17">
        <v>1046</v>
      </c>
      <c r="AK13" s="49">
        <v>3.6109220937873472E-3</v>
      </c>
      <c r="AL13" s="48">
        <v>282.16289889911371</v>
      </c>
      <c r="AM13" s="19">
        <v>220.19082633025383</v>
      </c>
      <c r="AN13" s="47">
        <v>0.26990472592980186</v>
      </c>
      <c r="AO13" s="20">
        <v>0.21050748215129428</v>
      </c>
      <c r="AP13" s="44">
        <v>-1.1147384345885963E-3</v>
      </c>
      <c r="AQ13" s="46">
        <v>7175740</v>
      </c>
      <c r="AR13" s="45">
        <v>14359488</v>
      </c>
      <c r="AS13" s="22">
        <v>8.7586332717782614E-3</v>
      </c>
      <c r="AT13" s="22">
        <v>0.68277404339659076</v>
      </c>
      <c r="AU13" s="22" t="s">
        <v>151</v>
      </c>
      <c r="AV13" s="22" t="s">
        <v>157</v>
      </c>
      <c r="AW13" s="22" t="s">
        <v>158</v>
      </c>
      <c r="AX13" s="23">
        <v>601</v>
      </c>
      <c r="AY13" s="24">
        <v>0.57489039457951374</v>
      </c>
      <c r="AZ13" s="23">
        <v>2540</v>
      </c>
      <c r="BA13" s="26">
        <v>627</v>
      </c>
      <c r="BB13" s="44" t="s">
        <v>198</v>
      </c>
      <c r="BC13" s="26">
        <v>34.847222222222221</v>
      </c>
      <c r="BD13" s="23">
        <v>30</v>
      </c>
      <c r="BE13" s="26">
        <v>2090.8333333333335</v>
      </c>
      <c r="BF13" s="26">
        <v>3136.25</v>
      </c>
      <c r="BG13" s="24"/>
      <c r="BI13" s="26"/>
      <c r="BJ13" s="23"/>
      <c r="BK13" s="26"/>
      <c r="BL13" s="27"/>
      <c r="BN13" s="13"/>
      <c r="BO13" s="43"/>
      <c r="BP13" s="42"/>
    </row>
    <row r="14" spans="1:68" s="1" customFormat="1" x14ac:dyDescent="0.3">
      <c r="A14" s="12" t="s">
        <v>815</v>
      </c>
      <c r="B14" s="12">
        <v>108024</v>
      </c>
      <c r="C14" s="13" t="s">
        <v>814</v>
      </c>
      <c r="D14" s="13" t="s">
        <v>62</v>
      </c>
      <c r="E14" s="14">
        <v>470</v>
      </c>
      <c r="F14" s="15" t="s">
        <v>137</v>
      </c>
      <c r="G14" s="6">
        <v>1617</v>
      </c>
      <c r="H14" s="6">
        <v>897</v>
      </c>
      <c r="I14" s="6">
        <v>1562</v>
      </c>
      <c r="J14" s="6">
        <v>1362</v>
      </c>
      <c r="K14" s="6">
        <v>1342</v>
      </c>
      <c r="L14" s="6">
        <v>1619</v>
      </c>
      <c r="M14" s="6">
        <v>1244</v>
      </c>
      <c r="N14" s="6">
        <v>1244</v>
      </c>
      <c r="O14" s="6">
        <v>1143</v>
      </c>
      <c r="P14" s="6">
        <v>1131</v>
      </c>
      <c r="Q14" s="6">
        <v>811</v>
      </c>
      <c r="R14" s="6">
        <v>1322</v>
      </c>
      <c r="S14" s="6">
        <v>1200</v>
      </c>
      <c r="T14" s="6">
        <v>1101</v>
      </c>
      <c r="U14" s="6">
        <v>1305</v>
      </c>
      <c r="V14" s="6">
        <v>1296</v>
      </c>
      <c r="W14" s="6">
        <v>1283</v>
      </c>
      <c r="X14" s="6">
        <v>946</v>
      </c>
      <c r="Y14" s="6">
        <v>1786</v>
      </c>
      <c r="Z14" s="6">
        <v>1249</v>
      </c>
      <c r="AA14" s="6">
        <v>745</v>
      </c>
      <c r="AB14" s="6">
        <v>1421</v>
      </c>
      <c r="AC14" s="6">
        <v>1345</v>
      </c>
      <c r="AD14" s="6">
        <v>1127</v>
      </c>
      <c r="AE14" s="6">
        <v>15294</v>
      </c>
      <c r="AF14" s="6">
        <v>14804</v>
      </c>
      <c r="AG14" s="16">
        <v>30098</v>
      </c>
      <c r="AH14" s="17">
        <v>1274.5</v>
      </c>
      <c r="AI14" s="17">
        <v>1233.6666666666667</v>
      </c>
      <c r="AJ14" s="17">
        <v>1254.0833333333335</v>
      </c>
      <c r="AK14" s="49">
        <v>4.2611471244661534E-3</v>
      </c>
      <c r="AL14" s="48">
        <v>255.10473190912072</v>
      </c>
      <c r="AM14" s="19">
        <v>251.60889537511221</v>
      </c>
      <c r="AN14" s="47">
        <v>0.20678578647051124</v>
      </c>
      <c r="AO14" s="20">
        <v>0.20063171935021237</v>
      </c>
      <c r="AP14" s="44">
        <v>-3.2038707990061401E-2</v>
      </c>
      <c r="AQ14" s="46">
        <v>6957880</v>
      </c>
      <c r="AR14" s="45">
        <v>14146060</v>
      </c>
      <c r="AS14" s="22">
        <v>8.6284519183811841E-3</v>
      </c>
      <c r="AT14" s="22">
        <v>0.69140249531497189</v>
      </c>
      <c r="AU14" s="22" t="s">
        <v>151</v>
      </c>
      <c r="AV14" s="22" t="s">
        <v>157</v>
      </c>
      <c r="AW14" s="22" t="s">
        <v>158</v>
      </c>
      <c r="AX14" s="23">
        <v>2455</v>
      </c>
      <c r="AY14" s="24">
        <v>1.9900027019724398</v>
      </c>
      <c r="AZ14" s="23">
        <v>1400</v>
      </c>
      <c r="BA14" s="26">
        <v>1200</v>
      </c>
      <c r="BB14" s="44" t="s">
        <v>154</v>
      </c>
      <c r="BC14" s="26">
        <v>41.122222222222227</v>
      </c>
      <c r="BD14" s="23">
        <v>30</v>
      </c>
      <c r="BE14" s="26">
        <v>2467.3333333333335</v>
      </c>
      <c r="BF14" s="26">
        <v>3701</v>
      </c>
      <c r="BG14" s="24"/>
      <c r="BI14" s="26"/>
      <c r="BJ14" s="23"/>
      <c r="BK14" s="26"/>
      <c r="BL14" s="27"/>
      <c r="BN14" s="13"/>
      <c r="BO14" s="43"/>
      <c r="BP14" s="42"/>
    </row>
    <row r="15" spans="1:68" s="1" customFormat="1" x14ac:dyDescent="0.3">
      <c r="A15" s="12" t="s">
        <v>813</v>
      </c>
      <c r="B15" s="12">
        <v>104019</v>
      </c>
      <c r="C15" s="13" t="s">
        <v>812</v>
      </c>
      <c r="D15" s="13" t="s">
        <v>53</v>
      </c>
      <c r="E15" s="14">
        <v>40</v>
      </c>
      <c r="F15" s="15" t="s">
        <v>137</v>
      </c>
      <c r="G15" s="6">
        <v>11173</v>
      </c>
      <c r="H15" s="6">
        <v>10667</v>
      </c>
      <c r="I15" s="6">
        <v>11651</v>
      </c>
      <c r="J15" s="6">
        <v>10272</v>
      </c>
      <c r="K15" s="6">
        <v>11246</v>
      </c>
      <c r="L15" s="6">
        <v>10470</v>
      </c>
      <c r="M15" s="6">
        <v>10970</v>
      </c>
      <c r="N15" s="6">
        <v>12621</v>
      </c>
      <c r="O15" s="6">
        <v>11488</v>
      </c>
      <c r="P15" s="6">
        <v>11278</v>
      </c>
      <c r="Q15" s="6">
        <v>12020</v>
      </c>
      <c r="R15" s="6">
        <v>8688</v>
      </c>
      <c r="S15" s="6">
        <v>10449</v>
      </c>
      <c r="T15" s="6">
        <v>8734</v>
      </c>
      <c r="U15" s="6">
        <v>9945</v>
      </c>
      <c r="V15" s="6">
        <v>12939</v>
      </c>
      <c r="W15" s="6">
        <v>13250</v>
      </c>
      <c r="X15" s="6">
        <v>10237</v>
      </c>
      <c r="Y15" s="6">
        <v>13272</v>
      </c>
      <c r="Z15" s="6">
        <v>13549</v>
      </c>
      <c r="AA15" s="6">
        <v>9883</v>
      </c>
      <c r="AB15" s="6">
        <v>13163</v>
      </c>
      <c r="AC15" s="6">
        <v>11185</v>
      </c>
      <c r="AD15" s="6">
        <v>11045</v>
      </c>
      <c r="AE15" s="6">
        <v>132544</v>
      </c>
      <c r="AF15" s="6">
        <v>137651</v>
      </c>
      <c r="AG15" s="16">
        <v>270195</v>
      </c>
      <c r="AH15" s="17">
        <v>11045.333333333334</v>
      </c>
      <c r="AI15" s="17">
        <v>11470.916666666666</v>
      </c>
      <c r="AJ15" s="17">
        <v>11258.125</v>
      </c>
      <c r="AK15" s="49">
        <v>3.9621126913664581E-2</v>
      </c>
      <c r="AL15" s="48">
        <v>1676.4821100004385</v>
      </c>
      <c r="AM15" s="19">
        <v>1363.2491976891092</v>
      </c>
      <c r="AN15" s="47">
        <v>0.14615066595960263</v>
      </c>
      <c r="AO15" s="20">
        <v>0.12109025239008354</v>
      </c>
      <c r="AP15" s="44">
        <v>3.8530601158860339E-2</v>
      </c>
      <c r="AQ15" s="46">
        <v>5506040</v>
      </c>
      <c r="AR15" s="45">
        <v>10807800</v>
      </c>
      <c r="AS15" s="22">
        <v>6.5922654536655547E-3</v>
      </c>
      <c r="AT15" s="22">
        <v>0.72903988534156716</v>
      </c>
      <c r="AU15" s="22" t="s">
        <v>151</v>
      </c>
      <c r="AV15" s="22" t="s">
        <v>157</v>
      </c>
      <c r="AW15" s="22" t="s">
        <v>158</v>
      </c>
      <c r="AX15" s="23">
        <v>46725</v>
      </c>
      <c r="AY15" s="24">
        <v>4.0733449085004834</v>
      </c>
      <c r="AZ15" s="23">
        <v>22091</v>
      </c>
      <c r="BA15" s="26">
        <v>12400</v>
      </c>
      <c r="BB15" s="44" t="s">
        <v>154</v>
      </c>
      <c r="BC15" s="26">
        <v>382.36388888888888</v>
      </c>
      <c r="BD15" s="23">
        <v>30</v>
      </c>
      <c r="BE15" s="26">
        <v>22941.833333333332</v>
      </c>
      <c r="BF15" s="26">
        <v>34412.75</v>
      </c>
      <c r="BG15" s="24"/>
      <c r="BH15" s="1" t="s">
        <v>811</v>
      </c>
      <c r="BI15" s="26">
        <v>50653.096153846156</v>
      </c>
      <c r="BJ15" s="23" t="e">
        <v>#VALUE!</v>
      </c>
      <c r="BK15" s="26"/>
      <c r="BL15" s="27"/>
      <c r="BN15" s="13"/>
      <c r="BO15" s="43"/>
      <c r="BP15" s="42"/>
    </row>
    <row r="16" spans="1:68" s="1" customFormat="1" x14ac:dyDescent="0.3">
      <c r="A16" s="12" t="s">
        <v>810</v>
      </c>
      <c r="B16" s="12">
        <v>108013</v>
      </c>
      <c r="C16" s="13" t="s">
        <v>809</v>
      </c>
      <c r="D16" s="13" t="s">
        <v>339</v>
      </c>
      <c r="E16" s="14">
        <v>536</v>
      </c>
      <c r="F16" s="15" t="s">
        <v>137</v>
      </c>
      <c r="G16" s="6">
        <v>981</v>
      </c>
      <c r="H16" s="6">
        <v>595</v>
      </c>
      <c r="I16" s="6">
        <v>818</v>
      </c>
      <c r="J16" s="6">
        <v>651</v>
      </c>
      <c r="K16" s="6">
        <v>738</v>
      </c>
      <c r="L16" s="6">
        <v>787</v>
      </c>
      <c r="M16" s="6">
        <v>766</v>
      </c>
      <c r="N16" s="6">
        <v>937</v>
      </c>
      <c r="O16" s="6">
        <v>522</v>
      </c>
      <c r="P16" s="6">
        <v>595</v>
      </c>
      <c r="Q16" s="6">
        <v>781</v>
      </c>
      <c r="R16" s="6">
        <v>414</v>
      </c>
      <c r="S16" s="6">
        <v>759</v>
      </c>
      <c r="T16" s="6">
        <v>741</v>
      </c>
      <c r="U16" s="6">
        <v>607</v>
      </c>
      <c r="V16" s="6">
        <v>960</v>
      </c>
      <c r="W16" s="6">
        <v>803</v>
      </c>
      <c r="X16" s="6">
        <v>557</v>
      </c>
      <c r="Y16" s="6">
        <v>702</v>
      </c>
      <c r="Z16" s="6">
        <v>918</v>
      </c>
      <c r="AA16" s="6">
        <v>756</v>
      </c>
      <c r="AB16" s="6">
        <v>838</v>
      </c>
      <c r="AC16" s="6">
        <v>611</v>
      </c>
      <c r="AD16" s="6">
        <v>590</v>
      </c>
      <c r="AE16" s="6">
        <v>8585</v>
      </c>
      <c r="AF16" s="6">
        <v>8842</v>
      </c>
      <c r="AG16" s="16">
        <v>17427</v>
      </c>
      <c r="AH16" s="17">
        <v>715.41666666666663</v>
      </c>
      <c r="AI16" s="17">
        <v>736.83333333333337</v>
      </c>
      <c r="AJ16" s="17">
        <v>726.125</v>
      </c>
      <c r="AK16" s="49">
        <v>2.5450596375661797E-3</v>
      </c>
      <c r="AL16" s="48">
        <v>130.00617700942556</v>
      </c>
      <c r="AM16" s="19">
        <v>146.36651805893194</v>
      </c>
      <c r="AN16" s="47">
        <v>0.17643905497773202</v>
      </c>
      <c r="AO16" s="20">
        <v>0.20157206825124041</v>
      </c>
      <c r="AP16" s="44">
        <v>2.993593476994769E-2</v>
      </c>
      <c r="AQ16" s="46">
        <v>4739312</v>
      </c>
      <c r="AR16" s="45">
        <v>9340872</v>
      </c>
      <c r="AS16" s="22">
        <v>5.697506226309876E-3</v>
      </c>
      <c r="AT16" s="22">
        <v>0.75302703608260169</v>
      </c>
      <c r="AU16" s="22" t="s">
        <v>151</v>
      </c>
      <c r="AV16" s="22" t="s">
        <v>157</v>
      </c>
      <c r="AW16" s="22" t="s">
        <v>158</v>
      </c>
      <c r="AX16" s="23">
        <v>627</v>
      </c>
      <c r="AY16" s="24">
        <v>0.85093870165121011</v>
      </c>
      <c r="AZ16" s="23">
        <v>700</v>
      </c>
      <c r="BA16" s="26">
        <v>500</v>
      </c>
      <c r="BB16" s="44" t="s">
        <v>154</v>
      </c>
      <c r="BC16" s="26">
        <v>24.561111111111114</v>
      </c>
      <c r="BD16" s="23">
        <v>30</v>
      </c>
      <c r="BE16" s="26">
        <v>1473.6666666666667</v>
      </c>
      <c r="BF16" s="26">
        <v>2210.5</v>
      </c>
      <c r="BG16" s="24"/>
      <c r="BI16" s="26"/>
      <c r="BJ16" s="23"/>
      <c r="BK16" s="26"/>
      <c r="BL16" s="27"/>
      <c r="BN16" s="13"/>
      <c r="BO16" s="43"/>
      <c r="BP16" s="42"/>
    </row>
    <row r="17" spans="1:68" s="1" customFormat="1" x14ac:dyDescent="0.3">
      <c r="A17" s="12" t="s">
        <v>808</v>
      </c>
      <c r="B17" s="12">
        <v>101001</v>
      </c>
      <c r="C17" s="13" t="s">
        <v>807</v>
      </c>
      <c r="D17" s="13" t="s">
        <v>44</v>
      </c>
      <c r="E17" s="14">
        <v>2028</v>
      </c>
      <c r="F17" s="15" t="s">
        <v>137</v>
      </c>
      <c r="G17" s="6">
        <v>179</v>
      </c>
      <c r="H17" s="6">
        <v>194</v>
      </c>
      <c r="I17" s="6">
        <v>196</v>
      </c>
      <c r="J17" s="6">
        <v>134</v>
      </c>
      <c r="K17" s="6">
        <v>178</v>
      </c>
      <c r="L17" s="6">
        <v>161</v>
      </c>
      <c r="M17" s="6">
        <v>174</v>
      </c>
      <c r="N17" s="6">
        <v>195</v>
      </c>
      <c r="O17" s="6">
        <v>207</v>
      </c>
      <c r="P17" s="6">
        <v>190</v>
      </c>
      <c r="Q17" s="6">
        <v>217</v>
      </c>
      <c r="R17" s="6">
        <v>179</v>
      </c>
      <c r="S17" s="6">
        <v>235</v>
      </c>
      <c r="T17" s="6">
        <v>162</v>
      </c>
      <c r="U17" s="6">
        <v>143</v>
      </c>
      <c r="V17" s="6">
        <v>196</v>
      </c>
      <c r="W17" s="6">
        <v>202</v>
      </c>
      <c r="X17" s="6">
        <v>170</v>
      </c>
      <c r="Y17" s="6">
        <v>168</v>
      </c>
      <c r="Z17" s="6">
        <v>148</v>
      </c>
      <c r="AA17" s="6">
        <v>144</v>
      </c>
      <c r="AB17" s="6">
        <v>173</v>
      </c>
      <c r="AC17" s="6">
        <v>108</v>
      </c>
      <c r="AD17" s="6">
        <v>148</v>
      </c>
      <c r="AE17" s="6">
        <v>2204</v>
      </c>
      <c r="AF17" s="6">
        <v>1997</v>
      </c>
      <c r="AG17" s="16">
        <v>4201</v>
      </c>
      <c r="AH17" s="17">
        <v>183.66666666666666</v>
      </c>
      <c r="AI17" s="17">
        <v>166.41666666666666</v>
      </c>
      <c r="AJ17" s="17">
        <v>175.04166666666666</v>
      </c>
      <c r="AK17" s="49">
        <v>5.7481159197236603E-4</v>
      </c>
      <c r="AL17" s="48">
        <v>33.118131077411476</v>
      </c>
      <c r="AM17" s="19">
        <v>28.804406617386025</v>
      </c>
      <c r="AN17" s="47">
        <v>0.19900729741058473</v>
      </c>
      <c r="AO17" s="20">
        <v>0.1645574289019911</v>
      </c>
      <c r="AP17" s="44">
        <v>-9.3920145190562618E-2</v>
      </c>
      <c r="AQ17" s="46">
        <v>4049916</v>
      </c>
      <c r="AR17" s="45">
        <v>8519628</v>
      </c>
      <c r="AS17" s="22">
        <v>5.1965848130499977E-3</v>
      </c>
      <c r="AT17" s="22">
        <v>0.78061678139292967</v>
      </c>
      <c r="AU17" s="22" t="s">
        <v>151</v>
      </c>
      <c r="AV17" s="22" t="s">
        <v>157</v>
      </c>
      <c r="AW17" s="22" t="s">
        <v>158</v>
      </c>
      <c r="AX17" s="23">
        <v>476</v>
      </c>
      <c r="AY17" s="24">
        <v>2.8602904356534804</v>
      </c>
      <c r="AZ17" s="23">
        <v>262</v>
      </c>
      <c r="BA17" s="26">
        <v>150</v>
      </c>
      <c r="BB17" s="44" t="s">
        <v>154</v>
      </c>
      <c r="BC17" s="26">
        <v>5.5472222222222216</v>
      </c>
      <c r="BD17" s="23">
        <v>30</v>
      </c>
      <c r="BE17" s="26">
        <v>332.83333333333331</v>
      </c>
      <c r="BF17" s="26">
        <v>499.25</v>
      </c>
      <c r="BG17" s="24"/>
      <c r="BI17" s="26"/>
      <c r="BJ17" s="23"/>
      <c r="BK17" s="26"/>
      <c r="BL17" s="27"/>
      <c r="BN17" s="13"/>
      <c r="BO17" s="43"/>
      <c r="BP17" s="42"/>
    </row>
    <row r="18" spans="1:68" s="1" customFormat="1" x14ac:dyDescent="0.3">
      <c r="A18" s="12" t="s">
        <v>806</v>
      </c>
      <c r="B18" s="12">
        <v>107011</v>
      </c>
      <c r="C18" s="13" t="s">
        <v>805</v>
      </c>
      <c r="D18" s="13" t="s">
        <v>137</v>
      </c>
      <c r="E18" s="14">
        <v>553</v>
      </c>
      <c r="F18" s="15" t="s">
        <v>137</v>
      </c>
      <c r="G18" s="6">
        <v>670</v>
      </c>
      <c r="H18" s="6">
        <v>593</v>
      </c>
      <c r="I18" s="6">
        <v>759</v>
      </c>
      <c r="J18" s="6">
        <v>551</v>
      </c>
      <c r="K18" s="6">
        <v>788</v>
      </c>
      <c r="L18" s="6">
        <v>733</v>
      </c>
      <c r="M18" s="6">
        <v>691</v>
      </c>
      <c r="N18" s="6">
        <v>718</v>
      </c>
      <c r="O18" s="6">
        <v>657</v>
      </c>
      <c r="P18" s="6">
        <v>587</v>
      </c>
      <c r="Q18" s="6">
        <v>503</v>
      </c>
      <c r="R18" s="6">
        <v>547</v>
      </c>
      <c r="S18" s="6">
        <v>647</v>
      </c>
      <c r="T18" s="6">
        <v>462</v>
      </c>
      <c r="U18" s="6">
        <v>557</v>
      </c>
      <c r="V18" s="6">
        <v>616</v>
      </c>
      <c r="W18" s="6">
        <v>565</v>
      </c>
      <c r="X18" s="6">
        <v>717</v>
      </c>
      <c r="Y18" s="6">
        <v>833</v>
      </c>
      <c r="Z18" s="6">
        <v>625</v>
      </c>
      <c r="AA18" s="6">
        <v>450</v>
      </c>
      <c r="AB18" s="6">
        <v>623</v>
      </c>
      <c r="AC18" s="6">
        <v>492</v>
      </c>
      <c r="AD18" s="6">
        <v>669</v>
      </c>
      <c r="AE18" s="6">
        <v>7797</v>
      </c>
      <c r="AF18" s="6">
        <v>7256</v>
      </c>
      <c r="AG18" s="16">
        <v>15053</v>
      </c>
      <c r="AH18" s="17">
        <v>649.75</v>
      </c>
      <c r="AI18" s="17">
        <v>604.66666666666663</v>
      </c>
      <c r="AJ18" s="17">
        <v>627.20833333333326</v>
      </c>
      <c r="AK18" s="49">
        <v>2.0885492795951368E-3</v>
      </c>
      <c r="AL18" s="48">
        <v>109.70152342800108</v>
      </c>
      <c r="AM18" s="19">
        <v>101.80500507328233</v>
      </c>
      <c r="AN18" s="47">
        <v>0.18142479067475373</v>
      </c>
      <c r="AO18" s="20">
        <v>0.1623144968948898</v>
      </c>
      <c r="AP18" s="44">
        <v>-6.9385661151725078E-2</v>
      </c>
      <c r="AQ18" s="46">
        <v>4012568</v>
      </c>
      <c r="AR18" s="45">
        <v>8324309</v>
      </c>
      <c r="AS18" s="22">
        <v>5.0774491243673328E-3</v>
      </c>
      <c r="AT18" s="22">
        <v>0.79086621464840645</v>
      </c>
      <c r="AU18" s="22" t="s">
        <v>151</v>
      </c>
      <c r="AV18" s="22" t="s">
        <v>157</v>
      </c>
      <c r="AW18" s="22" t="s">
        <v>158</v>
      </c>
      <c r="AX18" s="23">
        <v>803</v>
      </c>
      <c r="AY18" s="24">
        <v>1.3280044101433297</v>
      </c>
      <c r="AZ18" s="23">
        <v>1050</v>
      </c>
      <c r="BA18" s="26">
        <v>600</v>
      </c>
      <c r="BB18" s="44" t="s">
        <v>154</v>
      </c>
      <c r="BC18" s="26">
        <v>20.155555555555555</v>
      </c>
      <c r="BD18" s="23">
        <v>30</v>
      </c>
      <c r="BE18" s="26">
        <v>1209.3333333333333</v>
      </c>
      <c r="BF18" s="26">
        <v>1814</v>
      </c>
      <c r="BG18" s="24"/>
      <c r="BI18" s="26"/>
      <c r="BJ18" s="23"/>
      <c r="BK18" s="26"/>
      <c r="BL18" s="27"/>
      <c r="BN18" s="13"/>
      <c r="BO18" s="43"/>
      <c r="BP18" s="42"/>
    </row>
    <row r="19" spans="1:68" s="1" customFormat="1" x14ac:dyDescent="0.3">
      <c r="A19" s="12" t="s">
        <v>804</v>
      </c>
      <c r="B19" s="12">
        <v>106095</v>
      </c>
      <c r="C19" s="13" t="s">
        <v>803</v>
      </c>
      <c r="D19" s="13" t="s">
        <v>47</v>
      </c>
      <c r="E19" s="14">
        <v>869</v>
      </c>
      <c r="F19" s="15" t="s">
        <v>137</v>
      </c>
      <c r="G19" s="6">
        <v>490</v>
      </c>
      <c r="H19" s="6">
        <v>379</v>
      </c>
      <c r="I19" s="6">
        <v>340</v>
      </c>
      <c r="J19" s="6">
        <v>424</v>
      </c>
      <c r="K19" s="6">
        <v>412</v>
      </c>
      <c r="L19" s="6">
        <v>427</v>
      </c>
      <c r="M19" s="6">
        <v>387</v>
      </c>
      <c r="N19" s="6">
        <v>364</v>
      </c>
      <c r="O19" s="6">
        <v>368</v>
      </c>
      <c r="P19" s="6">
        <v>376</v>
      </c>
      <c r="Q19" s="6">
        <v>296</v>
      </c>
      <c r="R19" s="6">
        <v>349</v>
      </c>
      <c r="S19" s="6">
        <v>261</v>
      </c>
      <c r="T19" s="6">
        <v>361</v>
      </c>
      <c r="U19" s="6">
        <v>337</v>
      </c>
      <c r="V19" s="6">
        <v>348</v>
      </c>
      <c r="W19" s="6">
        <v>244</v>
      </c>
      <c r="X19" s="6">
        <v>338</v>
      </c>
      <c r="Y19" s="6">
        <v>331</v>
      </c>
      <c r="Z19" s="6">
        <v>471</v>
      </c>
      <c r="AA19" s="6">
        <v>341</v>
      </c>
      <c r="AB19" s="6">
        <v>583</v>
      </c>
      <c r="AC19" s="6">
        <v>213</v>
      </c>
      <c r="AD19" s="6">
        <v>412</v>
      </c>
      <c r="AE19" s="6">
        <v>4612</v>
      </c>
      <c r="AF19" s="6">
        <v>4240</v>
      </c>
      <c r="AG19" s="16">
        <v>8852</v>
      </c>
      <c r="AH19" s="17">
        <v>384.33333333333331</v>
      </c>
      <c r="AI19" s="17">
        <v>353.33333333333331</v>
      </c>
      <c r="AJ19" s="17">
        <v>368.83333333333331</v>
      </c>
      <c r="AK19" s="49">
        <v>1.2204312218141373E-3</v>
      </c>
      <c r="AL19" s="48">
        <v>100.65542782937818</v>
      </c>
      <c r="AM19" s="19">
        <v>79.218831021454761</v>
      </c>
      <c r="AN19" s="47">
        <v>0.28487385234729679</v>
      </c>
      <c r="AO19" s="20">
        <v>0.2147821898457879</v>
      </c>
      <c r="AP19" s="44">
        <v>-8.0659150043365144E-2</v>
      </c>
      <c r="AQ19" s="46">
        <v>3684560</v>
      </c>
      <c r="AR19" s="45">
        <v>7692388</v>
      </c>
      <c r="AS19" s="22">
        <v>4.6920061130471943E-3</v>
      </c>
      <c r="AT19" s="22">
        <v>0.79555822076145366</v>
      </c>
      <c r="AU19" s="22" t="s">
        <v>151</v>
      </c>
      <c r="AV19" s="22" t="s">
        <v>157</v>
      </c>
      <c r="AW19" s="22" t="s">
        <v>158</v>
      </c>
      <c r="AX19" s="23">
        <v>362</v>
      </c>
      <c r="AY19" s="24">
        <v>1.0245283018867926</v>
      </c>
      <c r="AZ19" s="23">
        <v>840</v>
      </c>
      <c r="BA19" s="26">
        <v>470</v>
      </c>
      <c r="BB19" s="44" t="s">
        <v>198</v>
      </c>
      <c r="BC19" s="26">
        <v>11.777777777777777</v>
      </c>
      <c r="BD19" s="23">
        <v>30</v>
      </c>
      <c r="BE19" s="26">
        <v>706.66666666666663</v>
      </c>
      <c r="BF19" s="26">
        <v>1060</v>
      </c>
      <c r="BG19" s="24"/>
      <c r="BI19" s="26"/>
      <c r="BJ19" s="23"/>
      <c r="BK19" s="26"/>
      <c r="BL19" s="27"/>
      <c r="BN19" s="13"/>
      <c r="BO19" s="43"/>
      <c r="BP19" s="42"/>
    </row>
    <row r="20" spans="1:68" s="1" customFormat="1" x14ac:dyDescent="0.3">
      <c r="A20" s="12" t="s">
        <v>802</v>
      </c>
      <c r="B20" s="12">
        <v>104042</v>
      </c>
      <c r="C20" s="13" t="s">
        <v>801</v>
      </c>
      <c r="D20" s="13" t="s">
        <v>53</v>
      </c>
      <c r="E20" s="14">
        <v>104</v>
      </c>
      <c r="F20" s="15" t="s">
        <v>137</v>
      </c>
      <c r="G20" s="6">
        <v>3355</v>
      </c>
      <c r="H20" s="6">
        <v>3236</v>
      </c>
      <c r="I20" s="6">
        <v>3057</v>
      </c>
      <c r="J20" s="6">
        <v>2356</v>
      </c>
      <c r="K20" s="6">
        <v>3776</v>
      </c>
      <c r="L20" s="6">
        <v>2690</v>
      </c>
      <c r="M20" s="6">
        <v>3401</v>
      </c>
      <c r="N20" s="6">
        <v>3286</v>
      </c>
      <c r="O20" s="6">
        <v>3290</v>
      </c>
      <c r="P20" s="6">
        <v>3309</v>
      </c>
      <c r="Q20" s="6">
        <v>3327</v>
      </c>
      <c r="R20" s="6">
        <v>3686</v>
      </c>
      <c r="S20" s="6">
        <v>3221</v>
      </c>
      <c r="T20" s="6">
        <v>3003</v>
      </c>
      <c r="U20" s="6">
        <v>2655</v>
      </c>
      <c r="V20" s="6">
        <v>3232</v>
      </c>
      <c r="W20" s="6">
        <v>3093</v>
      </c>
      <c r="X20" s="6">
        <v>2775</v>
      </c>
      <c r="Y20" s="6">
        <v>2799</v>
      </c>
      <c r="Z20" s="6">
        <v>3164</v>
      </c>
      <c r="AA20" s="6">
        <v>2223</v>
      </c>
      <c r="AB20" s="6">
        <v>3241</v>
      </c>
      <c r="AC20" s="6">
        <v>2803</v>
      </c>
      <c r="AD20" s="6">
        <v>2180</v>
      </c>
      <c r="AE20" s="6">
        <v>38769</v>
      </c>
      <c r="AF20" s="6">
        <v>34389</v>
      </c>
      <c r="AG20" s="16">
        <v>73158</v>
      </c>
      <c r="AH20" s="17">
        <v>3230.75</v>
      </c>
      <c r="AI20" s="17">
        <v>2865.75</v>
      </c>
      <c r="AJ20" s="17">
        <v>3048.25</v>
      </c>
      <c r="AK20" s="49">
        <v>9.8984455865486713E-3</v>
      </c>
      <c r="AL20" s="48">
        <v>369.89092372555649</v>
      </c>
      <c r="AM20" s="19">
        <v>415.10085207248653</v>
      </c>
      <c r="AN20" s="47">
        <v>0.12907299091880189</v>
      </c>
      <c r="AO20" s="20">
        <v>0.13617677423849309</v>
      </c>
      <c r="AP20" s="44">
        <v>-0.1129768629575176</v>
      </c>
      <c r="AQ20" s="46">
        <v>3576456</v>
      </c>
      <c r="AR20" s="45">
        <v>7608432</v>
      </c>
      <c r="AS20" s="22">
        <v>4.640796779193131E-3</v>
      </c>
      <c r="AT20" s="22">
        <v>0.80019901754064682</v>
      </c>
      <c r="AU20" s="22" t="s">
        <v>179</v>
      </c>
      <c r="AV20" s="22" t="s">
        <v>157</v>
      </c>
      <c r="AW20" s="22" t="s">
        <v>185</v>
      </c>
      <c r="AX20" s="23">
        <v>4487</v>
      </c>
      <c r="AY20" s="24">
        <v>1.5657332286486958</v>
      </c>
      <c r="AZ20" s="23">
        <v>4200</v>
      </c>
      <c r="BA20" s="26">
        <v>2300</v>
      </c>
      <c r="BB20" s="44" t="s">
        <v>154</v>
      </c>
      <c r="BC20" s="26">
        <v>95.525000000000006</v>
      </c>
      <c r="BD20" s="23">
        <v>30</v>
      </c>
      <c r="BE20" s="26">
        <v>5731.5</v>
      </c>
      <c r="BF20" s="26">
        <v>8597.25</v>
      </c>
      <c r="BG20" s="24"/>
      <c r="BI20" s="26"/>
      <c r="BJ20" s="23"/>
      <c r="BK20" s="26"/>
      <c r="BL20" s="27"/>
      <c r="BN20" s="13"/>
      <c r="BO20" s="43"/>
      <c r="BP20" s="42"/>
    </row>
    <row r="21" spans="1:68" s="1" customFormat="1" x14ac:dyDescent="0.3">
      <c r="A21" s="12" t="s">
        <v>800</v>
      </c>
      <c r="B21" s="12">
        <v>209026</v>
      </c>
      <c r="C21" s="13" t="s">
        <v>799</v>
      </c>
      <c r="D21" s="13" t="s">
        <v>44</v>
      </c>
      <c r="E21" s="14">
        <v>213</v>
      </c>
      <c r="F21" s="15" t="s">
        <v>137</v>
      </c>
      <c r="G21" s="6">
        <v>1451</v>
      </c>
      <c r="H21" s="6">
        <v>1440</v>
      </c>
      <c r="I21" s="6">
        <v>2173</v>
      </c>
      <c r="J21" s="6">
        <v>1414</v>
      </c>
      <c r="K21" s="6">
        <v>1357</v>
      </c>
      <c r="L21" s="6">
        <v>1285</v>
      </c>
      <c r="M21" s="6">
        <v>1962</v>
      </c>
      <c r="N21" s="6">
        <v>1439</v>
      </c>
      <c r="O21" s="6">
        <v>1393</v>
      </c>
      <c r="P21" s="6">
        <v>1100</v>
      </c>
      <c r="Q21" s="6">
        <v>1520</v>
      </c>
      <c r="R21" s="6">
        <v>1400</v>
      </c>
      <c r="S21" s="6">
        <v>1334</v>
      </c>
      <c r="T21" s="6">
        <v>1479</v>
      </c>
      <c r="U21" s="6">
        <v>1788</v>
      </c>
      <c r="V21" s="6">
        <v>1580</v>
      </c>
      <c r="W21" s="6">
        <v>1369</v>
      </c>
      <c r="X21" s="6">
        <v>1533</v>
      </c>
      <c r="Y21" s="6">
        <v>1380</v>
      </c>
      <c r="Z21" s="6">
        <v>1366</v>
      </c>
      <c r="AA21" s="6">
        <v>1393</v>
      </c>
      <c r="AB21" s="6">
        <v>1724</v>
      </c>
      <c r="AC21" s="6">
        <v>1139</v>
      </c>
      <c r="AD21" s="6">
        <v>1483</v>
      </c>
      <c r="AE21" s="6">
        <v>17934</v>
      </c>
      <c r="AF21" s="6">
        <v>17568</v>
      </c>
      <c r="AG21" s="16">
        <v>35502</v>
      </c>
      <c r="AH21" s="17">
        <v>1494.5</v>
      </c>
      <c r="AI21" s="17">
        <v>1464</v>
      </c>
      <c r="AJ21" s="17">
        <v>1479.25</v>
      </c>
      <c r="AK21" s="49">
        <v>5.0567301190638592E-3</v>
      </c>
      <c r="AL21" s="48">
        <v>177.00282483621552</v>
      </c>
      <c r="AM21" s="19">
        <v>236.07869911093852</v>
      </c>
      <c r="AN21" s="47">
        <v>0.1209035688771964</v>
      </c>
      <c r="AO21" s="20">
        <v>0.15959350962375426</v>
      </c>
      <c r="AP21" s="44">
        <v>-2.0408163265306121E-2</v>
      </c>
      <c r="AQ21" s="46">
        <v>3741984</v>
      </c>
      <c r="AR21" s="45">
        <v>7561926</v>
      </c>
      <c r="AS21" s="22">
        <v>4.6124302386216761E-3</v>
      </c>
      <c r="AT21" s="22">
        <v>0.8048114477792685</v>
      </c>
      <c r="AU21" s="22" t="s">
        <v>179</v>
      </c>
      <c r="AV21" s="22" t="s">
        <v>157</v>
      </c>
      <c r="AW21" s="22" t="s">
        <v>185</v>
      </c>
      <c r="AX21" s="23">
        <v>5790</v>
      </c>
      <c r="AY21" s="24">
        <v>3.9549180327868854</v>
      </c>
      <c r="AZ21" s="23">
        <v>2400</v>
      </c>
      <c r="BA21" s="26">
        <v>1500</v>
      </c>
      <c r="BB21" s="44" t="s">
        <v>154</v>
      </c>
      <c r="BC21" s="26">
        <v>48.8</v>
      </c>
      <c r="BD21" s="23">
        <v>30</v>
      </c>
      <c r="BE21" s="26">
        <v>2928</v>
      </c>
      <c r="BF21" s="26">
        <v>4392</v>
      </c>
      <c r="BG21" s="24"/>
      <c r="BI21" s="26"/>
      <c r="BJ21" s="23"/>
      <c r="BK21" s="26"/>
      <c r="BL21" s="27"/>
      <c r="BN21" s="13"/>
      <c r="BO21" s="43"/>
      <c r="BP21" s="42"/>
    </row>
    <row r="22" spans="1:68" s="1" customFormat="1" x14ac:dyDescent="0.3">
      <c r="A22" s="12" t="s">
        <v>798</v>
      </c>
      <c r="B22" s="12">
        <v>392005</v>
      </c>
      <c r="C22" s="13" t="s">
        <v>797</v>
      </c>
      <c r="D22" s="13" t="s">
        <v>339</v>
      </c>
      <c r="E22" s="14">
        <v>500</v>
      </c>
      <c r="F22" s="15" t="s">
        <v>137</v>
      </c>
      <c r="G22" s="6">
        <v>636</v>
      </c>
      <c r="H22" s="6">
        <v>478</v>
      </c>
      <c r="I22" s="6">
        <v>589</v>
      </c>
      <c r="J22" s="6">
        <v>601</v>
      </c>
      <c r="K22" s="6">
        <v>825</v>
      </c>
      <c r="L22" s="6">
        <v>825</v>
      </c>
      <c r="M22" s="6">
        <v>659</v>
      </c>
      <c r="N22" s="6">
        <v>713</v>
      </c>
      <c r="O22" s="6">
        <v>426</v>
      </c>
      <c r="P22" s="6">
        <v>673</v>
      </c>
      <c r="Q22" s="6">
        <v>828</v>
      </c>
      <c r="R22" s="6">
        <v>430</v>
      </c>
      <c r="S22" s="6">
        <v>493</v>
      </c>
      <c r="T22" s="6">
        <v>679</v>
      </c>
      <c r="U22" s="6">
        <v>490</v>
      </c>
      <c r="V22" s="6">
        <v>679</v>
      </c>
      <c r="W22" s="6">
        <v>711</v>
      </c>
      <c r="X22" s="6">
        <v>388</v>
      </c>
      <c r="Y22" s="6">
        <v>970</v>
      </c>
      <c r="Z22" s="6">
        <v>663</v>
      </c>
      <c r="AA22" s="6">
        <v>430</v>
      </c>
      <c r="AB22" s="6">
        <v>647</v>
      </c>
      <c r="AC22" s="6">
        <v>701</v>
      </c>
      <c r="AD22" s="6">
        <v>514</v>
      </c>
      <c r="AE22" s="6">
        <v>7683</v>
      </c>
      <c r="AF22" s="6">
        <v>7365</v>
      </c>
      <c r="AG22" s="16">
        <v>15048</v>
      </c>
      <c r="AH22" s="17">
        <v>640.25</v>
      </c>
      <c r="AI22" s="17">
        <v>613.75</v>
      </c>
      <c r="AJ22" s="17">
        <v>627</v>
      </c>
      <c r="AK22" s="49">
        <v>2.1199235727974342E-3</v>
      </c>
      <c r="AL22" s="48">
        <v>159.71629677194954</v>
      </c>
      <c r="AM22" s="19">
        <v>149.73396698667011</v>
      </c>
      <c r="AN22" s="47">
        <v>0.26023021877303387</v>
      </c>
      <c r="AO22" s="20">
        <v>0.23881015468368438</v>
      </c>
      <c r="AP22" s="44">
        <v>-4.1390081999219057E-2</v>
      </c>
      <c r="AQ22" s="46">
        <v>3682500</v>
      </c>
      <c r="AR22" s="45">
        <v>7524000</v>
      </c>
      <c r="AS22" s="22">
        <v>4.589297107031925E-3</v>
      </c>
      <c r="AT22" s="22">
        <v>0.80940074488630043</v>
      </c>
      <c r="AU22" s="22" t="s">
        <v>179</v>
      </c>
      <c r="AV22" s="22" t="s">
        <v>157</v>
      </c>
      <c r="AW22" s="22" t="s">
        <v>185</v>
      </c>
      <c r="AX22" s="23">
        <v>579</v>
      </c>
      <c r="AY22" s="24">
        <v>0.94338085539714867</v>
      </c>
      <c r="AZ22" s="23">
        <v>700</v>
      </c>
      <c r="BA22" s="26">
        <v>500</v>
      </c>
      <c r="BB22" s="44" t="s">
        <v>154</v>
      </c>
      <c r="BC22" s="26">
        <v>20.458333333333332</v>
      </c>
      <c r="BD22" s="23">
        <v>30</v>
      </c>
      <c r="BE22" s="26">
        <v>1227.5</v>
      </c>
      <c r="BF22" s="26">
        <v>1841.25</v>
      </c>
      <c r="BG22" s="24"/>
      <c r="BI22" s="26"/>
      <c r="BJ22" s="23"/>
      <c r="BK22" s="26"/>
      <c r="BL22" s="27"/>
      <c r="BN22" s="13"/>
      <c r="BO22" s="43"/>
      <c r="BP22" s="42"/>
    </row>
    <row r="23" spans="1:68" s="1" customFormat="1" x14ac:dyDescent="0.3">
      <c r="A23" s="12" t="s">
        <v>796</v>
      </c>
      <c r="B23" s="12">
        <v>106058</v>
      </c>
      <c r="C23" s="13" t="s">
        <v>795</v>
      </c>
      <c r="D23" s="13" t="s">
        <v>44</v>
      </c>
      <c r="E23" s="14">
        <v>115</v>
      </c>
      <c r="F23" s="15" t="s">
        <v>137</v>
      </c>
      <c r="G23" s="6">
        <v>2876</v>
      </c>
      <c r="H23" s="6">
        <v>2475</v>
      </c>
      <c r="I23" s="6">
        <v>2977</v>
      </c>
      <c r="J23" s="6">
        <v>2822</v>
      </c>
      <c r="K23" s="6">
        <v>3099</v>
      </c>
      <c r="L23" s="6">
        <v>2561</v>
      </c>
      <c r="M23" s="6">
        <v>2936</v>
      </c>
      <c r="N23" s="6">
        <v>3120</v>
      </c>
      <c r="O23" s="6">
        <v>2683</v>
      </c>
      <c r="P23" s="6">
        <v>2661</v>
      </c>
      <c r="Q23" s="6">
        <v>2478</v>
      </c>
      <c r="R23" s="6">
        <v>2053</v>
      </c>
      <c r="S23" s="6">
        <v>2683</v>
      </c>
      <c r="T23" s="6">
        <v>2298</v>
      </c>
      <c r="U23" s="6">
        <v>2429</v>
      </c>
      <c r="V23" s="6">
        <v>2818</v>
      </c>
      <c r="W23" s="6">
        <v>2547</v>
      </c>
      <c r="X23" s="6">
        <v>2247</v>
      </c>
      <c r="Y23" s="6">
        <v>2608</v>
      </c>
      <c r="Z23" s="6">
        <v>2579</v>
      </c>
      <c r="AA23" s="6">
        <v>2438</v>
      </c>
      <c r="AB23" s="6">
        <v>2860</v>
      </c>
      <c r="AC23" s="6">
        <v>2718</v>
      </c>
      <c r="AD23" s="6">
        <v>2886</v>
      </c>
      <c r="AE23" s="6">
        <v>32741</v>
      </c>
      <c r="AF23" s="6">
        <v>31111</v>
      </c>
      <c r="AG23" s="16">
        <v>63852</v>
      </c>
      <c r="AH23" s="17">
        <v>2728.4166666666665</v>
      </c>
      <c r="AI23" s="17">
        <v>2592.5833333333335</v>
      </c>
      <c r="AJ23" s="17">
        <v>2660.5</v>
      </c>
      <c r="AK23" s="49">
        <v>8.9549140900612324E-3</v>
      </c>
      <c r="AL23" s="48">
        <v>211.42050228839869</v>
      </c>
      <c r="AM23" s="19">
        <v>267.53577574662387</v>
      </c>
      <c r="AN23" s="47">
        <v>8.1548199269094027E-2</v>
      </c>
      <c r="AO23" s="20">
        <v>0.1005584573375771</v>
      </c>
      <c r="AP23" s="44">
        <v>-4.9784673650774151E-2</v>
      </c>
      <c r="AQ23" s="46">
        <v>3577765</v>
      </c>
      <c r="AR23" s="45">
        <v>7342980</v>
      </c>
      <c r="AS23" s="22">
        <v>4.4788831566976717E-3</v>
      </c>
      <c r="AT23" s="22">
        <v>0.81387962804299807</v>
      </c>
      <c r="AU23" s="22" t="s">
        <v>179</v>
      </c>
      <c r="AV23" s="22" t="s">
        <v>157</v>
      </c>
      <c r="AW23" s="22" t="s">
        <v>185</v>
      </c>
      <c r="AX23" s="23">
        <v>2970</v>
      </c>
      <c r="AY23" s="24">
        <v>1.145575519912571</v>
      </c>
      <c r="AZ23" s="23">
        <v>3640</v>
      </c>
      <c r="BA23" s="26">
        <v>2600</v>
      </c>
      <c r="BB23" s="44" t="s">
        <v>154</v>
      </c>
      <c r="BC23" s="26">
        <v>86.419444444444451</v>
      </c>
      <c r="BD23" s="23">
        <v>30</v>
      </c>
      <c r="BE23" s="26">
        <v>5185.166666666667</v>
      </c>
      <c r="BF23" s="26">
        <v>7777.75</v>
      </c>
      <c r="BG23" s="24"/>
      <c r="BI23" s="26"/>
      <c r="BJ23" s="23"/>
      <c r="BK23" s="26"/>
      <c r="BL23" s="27"/>
      <c r="BN23" s="13"/>
      <c r="BO23" s="43"/>
      <c r="BP23" s="42"/>
    </row>
    <row r="24" spans="1:68" s="1" customFormat="1" x14ac:dyDescent="0.3">
      <c r="A24" s="12" t="s">
        <v>794</v>
      </c>
      <c r="B24" s="12">
        <v>102084</v>
      </c>
      <c r="C24" s="13" t="s">
        <v>793</v>
      </c>
      <c r="D24" s="13" t="s">
        <v>62</v>
      </c>
      <c r="E24" s="14">
        <v>146</v>
      </c>
      <c r="F24" s="15" t="s">
        <v>137</v>
      </c>
      <c r="G24" s="6">
        <v>1968</v>
      </c>
      <c r="H24" s="6">
        <v>1777</v>
      </c>
      <c r="I24" s="6">
        <v>2976</v>
      </c>
      <c r="J24" s="6">
        <v>2067</v>
      </c>
      <c r="K24" s="6">
        <v>2197</v>
      </c>
      <c r="L24" s="6">
        <v>2275</v>
      </c>
      <c r="M24" s="6">
        <v>1669</v>
      </c>
      <c r="N24" s="6">
        <v>2654</v>
      </c>
      <c r="O24" s="6">
        <v>1567</v>
      </c>
      <c r="P24" s="6">
        <v>1566</v>
      </c>
      <c r="Q24" s="6">
        <v>1865</v>
      </c>
      <c r="R24" s="6">
        <v>1982</v>
      </c>
      <c r="S24" s="6">
        <v>1656</v>
      </c>
      <c r="T24" s="6">
        <v>2227</v>
      </c>
      <c r="U24" s="6">
        <v>1414</v>
      </c>
      <c r="V24" s="6">
        <v>1554</v>
      </c>
      <c r="W24" s="6">
        <v>1655</v>
      </c>
      <c r="X24" s="6">
        <v>1313</v>
      </c>
      <c r="Y24" s="6">
        <v>2124</v>
      </c>
      <c r="Z24" s="6">
        <v>1804</v>
      </c>
      <c r="AA24" s="6">
        <v>1651</v>
      </c>
      <c r="AB24" s="6">
        <v>1732</v>
      </c>
      <c r="AC24" s="6">
        <v>1797</v>
      </c>
      <c r="AD24" s="6">
        <v>1817</v>
      </c>
      <c r="AE24" s="6">
        <v>24563</v>
      </c>
      <c r="AF24" s="6">
        <v>20744</v>
      </c>
      <c r="AG24" s="16">
        <v>45307</v>
      </c>
      <c r="AH24" s="17">
        <v>2046.9166666666667</v>
      </c>
      <c r="AI24" s="17">
        <v>1728.6666666666667</v>
      </c>
      <c r="AJ24" s="17">
        <v>1887.7916666666667</v>
      </c>
      <c r="AK24" s="49">
        <v>5.9709021852152036E-3</v>
      </c>
      <c r="AL24" s="48">
        <v>259.68944156550884</v>
      </c>
      <c r="AM24" s="19">
        <v>383.18073601014333</v>
      </c>
      <c r="AN24" s="47">
        <v>0.15022528436107338</v>
      </c>
      <c r="AO24" s="20">
        <v>0.2029782961626998</v>
      </c>
      <c r="AP24" s="44">
        <v>-0.15547775108903636</v>
      </c>
      <c r="AQ24" s="46">
        <v>3028624</v>
      </c>
      <c r="AR24" s="45">
        <v>6614822</v>
      </c>
      <c r="AS24" s="22">
        <v>4.0347399612082838E-3</v>
      </c>
      <c r="AT24" s="22">
        <v>0.82200785145634825</v>
      </c>
      <c r="AU24" s="22" t="s">
        <v>179</v>
      </c>
      <c r="AV24" s="22" t="s">
        <v>157</v>
      </c>
      <c r="AW24" s="22" t="s">
        <v>185</v>
      </c>
      <c r="AX24" s="23">
        <v>12294</v>
      </c>
      <c r="AY24" s="24">
        <v>7.1118395680678743</v>
      </c>
      <c r="AZ24" s="23">
        <v>3250</v>
      </c>
      <c r="BA24" s="26">
        <v>1900</v>
      </c>
      <c r="BB24" s="44" t="s">
        <v>154</v>
      </c>
      <c r="BC24" s="26">
        <v>57.622222222222227</v>
      </c>
      <c r="BD24" s="23">
        <v>30</v>
      </c>
      <c r="BE24" s="26">
        <v>3457.3333333333335</v>
      </c>
      <c r="BF24" s="26">
        <v>5186</v>
      </c>
      <c r="BG24" s="24"/>
      <c r="BH24" s="1" t="s">
        <v>792</v>
      </c>
      <c r="BI24" s="26">
        <v>8329.4294871794882</v>
      </c>
      <c r="BJ24" s="23">
        <v>2.0148628662025853E-5</v>
      </c>
      <c r="BK24" s="26"/>
      <c r="BL24" s="27"/>
      <c r="BN24" s="13"/>
      <c r="BO24" s="43"/>
      <c r="BP24" s="42"/>
    </row>
    <row r="25" spans="1:68" s="1" customFormat="1" x14ac:dyDescent="0.3">
      <c r="A25" s="12" t="s">
        <v>791</v>
      </c>
      <c r="B25" s="12">
        <v>103001</v>
      </c>
      <c r="C25" s="13" t="s">
        <v>790</v>
      </c>
      <c r="D25" s="13" t="s">
        <v>53</v>
      </c>
      <c r="E25" s="14">
        <v>67</v>
      </c>
      <c r="F25" s="15" t="s">
        <v>137</v>
      </c>
      <c r="G25" s="6">
        <v>3534</v>
      </c>
      <c r="H25" s="6">
        <v>3163</v>
      </c>
      <c r="I25" s="6">
        <v>3750</v>
      </c>
      <c r="J25" s="6">
        <v>3006</v>
      </c>
      <c r="K25" s="6">
        <v>3320</v>
      </c>
      <c r="L25" s="6">
        <v>3136</v>
      </c>
      <c r="M25" s="6">
        <v>3426</v>
      </c>
      <c r="N25" s="6">
        <v>3747</v>
      </c>
      <c r="O25" s="6">
        <v>3747</v>
      </c>
      <c r="P25" s="6">
        <v>3148</v>
      </c>
      <c r="Q25" s="6">
        <v>3116</v>
      </c>
      <c r="R25" s="6">
        <v>2687</v>
      </c>
      <c r="S25" s="6">
        <v>3817</v>
      </c>
      <c r="T25" s="6">
        <v>3069</v>
      </c>
      <c r="U25" s="6">
        <v>4281</v>
      </c>
      <c r="V25" s="6">
        <v>4492</v>
      </c>
      <c r="W25" s="6">
        <v>4081</v>
      </c>
      <c r="X25" s="6">
        <v>3385</v>
      </c>
      <c r="Y25" s="6">
        <v>3592</v>
      </c>
      <c r="Z25" s="6">
        <v>3254</v>
      </c>
      <c r="AA25" s="6">
        <v>2917</v>
      </c>
      <c r="AB25" s="6">
        <v>3827</v>
      </c>
      <c r="AC25" s="6">
        <v>3040</v>
      </c>
      <c r="AD25" s="6">
        <v>3496</v>
      </c>
      <c r="AE25" s="6">
        <v>39780</v>
      </c>
      <c r="AF25" s="6">
        <v>43251</v>
      </c>
      <c r="AG25" s="16">
        <v>83031</v>
      </c>
      <c r="AH25" s="17">
        <v>3315</v>
      </c>
      <c r="AI25" s="17">
        <v>3604.25</v>
      </c>
      <c r="AJ25" s="17">
        <v>3459.625</v>
      </c>
      <c r="AK25" s="49">
        <v>1.2449261975161144E-2</v>
      </c>
      <c r="AL25" s="48">
        <v>507.04655066912204</v>
      </c>
      <c r="AM25" s="19">
        <v>445.52517251870972</v>
      </c>
      <c r="AN25" s="47">
        <v>0.14068018330280144</v>
      </c>
      <c r="AO25" s="20">
        <v>0.1287784579307612</v>
      </c>
      <c r="AP25" s="44">
        <v>8.7254901960784309E-2</v>
      </c>
      <c r="AQ25" s="46">
        <v>2897817</v>
      </c>
      <c r="AR25" s="45">
        <v>5563077</v>
      </c>
      <c r="AS25" s="22">
        <v>3.3932234426230514E-3</v>
      </c>
      <c r="AT25" s="22">
        <v>0.84441100422704574</v>
      </c>
      <c r="AU25" s="22" t="s">
        <v>179</v>
      </c>
      <c r="AV25" s="22" t="s">
        <v>157</v>
      </c>
      <c r="AW25" s="22" t="s">
        <v>185</v>
      </c>
      <c r="AX25" s="23">
        <v>9378</v>
      </c>
      <c r="AY25" s="24">
        <v>2.6019282791149339</v>
      </c>
      <c r="AZ25" s="23">
        <v>6300</v>
      </c>
      <c r="BA25" s="26">
        <v>3500</v>
      </c>
      <c r="BB25" s="44" t="s">
        <v>154</v>
      </c>
      <c r="BC25" s="26">
        <v>120.14166666666667</v>
      </c>
      <c r="BD25" s="23">
        <v>30</v>
      </c>
      <c r="BE25" s="26">
        <v>7208.5</v>
      </c>
      <c r="BF25" s="26">
        <v>10812.75</v>
      </c>
      <c r="BG25" s="24"/>
      <c r="BI25" s="26"/>
      <c r="BJ25" s="23"/>
      <c r="BK25" s="26"/>
      <c r="BL25" s="27"/>
      <c r="BN25" s="13"/>
      <c r="BO25" s="43"/>
      <c r="BP25" s="42"/>
    </row>
    <row r="26" spans="1:68" s="1" customFormat="1" x14ac:dyDescent="0.3">
      <c r="A26" s="12" t="s">
        <v>789</v>
      </c>
      <c r="B26" s="12">
        <v>106030</v>
      </c>
      <c r="C26" s="13" t="s">
        <v>788</v>
      </c>
      <c r="D26" s="13" t="s">
        <v>44</v>
      </c>
      <c r="E26" s="14">
        <v>250</v>
      </c>
      <c r="F26" s="15" t="s">
        <v>137</v>
      </c>
      <c r="G26" s="6">
        <v>663</v>
      </c>
      <c r="H26" s="6">
        <v>1117</v>
      </c>
      <c r="I26" s="6">
        <v>936</v>
      </c>
      <c r="J26" s="6">
        <v>1022</v>
      </c>
      <c r="K26" s="6">
        <v>849</v>
      </c>
      <c r="L26" s="6">
        <v>951</v>
      </c>
      <c r="M26" s="6">
        <v>910</v>
      </c>
      <c r="N26" s="6">
        <v>954</v>
      </c>
      <c r="O26" s="6">
        <v>971</v>
      </c>
      <c r="P26" s="6">
        <v>385</v>
      </c>
      <c r="Q26" s="6">
        <v>572</v>
      </c>
      <c r="R26" s="6">
        <v>910</v>
      </c>
      <c r="S26" s="6">
        <v>877</v>
      </c>
      <c r="T26" s="6">
        <v>451</v>
      </c>
      <c r="U26" s="6">
        <v>438</v>
      </c>
      <c r="V26" s="6">
        <v>783</v>
      </c>
      <c r="W26" s="6">
        <v>728</v>
      </c>
      <c r="X26" s="6">
        <v>720</v>
      </c>
      <c r="Y26" s="6">
        <v>821</v>
      </c>
      <c r="Z26" s="6">
        <v>684</v>
      </c>
      <c r="AA26" s="6">
        <v>579</v>
      </c>
      <c r="AB26" s="6">
        <v>812</v>
      </c>
      <c r="AC26" s="6">
        <v>737</v>
      </c>
      <c r="AD26" s="6">
        <v>810</v>
      </c>
      <c r="AE26" s="6">
        <v>10240</v>
      </c>
      <c r="AF26" s="6">
        <v>8440</v>
      </c>
      <c r="AG26" s="16">
        <v>18680</v>
      </c>
      <c r="AH26" s="17">
        <v>853.33333333333337</v>
      </c>
      <c r="AI26" s="17">
        <v>703.33333333333337</v>
      </c>
      <c r="AJ26" s="17">
        <v>778.33333333333337</v>
      </c>
      <c r="AK26" s="49">
        <v>2.4293489415356884E-3</v>
      </c>
      <c r="AL26" s="48">
        <v>143.166992979485</v>
      </c>
      <c r="AM26" s="19">
        <v>191.09948846805858</v>
      </c>
      <c r="AN26" s="47">
        <v>0.20355496632154266</v>
      </c>
      <c r="AO26" s="20">
        <v>0.24552396805318019</v>
      </c>
      <c r="AP26" s="44">
        <v>-0.17578125</v>
      </c>
      <c r="AQ26" s="46">
        <v>2110000</v>
      </c>
      <c r="AR26" s="45">
        <v>4670000</v>
      </c>
      <c r="AS26" s="22">
        <v>2.8484871730248655E-3</v>
      </c>
      <c r="AT26" s="22">
        <v>0.86219909541572448</v>
      </c>
      <c r="AU26" s="22" t="s">
        <v>179</v>
      </c>
      <c r="AV26" s="22" t="s">
        <v>157</v>
      </c>
      <c r="AW26" s="22" t="s">
        <v>185</v>
      </c>
      <c r="AX26" s="23">
        <v>1893</v>
      </c>
      <c r="AY26" s="24">
        <v>2.6914691943127962</v>
      </c>
      <c r="AZ26" s="23">
        <v>1260</v>
      </c>
      <c r="BA26" s="26">
        <v>720</v>
      </c>
      <c r="BB26" s="44" t="s">
        <v>154</v>
      </c>
      <c r="BC26" s="26">
        <v>23.444444444444446</v>
      </c>
      <c r="BD26" s="23">
        <v>30</v>
      </c>
      <c r="BE26" s="26">
        <v>1406.6666666666667</v>
      </c>
      <c r="BF26" s="26">
        <v>2110</v>
      </c>
      <c r="BG26" s="24"/>
      <c r="BI26" s="26"/>
      <c r="BJ26" s="23"/>
      <c r="BK26" s="26"/>
      <c r="BL26" s="27"/>
      <c r="BN26" s="13"/>
      <c r="BO26" s="43"/>
      <c r="BP26" s="42"/>
    </row>
    <row r="27" spans="1:68" s="1" customFormat="1" x14ac:dyDescent="0.3">
      <c r="A27" s="12" t="s">
        <v>787</v>
      </c>
      <c r="B27" s="12">
        <v>104032</v>
      </c>
      <c r="C27" s="13" t="s">
        <v>786</v>
      </c>
      <c r="D27" s="13" t="s">
        <v>44</v>
      </c>
      <c r="E27" s="14">
        <v>300</v>
      </c>
      <c r="F27" s="15" t="s">
        <v>137</v>
      </c>
      <c r="G27" s="6">
        <v>467</v>
      </c>
      <c r="H27" s="6">
        <v>452</v>
      </c>
      <c r="I27" s="6">
        <v>505</v>
      </c>
      <c r="J27" s="6">
        <v>405</v>
      </c>
      <c r="K27" s="6">
        <v>700</v>
      </c>
      <c r="L27" s="6">
        <v>718</v>
      </c>
      <c r="M27" s="6">
        <v>805</v>
      </c>
      <c r="N27" s="6">
        <v>689</v>
      </c>
      <c r="O27" s="6">
        <v>546</v>
      </c>
      <c r="P27" s="6">
        <v>514</v>
      </c>
      <c r="Q27" s="6">
        <v>614</v>
      </c>
      <c r="R27" s="6">
        <v>611</v>
      </c>
      <c r="S27" s="6">
        <v>859</v>
      </c>
      <c r="T27" s="6">
        <v>503</v>
      </c>
      <c r="U27" s="6">
        <v>584</v>
      </c>
      <c r="V27" s="6">
        <v>559</v>
      </c>
      <c r="W27" s="6">
        <v>518</v>
      </c>
      <c r="X27" s="6">
        <v>487</v>
      </c>
      <c r="Y27" s="6">
        <v>713</v>
      </c>
      <c r="Z27" s="6">
        <v>760</v>
      </c>
      <c r="AA27" s="6">
        <v>851</v>
      </c>
      <c r="AB27" s="6">
        <v>820</v>
      </c>
      <c r="AC27" s="6">
        <v>759</v>
      </c>
      <c r="AD27" s="6">
        <v>582</v>
      </c>
      <c r="AE27" s="6">
        <v>7026</v>
      </c>
      <c r="AF27" s="6">
        <v>7995</v>
      </c>
      <c r="AG27" s="16">
        <v>15021</v>
      </c>
      <c r="AH27" s="17">
        <v>585.5</v>
      </c>
      <c r="AI27" s="17">
        <v>666.25</v>
      </c>
      <c r="AJ27" s="17">
        <v>625.875</v>
      </c>
      <c r="AK27" s="49">
        <v>2.3012612307556669E-3</v>
      </c>
      <c r="AL27" s="48">
        <v>141.62249757076671</v>
      </c>
      <c r="AM27" s="19">
        <v>136.47242514913756</v>
      </c>
      <c r="AN27" s="47">
        <v>0.21256660048145098</v>
      </c>
      <c r="AO27" s="20">
        <v>0.21805060938548043</v>
      </c>
      <c r="AP27" s="44">
        <v>0.13791631084543127</v>
      </c>
      <c r="AQ27" s="46">
        <v>2398500</v>
      </c>
      <c r="AR27" s="45">
        <v>4506300</v>
      </c>
      <c r="AS27" s="22">
        <v>2.7486376333623022E-3</v>
      </c>
      <c r="AT27" s="22">
        <v>0.87055116966388213</v>
      </c>
      <c r="AU27" s="22" t="s">
        <v>179</v>
      </c>
      <c r="AV27" s="22" t="s">
        <v>157</v>
      </c>
      <c r="AW27" s="22" t="s">
        <v>185</v>
      </c>
      <c r="AX27" s="23">
        <v>1320</v>
      </c>
      <c r="AY27" s="24">
        <v>1.9812382739212007</v>
      </c>
      <c r="AZ27" s="23">
        <v>0</v>
      </c>
      <c r="BA27" s="26">
        <v>0</v>
      </c>
      <c r="BB27" s="44" t="s">
        <v>154</v>
      </c>
      <c r="BC27" s="26">
        <v>22.208333333333332</v>
      </c>
      <c r="BD27" s="23">
        <v>30</v>
      </c>
      <c r="BE27" s="26">
        <v>1332.5</v>
      </c>
      <c r="BF27" s="26">
        <v>1998.75</v>
      </c>
      <c r="BG27" s="24"/>
      <c r="BI27" s="26"/>
      <c r="BJ27" s="23"/>
      <c r="BK27" s="26"/>
      <c r="BL27" s="27"/>
      <c r="BN27" s="13"/>
      <c r="BO27" s="43"/>
      <c r="BP27" s="42"/>
    </row>
    <row r="28" spans="1:68" s="1" customFormat="1" x14ac:dyDescent="0.3">
      <c r="A28" s="12" t="s">
        <v>785</v>
      </c>
      <c r="B28" s="12">
        <v>104014</v>
      </c>
      <c r="C28" s="13" t="s">
        <v>784</v>
      </c>
      <c r="D28" s="13" t="s">
        <v>53</v>
      </c>
      <c r="E28" s="14">
        <v>70</v>
      </c>
      <c r="F28" s="15" t="s">
        <v>137</v>
      </c>
      <c r="G28" s="6">
        <v>2958</v>
      </c>
      <c r="H28" s="6">
        <v>2750</v>
      </c>
      <c r="I28" s="6">
        <v>3114</v>
      </c>
      <c r="J28" s="6">
        <v>2337</v>
      </c>
      <c r="K28" s="6">
        <v>2772</v>
      </c>
      <c r="L28" s="6">
        <v>2343</v>
      </c>
      <c r="M28" s="6">
        <v>1962</v>
      </c>
      <c r="N28" s="6">
        <v>3770</v>
      </c>
      <c r="O28" s="6">
        <v>2245</v>
      </c>
      <c r="P28" s="6">
        <v>2321</v>
      </c>
      <c r="Q28" s="6">
        <v>2716</v>
      </c>
      <c r="R28" s="6">
        <v>2085</v>
      </c>
      <c r="S28" s="6">
        <v>3648</v>
      </c>
      <c r="T28" s="6">
        <v>2457</v>
      </c>
      <c r="U28" s="6">
        <v>2800</v>
      </c>
      <c r="V28" s="6">
        <v>3895</v>
      </c>
      <c r="W28" s="6">
        <v>2852</v>
      </c>
      <c r="X28" s="6">
        <v>1784</v>
      </c>
      <c r="Y28" s="6">
        <v>2338</v>
      </c>
      <c r="Z28" s="6">
        <v>2969</v>
      </c>
      <c r="AA28" s="6">
        <v>2108</v>
      </c>
      <c r="AB28" s="6">
        <v>3214</v>
      </c>
      <c r="AC28" s="6">
        <v>2439</v>
      </c>
      <c r="AD28" s="6">
        <v>1997</v>
      </c>
      <c r="AE28" s="6">
        <v>31373</v>
      </c>
      <c r="AF28" s="6">
        <v>32501</v>
      </c>
      <c r="AG28" s="16">
        <v>63874</v>
      </c>
      <c r="AH28" s="17">
        <v>2614.4166666666665</v>
      </c>
      <c r="AI28" s="17">
        <v>2708.4166666666665</v>
      </c>
      <c r="AJ28" s="17">
        <v>2661.4166666666665</v>
      </c>
      <c r="AK28" s="49">
        <v>9.3550082877786028E-3</v>
      </c>
      <c r="AL28" s="48">
        <v>649.29912679797008</v>
      </c>
      <c r="AM28" s="19">
        <v>572.03518565136255</v>
      </c>
      <c r="AN28" s="47">
        <v>0.23973383962264672</v>
      </c>
      <c r="AO28" s="20">
        <v>0.21493635055942484</v>
      </c>
      <c r="AP28" s="44">
        <v>3.5954483154304662E-2</v>
      </c>
      <c r="AQ28" s="46">
        <v>2275070</v>
      </c>
      <c r="AR28" s="45">
        <v>4471180</v>
      </c>
      <c r="AS28" s="22">
        <v>2.7272160338940726E-3</v>
      </c>
      <c r="AT28" s="22">
        <v>0.87327838569777616</v>
      </c>
      <c r="AU28" s="22" t="s">
        <v>179</v>
      </c>
      <c r="AV28" s="22" t="s">
        <v>157</v>
      </c>
      <c r="AW28" s="22" t="s">
        <v>185</v>
      </c>
      <c r="AX28" s="23">
        <v>14116</v>
      </c>
      <c r="AY28" s="24">
        <v>5.2119011722716229</v>
      </c>
      <c r="AZ28" s="23">
        <v>3500</v>
      </c>
      <c r="BA28" s="26">
        <v>1900</v>
      </c>
      <c r="BB28" s="44" t="s">
        <v>154</v>
      </c>
      <c r="BC28" s="26">
        <v>90.280555555555551</v>
      </c>
      <c r="BD28" s="23">
        <v>30</v>
      </c>
      <c r="BE28" s="26">
        <v>5416.833333333333</v>
      </c>
      <c r="BF28" s="26">
        <v>8125.25</v>
      </c>
      <c r="BG28" s="24"/>
      <c r="BI28" s="26"/>
      <c r="BJ28" s="23"/>
      <c r="BK28" s="26"/>
      <c r="BL28" s="27"/>
      <c r="BN28" s="13"/>
      <c r="BO28" s="43"/>
      <c r="BP28" s="42"/>
    </row>
    <row r="29" spans="1:68" s="1" customFormat="1" x14ac:dyDescent="0.3">
      <c r="A29" s="12" t="s">
        <v>783</v>
      </c>
      <c r="B29" s="12">
        <v>422002</v>
      </c>
      <c r="C29" s="13" t="s">
        <v>782</v>
      </c>
      <c r="D29" s="13" t="s">
        <v>53</v>
      </c>
      <c r="E29" s="14">
        <v>11</v>
      </c>
      <c r="F29" s="15" t="s">
        <v>137</v>
      </c>
      <c r="G29" s="6">
        <v>14579</v>
      </c>
      <c r="H29" s="6">
        <v>13930</v>
      </c>
      <c r="I29" s="6">
        <v>17580</v>
      </c>
      <c r="J29" s="6">
        <v>14551</v>
      </c>
      <c r="K29" s="6">
        <v>17522</v>
      </c>
      <c r="L29" s="6">
        <v>16521</v>
      </c>
      <c r="M29" s="6">
        <v>17002</v>
      </c>
      <c r="N29" s="6">
        <v>20096</v>
      </c>
      <c r="O29" s="6">
        <v>14713</v>
      </c>
      <c r="P29" s="6">
        <v>15900</v>
      </c>
      <c r="Q29" s="6">
        <v>15605</v>
      </c>
      <c r="R29" s="6">
        <v>12554</v>
      </c>
      <c r="S29" s="6">
        <v>15518</v>
      </c>
      <c r="T29" s="6">
        <v>13658</v>
      </c>
      <c r="U29" s="6">
        <v>13615</v>
      </c>
      <c r="V29" s="6">
        <v>16027</v>
      </c>
      <c r="W29" s="6">
        <v>16275</v>
      </c>
      <c r="X29" s="6">
        <v>14977</v>
      </c>
      <c r="Y29" s="6">
        <v>18891</v>
      </c>
      <c r="Z29" s="6">
        <v>15877</v>
      </c>
      <c r="AA29" s="6">
        <v>15209</v>
      </c>
      <c r="AB29" s="6">
        <v>18909</v>
      </c>
      <c r="AC29" s="6">
        <v>16932</v>
      </c>
      <c r="AD29" s="6">
        <v>17841</v>
      </c>
      <c r="AE29" s="6">
        <v>190553</v>
      </c>
      <c r="AF29" s="6">
        <v>193729</v>
      </c>
      <c r="AG29" s="16">
        <v>384282</v>
      </c>
      <c r="AH29" s="17">
        <v>15879.416666666666</v>
      </c>
      <c r="AI29" s="17">
        <v>16144.083333333334</v>
      </c>
      <c r="AJ29" s="17">
        <v>16011.75</v>
      </c>
      <c r="AK29" s="49">
        <v>5.5762481172365805E-2</v>
      </c>
      <c r="AL29" s="48">
        <v>1758.0503901317534</v>
      </c>
      <c r="AM29" s="19">
        <v>1855.7848041005279</v>
      </c>
      <c r="AN29" s="47">
        <v>0.10889750466673054</v>
      </c>
      <c r="AO29" s="20">
        <v>0.11590143513985217</v>
      </c>
      <c r="AP29" s="44">
        <v>1.6667278919775676E-2</v>
      </c>
      <c r="AQ29" s="46">
        <v>2131019</v>
      </c>
      <c r="AR29" s="45">
        <v>4227102</v>
      </c>
      <c r="AS29" s="22">
        <v>2.5783395773164358E-3</v>
      </c>
      <c r="AT29" s="22">
        <v>0.8784610598901692</v>
      </c>
      <c r="AU29" s="22" t="s">
        <v>179</v>
      </c>
      <c r="AV29" s="22" t="s">
        <v>157</v>
      </c>
      <c r="AW29" s="22" t="s">
        <v>185</v>
      </c>
      <c r="AX29" s="23">
        <v>26035</v>
      </c>
      <c r="AY29" s="24">
        <v>1.6126651146704933</v>
      </c>
      <c r="AZ29" s="23">
        <v>32250</v>
      </c>
      <c r="BA29" s="26">
        <v>16500</v>
      </c>
      <c r="BB29" s="44" t="s">
        <v>154</v>
      </c>
      <c r="BC29" s="26">
        <v>538.13611111111118</v>
      </c>
      <c r="BD29" s="23">
        <v>30</v>
      </c>
      <c r="BE29" s="26">
        <v>32288.166666666672</v>
      </c>
      <c r="BF29" s="26">
        <v>48432.250000000007</v>
      </c>
      <c r="BG29" s="24"/>
      <c r="BI29" s="26"/>
      <c r="BJ29" s="23"/>
      <c r="BK29" s="26"/>
      <c r="BL29" s="27"/>
      <c r="BN29" s="13"/>
      <c r="BO29" s="43"/>
      <c r="BP29" s="42"/>
    </row>
    <row r="30" spans="1:68" s="1" customFormat="1" x14ac:dyDescent="0.3">
      <c r="A30" s="12" t="s">
        <v>781</v>
      </c>
      <c r="B30" s="12">
        <v>104046</v>
      </c>
      <c r="C30" s="13" t="s">
        <v>780</v>
      </c>
      <c r="D30" s="13" t="s">
        <v>53</v>
      </c>
      <c r="E30" s="14">
        <v>15</v>
      </c>
      <c r="F30" s="15" t="s">
        <v>137</v>
      </c>
      <c r="G30" s="6">
        <v>11226</v>
      </c>
      <c r="H30" s="6">
        <v>10901</v>
      </c>
      <c r="I30" s="6">
        <v>11898</v>
      </c>
      <c r="J30" s="6">
        <v>10818</v>
      </c>
      <c r="K30" s="6">
        <v>12831</v>
      </c>
      <c r="L30" s="6">
        <v>11150</v>
      </c>
      <c r="M30" s="6">
        <v>11954</v>
      </c>
      <c r="N30" s="6">
        <v>11930</v>
      </c>
      <c r="O30" s="6">
        <v>11639</v>
      </c>
      <c r="P30" s="6">
        <v>11774</v>
      </c>
      <c r="Q30" s="6">
        <v>10973</v>
      </c>
      <c r="R30" s="6">
        <v>9428</v>
      </c>
      <c r="S30" s="6">
        <v>12042</v>
      </c>
      <c r="T30" s="6">
        <v>9562</v>
      </c>
      <c r="U30" s="6">
        <v>10218</v>
      </c>
      <c r="V30" s="6">
        <v>12512</v>
      </c>
      <c r="W30" s="6">
        <v>12080</v>
      </c>
      <c r="X30" s="6">
        <v>11304</v>
      </c>
      <c r="Y30" s="6">
        <v>12719</v>
      </c>
      <c r="Z30" s="6">
        <v>12154</v>
      </c>
      <c r="AA30" s="6">
        <v>9989</v>
      </c>
      <c r="AB30" s="6">
        <v>12464</v>
      </c>
      <c r="AC30" s="6">
        <v>9869</v>
      </c>
      <c r="AD30" s="6">
        <v>9567</v>
      </c>
      <c r="AE30" s="6">
        <v>136522</v>
      </c>
      <c r="AF30" s="6">
        <v>134480</v>
      </c>
      <c r="AG30" s="16">
        <v>271002</v>
      </c>
      <c r="AH30" s="17">
        <v>11376.833333333334</v>
      </c>
      <c r="AI30" s="17">
        <v>11206.666666666666</v>
      </c>
      <c r="AJ30" s="17">
        <v>11291.75</v>
      </c>
      <c r="AK30" s="49">
        <v>3.8708394035274811E-2</v>
      </c>
      <c r="AL30" s="48">
        <v>1264.2749509165951</v>
      </c>
      <c r="AM30" s="19">
        <v>1054.6335547395638</v>
      </c>
      <c r="AN30" s="47">
        <v>0.11281454053390201</v>
      </c>
      <c r="AO30" s="20">
        <v>9.3398592312047626E-2</v>
      </c>
      <c r="AP30" s="44">
        <v>-1.4957296259943558E-2</v>
      </c>
      <c r="AQ30" s="46">
        <v>2017200</v>
      </c>
      <c r="AR30" s="45">
        <v>4065030</v>
      </c>
      <c r="AS30" s="22">
        <v>2.4794830434606572E-3</v>
      </c>
      <c r="AT30" s="22">
        <v>0.88348100312113498</v>
      </c>
      <c r="AU30" s="22" t="s">
        <v>179</v>
      </c>
      <c r="AV30" s="22" t="s">
        <v>157</v>
      </c>
      <c r="AW30" s="22" t="s">
        <v>185</v>
      </c>
      <c r="AX30" s="23">
        <v>44592</v>
      </c>
      <c r="AY30" s="24">
        <v>3.9790600832837599</v>
      </c>
      <c r="AZ30" s="23">
        <v>17500</v>
      </c>
      <c r="BA30" s="26">
        <v>10000</v>
      </c>
      <c r="BB30" s="44" t="s">
        <v>154</v>
      </c>
      <c r="BC30" s="26">
        <v>373.55555555555554</v>
      </c>
      <c r="BD30" s="23">
        <v>30</v>
      </c>
      <c r="BE30" s="26">
        <v>22413.333333333332</v>
      </c>
      <c r="BF30" s="26">
        <v>33620</v>
      </c>
      <c r="BG30" s="24"/>
      <c r="BI30" s="26"/>
      <c r="BJ30" s="23"/>
      <c r="BK30" s="26"/>
      <c r="BL30" s="27"/>
      <c r="BN30" s="13"/>
      <c r="BO30" s="43"/>
      <c r="BP30" s="42"/>
    </row>
    <row r="31" spans="1:68" s="1" customFormat="1" x14ac:dyDescent="0.3">
      <c r="A31" s="12" t="s">
        <v>779</v>
      </c>
      <c r="B31" s="12">
        <v>104021</v>
      </c>
      <c r="C31" s="13" t="s">
        <v>778</v>
      </c>
      <c r="D31" s="13" t="s">
        <v>53</v>
      </c>
      <c r="E31" s="14">
        <v>20</v>
      </c>
      <c r="F31" s="15" t="s">
        <v>137</v>
      </c>
      <c r="G31" s="6">
        <v>10817</v>
      </c>
      <c r="H31" s="6">
        <v>9772</v>
      </c>
      <c r="I31" s="6">
        <v>11086</v>
      </c>
      <c r="J31" s="6">
        <v>10147</v>
      </c>
      <c r="K31" s="6">
        <v>9788</v>
      </c>
      <c r="L31" s="6">
        <v>8377</v>
      </c>
      <c r="M31" s="6">
        <v>9110</v>
      </c>
      <c r="N31" s="6">
        <v>9212</v>
      </c>
      <c r="O31" s="6">
        <v>8043</v>
      </c>
      <c r="P31" s="6">
        <v>7828</v>
      </c>
      <c r="Q31" s="6">
        <v>8149</v>
      </c>
      <c r="R31" s="6">
        <v>6818</v>
      </c>
      <c r="S31" s="6">
        <v>7366</v>
      </c>
      <c r="T31" s="6">
        <v>5974</v>
      </c>
      <c r="U31" s="6">
        <v>6074</v>
      </c>
      <c r="V31" s="6">
        <v>8179</v>
      </c>
      <c r="W31" s="6">
        <v>7190</v>
      </c>
      <c r="X31" s="6">
        <v>6343</v>
      </c>
      <c r="Y31" s="6">
        <v>6896</v>
      </c>
      <c r="Z31" s="6">
        <v>7372</v>
      </c>
      <c r="AA31" s="6">
        <v>5311</v>
      </c>
      <c r="AB31" s="6">
        <v>8382</v>
      </c>
      <c r="AC31" s="6">
        <v>6341</v>
      </c>
      <c r="AD31" s="6">
        <v>7679</v>
      </c>
      <c r="AE31" s="6">
        <v>109147</v>
      </c>
      <c r="AF31" s="6">
        <v>83107</v>
      </c>
      <c r="AG31" s="16">
        <v>192254</v>
      </c>
      <c r="AH31" s="17">
        <v>9095.5833333333339</v>
      </c>
      <c r="AI31" s="17">
        <v>6925.583333333333</v>
      </c>
      <c r="AJ31" s="17">
        <v>8010.5833333333339</v>
      </c>
      <c r="AK31" s="49">
        <v>2.3921315460214036E-2</v>
      </c>
      <c r="AL31" s="48">
        <v>936.26972204821345</v>
      </c>
      <c r="AM31" s="19">
        <v>1563.0478842331713</v>
      </c>
      <c r="AN31" s="47">
        <v>0.13519001605855779</v>
      </c>
      <c r="AO31" s="20">
        <v>0.19512285425320727</v>
      </c>
      <c r="AP31" s="44">
        <v>-0.23857733148872629</v>
      </c>
      <c r="AQ31" s="46">
        <v>1662140</v>
      </c>
      <c r="AR31" s="45">
        <v>3845080</v>
      </c>
      <c r="AS31" s="22">
        <v>2.3453235672921736E-3</v>
      </c>
      <c r="AT31" s="22">
        <v>0.89781409285298386</v>
      </c>
      <c r="AU31" s="22" t="s">
        <v>179</v>
      </c>
      <c r="AV31" s="22" t="s">
        <v>157</v>
      </c>
      <c r="AW31" s="22" t="s">
        <v>185</v>
      </c>
      <c r="AX31" s="23">
        <v>36516</v>
      </c>
      <c r="AY31" s="24">
        <v>5.2726244480007702</v>
      </c>
      <c r="AZ31" s="23">
        <v>13300</v>
      </c>
      <c r="BA31" s="26">
        <v>7500</v>
      </c>
      <c r="BB31" s="44" t="s">
        <v>154</v>
      </c>
      <c r="BC31" s="26">
        <v>230.85277777777776</v>
      </c>
      <c r="BD31" s="23">
        <v>30</v>
      </c>
      <c r="BE31" s="26">
        <v>13851.166666666666</v>
      </c>
      <c r="BF31" s="26">
        <v>20776.75</v>
      </c>
      <c r="BG31" s="24"/>
      <c r="BI31" s="26"/>
      <c r="BJ31" s="23"/>
      <c r="BK31" s="26"/>
      <c r="BL31" s="27"/>
      <c r="BN31" s="13"/>
      <c r="BO31" s="43"/>
      <c r="BP31" s="42"/>
    </row>
    <row r="32" spans="1:68" s="1" customFormat="1" x14ac:dyDescent="0.3">
      <c r="A32" s="12" t="s">
        <v>777</v>
      </c>
      <c r="B32" s="12">
        <v>103005</v>
      </c>
      <c r="C32" s="13" t="s">
        <v>776</v>
      </c>
      <c r="D32" s="13" t="s">
        <v>47</v>
      </c>
      <c r="E32" s="14">
        <v>363</v>
      </c>
      <c r="F32" s="15" t="s">
        <v>137</v>
      </c>
      <c r="G32" s="6">
        <v>542</v>
      </c>
      <c r="H32" s="6">
        <v>469</v>
      </c>
      <c r="I32" s="6">
        <v>440</v>
      </c>
      <c r="J32" s="6">
        <v>520</v>
      </c>
      <c r="K32" s="6">
        <v>442</v>
      </c>
      <c r="L32" s="6">
        <v>392</v>
      </c>
      <c r="M32" s="6">
        <v>432</v>
      </c>
      <c r="N32" s="6">
        <v>550</v>
      </c>
      <c r="O32" s="6">
        <v>474</v>
      </c>
      <c r="P32" s="6">
        <v>371</v>
      </c>
      <c r="Q32" s="6">
        <v>397</v>
      </c>
      <c r="R32" s="6">
        <v>540</v>
      </c>
      <c r="S32" s="6">
        <v>367</v>
      </c>
      <c r="T32" s="6">
        <v>330</v>
      </c>
      <c r="U32" s="6">
        <v>292</v>
      </c>
      <c r="V32" s="6">
        <v>353</v>
      </c>
      <c r="W32" s="6">
        <v>340</v>
      </c>
      <c r="X32" s="6">
        <v>393</v>
      </c>
      <c r="Y32" s="6">
        <v>392</v>
      </c>
      <c r="Z32" s="6">
        <v>266</v>
      </c>
      <c r="AA32" s="6">
        <v>258</v>
      </c>
      <c r="AB32" s="6">
        <v>296</v>
      </c>
      <c r="AC32" s="6">
        <v>231</v>
      </c>
      <c r="AD32" s="6">
        <v>285</v>
      </c>
      <c r="AE32" s="6">
        <v>5569</v>
      </c>
      <c r="AF32" s="6">
        <v>3803</v>
      </c>
      <c r="AG32" s="16">
        <v>9372</v>
      </c>
      <c r="AH32" s="17">
        <v>464.08333333333331</v>
      </c>
      <c r="AI32" s="17">
        <v>316.91666666666669</v>
      </c>
      <c r="AJ32" s="17">
        <v>390.5</v>
      </c>
      <c r="AK32" s="49">
        <v>1.0946462114526331E-3</v>
      </c>
      <c r="AL32" s="48">
        <v>53.481446797138524</v>
      </c>
      <c r="AM32" s="19">
        <v>94.255434625923513</v>
      </c>
      <c r="AN32" s="47">
        <v>0.16875555129257488</v>
      </c>
      <c r="AO32" s="20">
        <v>0.24137115141081567</v>
      </c>
      <c r="AP32" s="44">
        <v>-0.31711258753815758</v>
      </c>
      <c r="AQ32" s="46">
        <v>1380489</v>
      </c>
      <c r="AR32" s="45">
        <v>3402036</v>
      </c>
      <c r="AS32" s="22">
        <v>2.0750869182374352E-3</v>
      </c>
      <c r="AT32" s="22">
        <v>0.91108719890235312</v>
      </c>
      <c r="AU32" s="22" t="s">
        <v>179</v>
      </c>
      <c r="AV32" s="22" t="s">
        <v>157</v>
      </c>
      <c r="AW32" s="22" t="s">
        <v>185</v>
      </c>
      <c r="AX32" s="23">
        <v>1404</v>
      </c>
      <c r="AY32" s="24">
        <v>4.4301866947146991</v>
      </c>
      <c r="AZ32" s="23">
        <v>508</v>
      </c>
      <c r="BA32" s="26">
        <v>290</v>
      </c>
      <c r="BB32" s="44" t="s">
        <v>154</v>
      </c>
      <c r="BC32" s="26">
        <v>10.56388888888889</v>
      </c>
      <c r="BD32" s="23">
        <v>30</v>
      </c>
      <c r="BE32" s="26">
        <v>633.83333333333337</v>
      </c>
      <c r="BF32" s="26">
        <v>950.75</v>
      </c>
      <c r="BG32" s="24"/>
      <c r="BI32" s="26"/>
      <c r="BJ32" s="23"/>
      <c r="BK32" s="26"/>
      <c r="BL32" s="27"/>
      <c r="BN32" s="13"/>
      <c r="BO32" s="43"/>
      <c r="BP32" s="42"/>
    </row>
    <row r="33" spans="1:68" s="1" customFormat="1" x14ac:dyDescent="0.3">
      <c r="A33" s="12" t="s">
        <v>775</v>
      </c>
      <c r="B33" s="12">
        <v>106072</v>
      </c>
      <c r="C33" s="13" t="s">
        <v>774</v>
      </c>
      <c r="D33" s="13" t="s">
        <v>44</v>
      </c>
      <c r="E33" s="14">
        <v>220</v>
      </c>
      <c r="F33" s="15" t="s">
        <v>137</v>
      </c>
      <c r="G33" s="6">
        <v>639</v>
      </c>
      <c r="H33" s="6">
        <v>674</v>
      </c>
      <c r="I33" s="6">
        <v>519</v>
      </c>
      <c r="J33" s="6">
        <v>427</v>
      </c>
      <c r="K33" s="6">
        <v>856</v>
      </c>
      <c r="L33" s="6">
        <v>617</v>
      </c>
      <c r="M33" s="6">
        <v>583</v>
      </c>
      <c r="N33" s="6">
        <v>535</v>
      </c>
      <c r="O33" s="6">
        <v>793</v>
      </c>
      <c r="P33" s="6">
        <v>790</v>
      </c>
      <c r="Q33" s="6">
        <v>841</v>
      </c>
      <c r="R33" s="6">
        <v>523</v>
      </c>
      <c r="S33" s="6">
        <v>760</v>
      </c>
      <c r="T33" s="6">
        <v>397</v>
      </c>
      <c r="U33" s="6">
        <v>442</v>
      </c>
      <c r="V33" s="6">
        <v>402</v>
      </c>
      <c r="W33" s="6">
        <v>771</v>
      </c>
      <c r="X33" s="6">
        <v>518</v>
      </c>
      <c r="Y33" s="6">
        <v>766</v>
      </c>
      <c r="Z33" s="6">
        <v>633</v>
      </c>
      <c r="AA33" s="6">
        <v>485</v>
      </c>
      <c r="AB33" s="6">
        <v>708</v>
      </c>
      <c r="AC33" s="6">
        <v>575</v>
      </c>
      <c r="AD33" s="6">
        <v>670</v>
      </c>
      <c r="AE33" s="6">
        <v>7797</v>
      </c>
      <c r="AF33" s="6">
        <v>7127</v>
      </c>
      <c r="AG33" s="16">
        <v>14924</v>
      </c>
      <c r="AH33" s="17">
        <v>649.75</v>
      </c>
      <c r="AI33" s="17">
        <v>593.91666666666663</v>
      </c>
      <c r="AJ33" s="17">
        <v>621.83333333333326</v>
      </c>
      <c r="AK33" s="49">
        <v>2.0514182353465462E-3</v>
      </c>
      <c r="AL33" s="48">
        <v>143.19627873106293</v>
      </c>
      <c r="AM33" s="19">
        <v>142.30178179295334</v>
      </c>
      <c r="AN33" s="47">
        <v>0.24110500137122987</v>
      </c>
      <c r="AO33" s="20">
        <v>0.22884231861638168</v>
      </c>
      <c r="AP33" s="44">
        <v>-8.5930486084391494E-2</v>
      </c>
      <c r="AQ33" s="46">
        <v>1567940</v>
      </c>
      <c r="AR33" s="45">
        <v>3283280</v>
      </c>
      <c r="AS33" s="22">
        <v>2.0026511703317091E-3</v>
      </c>
      <c r="AT33" s="22">
        <v>0.91515651596010628</v>
      </c>
      <c r="AU33" s="22" t="s">
        <v>179</v>
      </c>
      <c r="AV33" s="22" t="s">
        <v>157</v>
      </c>
      <c r="AW33" s="22" t="s">
        <v>185</v>
      </c>
      <c r="AX33" s="23">
        <v>1199</v>
      </c>
      <c r="AY33" s="24">
        <v>2.0188017398624947</v>
      </c>
      <c r="AZ33" s="23">
        <v>850</v>
      </c>
      <c r="BA33" s="26">
        <v>480</v>
      </c>
      <c r="BB33" s="44" t="s">
        <v>154</v>
      </c>
      <c r="BC33" s="26">
        <v>19.797222222222221</v>
      </c>
      <c r="BD33" s="23">
        <v>30</v>
      </c>
      <c r="BE33" s="26">
        <v>1187.8333333333333</v>
      </c>
      <c r="BF33" s="26">
        <v>1781.75</v>
      </c>
      <c r="BG33" s="24"/>
      <c r="BH33" s="1" t="s">
        <v>773</v>
      </c>
      <c r="BI33" s="26">
        <v>2785.9743589743589</v>
      </c>
      <c r="BJ33" s="23">
        <v>4.4614820608771533E-3</v>
      </c>
      <c r="BK33" s="26"/>
      <c r="BL33" s="27"/>
      <c r="BN33" s="13"/>
      <c r="BO33" s="43"/>
      <c r="BP33" s="42"/>
    </row>
    <row r="34" spans="1:68" s="1" customFormat="1" x14ac:dyDescent="0.3">
      <c r="A34" s="12" t="s">
        <v>772</v>
      </c>
      <c r="B34" s="12">
        <v>101060</v>
      </c>
      <c r="C34" s="13" t="s">
        <v>771</v>
      </c>
      <c r="D34" s="13" t="s">
        <v>64</v>
      </c>
      <c r="E34" s="14">
        <v>67</v>
      </c>
      <c r="F34" s="15" t="s">
        <v>137</v>
      </c>
      <c r="G34" s="6">
        <v>1505</v>
      </c>
      <c r="H34" s="6">
        <v>2112</v>
      </c>
      <c r="I34" s="6">
        <v>2465</v>
      </c>
      <c r="J34" s="6">
        <v>1725</v>
      </c>
      <c r="K34" s="6">
        <v>2798</v>
      </c>
      <c r="L34" s="6">
        <v>2540</v>
      </c>
      <c r="M34" s="6">
        <v>1251</v>
      </c>
      <c r="N34" s="6">
        <v>1885</v>
      </c>
      <c r="O34" s="6">
        <v>1493</v>
      </c>
      <c r="P34" s="6">
        <v>1683</v>
      </c>
      <c r="Q34" s="6">
        <v>1365</v>
      </c>
      <c r="R34" s="6">
        <v>1916</v>
      </c>
      <c r="S34" s="6">
        <v>2355</v>
      </c>
      <c r="T34" s="6">
        <v>2040</v>
      </c>
      <c r="U34" s="6">
        <v>1816</v>
      </c>
      <c r="V34" s="6">
        <v>3339</v>
      </c>
      <c r="W34" s="6">
        <v>2293</v>
      </c>
      <c r="X34" s="6">
        <v>1489</v>
      </c>
      <c r="Y34" s="6">
        <v>1908</v>
      </c>
      <c r="Z34" s="6">
        <v>2222</v>
      </c>
      <c r="AA34" s="6">
        <v>1353</v>
      </c>
      <c r="AB34" s="6">
        <v>2152</v>
      </c>
      <c r="AC34" s="6">
        <v>2370</v>
      </c>
      <c r="AD34" s="6">
        <v>2104</v>
      </c>
      <c r="AE34" s="6">
        <v>22738</v>
      </c>
      <c r="AF34" s="6">
        <v>25441</v>
      </c>
      <c r="AG34" s="16">
        <v>48179</v>
      </c>
      <c r="AH34" s="17">
        <v>1894.8333333333333</v>
      </c>
      <c r="AI34" s="17">
        <v>2120.0833333333335</v>
      </c>
      <c r="AJ34" s="17">
        <v>2007.4583333333335</v>
      </c>
      <c r="AK34" s="49">
        <v>7.3228751684371388E-3</v>
      </c>
      <c r="AL34" s="48">
        <v>502.31363949652234</v>
      </c>
      <c r="AM34" s="19">
        <v>500.74214306425171</v>
      </c>
      <c r="AN34" s="47">
        <v>0.23693108266020468</v>
      </c>
      <c r="AO34" s="20">
        <v>0.24944086497316342</v>
      </c>
      <c r="AP34" s="44">
        <v>0.11887589057964654</v>
      </c>
      <c r="AQ34" s="46">
        <v>1704547</v>
      </c>
      <c r="AR34" s="45">
        <v>3227993</v>
      </c>
      <c r="AS34" s="22">
        <v>1.9689286199387696E-3</v>
      </c>
      <c r="AT34" s="22">
        <v>0.91712544458004508</v>
      </c>
      <c r="AU34" s="22" t="s">
        <v>179</v>
      </c>
      <c r="AV34" s="22" t="s">
        <v>157</v>
      </c>
      <c r="AW34" s="22" t="s">
        <v>185</v>
      </c>
      <c r="AX34" s="23">
        <v>6971</v>
      </c>
      <c r="AY34" s="24">
        <v>3.2880782988090087</v>
      </c>
      <c r="AZ34" s="23">
        <v>4550</v>
      </c>
      <c r="BA34" s="26">
        <v>2610</v>
      </c>
      <c r="BB34" s="44" t="s">
        <v>154</v>
      </c>
      <c r="BC34" s="26">
        <v>70.669444444444451</v>
      </c>
      <c r="BD34" s="23">
        <v>30</v>
      </c>
      <c r="BE34" s="26">
        <v>4240.166666666667</v>
      </c>
      <c r="BF34" s="26">
        <v>6360.25</v>
      </c>
      <c r="BG34" s="24"/>
      <c r="BI34" s="26"/>
      <c r="BJ34" s="23"/>
      <c r="BK34" s="26"/>
      <c r="BL34" s="27"/>
      <c r="BN34" s="13"/>
      <c r="BO34" s="43"/>
      <c r="BP34" s="42"/>
    </row>
    <row r="35" spans="1:68" s="1" customFormat="1" x14ac:dyDescent="0.3">
      <c r="A35" s="12" t="s">
        <v>770</v>
      </c>
      <c r="B35" s="12">
        <v>105002</v>
      </c>
      <c r="C35" s="13" t="s">
        <v>769</v>
      </c>
      <c r="D35" s="13" t="s">
        <v>137</v>
      </c>
      <c r="E35" s="14">
        <v>1131</v>
      </c>
      <c r="F35" s="15" t="s">
        <v>137</v>
      </c>
      <c r="G35" s="6">
        <v>111</v>
      </c>
      <c r="H35" s="6">
        <v>84</v>
      </c>
      <c r="I35" s="6">
        <v>146</v>
      </c>
      <c r="J35" s="6">
        <v>122</v>
      </c>
      <c r="K35" s="6">
        <v>147</v>
      </c>
      <c r="L35" s="6">
        <v>120</v>
      </c>
      <c r="M35" s="6">
        <v>162</v>
      </c>
      <c r="N35" s="6">
        <v>174</v>
      </c>
      <c r="O35" s="6">
        <v>99</v>
      </c>
      <c r="P35" s="6">
        <v>107</v>
      </c>
      <c r="Q35" s="6">
        <v>113</v>
      </c>
      <c r="R35" s="6">
        <v>111</v>
      </c>
      <c r="S35" s="6">
        <v>123</v>
      </c>
      <c r="T35" s="6">
        <v>104</v>
      </c>
      <c r="U35" s="6">
        <v>106</v>
      </c>
      <c r="V35" s="6">
        <v>105</v>
      </c>
      <c r="W35" s="6">
        <v>114</v>
      </c>
      <c r="X35" s="6">
        <v>100</v>
      </c>
      <c r="Y35" s="6">
        <v>131</v>
      </c>
      <c r="Z35" s="6">
        <v>115</v>
      </c>
      <c r="AA35" s="6">
        <v>92</v>
      </c>
      <c r="AB35" s="6">
        <v>120</v>
      </c>
      <c r="AC35" s="6">
        <v>67</v>
      </c>
      <c r="AD35" s="6">
        <v>122</v>
      </c>
      <c r="AE35" s="6">
        <v>1496</v>
      </c>
      <c r="AF35" s="6">
        <v>1299</v>
      </c>
      <c r="AG35" s="16">
        <v>2795</v>
      </c>
      <c r="AH35" s="17">
        <v>124.66666666666667</v>
      </c>
      <c r="AI35" s="17">
        <v>108.25</v>
      </c>
      <c r="AJ35" s="17">
        <v>116.45833333333334</v>
      </c>
      <c r="AK35" s="49">
        <v>3.7390098045673688E-4</v>
      </c>
      <c r="AL35" s="48">
        <v>17.078029479687956</v>
      </c>
      <c r="AM35" s="19">
        <v>23.563012959087896</v>
      </c>
      <c r="AN35" s="47">
        <v>0.15776470650981944</v>
      </c>
      <c r="AO35" s="20">
        <v>0.20232998605299085</v>
      </c>
      <c r="AP35" s="44">
        <v>-0.13168449197860965</v>
      </c>
      <c r="AQ35" s="46">
        <v>1469169</v>
      </c>
      <c r="AR35" s="45">
        <v>3161145</v>
      </c>
      <c r="AS35" s="22">
        <v>1.9281543864179205E-3</v>
      </c>
      <c r="AT35" s="22">
        <v>0.91905359896646299</v>
      </c>
      <c r="AU35" s="22" t="s">
        <v>179</v>
      </c>
      <c r="AV35" s="22" t="s">
        <v>157</v>
      </c>
      <c r="AW35" s="22" t="s">
        <v>185</v>
      </c>
      <c r="AX35" s="23">
        <v>147</v>
      </c>
      <c r="AY35" s="24">
        <v>1.3579676674364896</v>
      </c>
      <c r="AZ35" s="23">
        <v>240</v>
      </c>
      <c r="BA35" s="26">
        <v>135</v>
      </c>
      <c r="BB35" s="44" t="s">
        <v>154</v>
      </c>
      <c r="BC35" s="26">
        <v>3.6083333333333334</v>
      </c>
      <c r="BD35" s="23">
        <v>30</v>
      </c>
      <c r="BE35" s="26">
        <v>216.5</v>
      </c>
      <c r="BF35" s="26">
        <v>324.75</v>
      </c>
      <c r="BG35" s="24"/>
      <c r="BI35" s="26"/>
      <c r="BJ35" s="23"/>
      <c r="BK35" s="26"/>
      <c r="BL35" s="27"/>
      <c r="BN35" s="13"/>
      <c r="BO35" s="43"/>
      <c r="BP35" s="42"/>
    </row>
    <row r="36" spans="1:68" s="1" customFormat="1" x14ac:dyDescent="0.3">
      <c r="A36" s="12" t="s">
        <v>768</v>
      </c>
      <c r="B36" s="12">
        <v>103016</v>
      </c>
      <c r="C36" s="13" t="s">
        <v>767</v>
      </c>
      <c r="D36" s="13" t="s">
        <v>53</v>
      </c>
      <c r="E36" s="14">
        <v>157</v>
      </c>
      <c r="F36" s="15" t="s">
        <v>137</v>
      </c>
      <c r="G36" s="6">
        <v>843</v>
      </c>
      <c r="H36" s="6">
        <v>560</v>
      </c>
      <c r="I36" s="6">
        <v>810</v>
      </c>
      <c r="J36" s="6">
        <v>841</v>
      </c>
      <c r="K36" s="6">
        <v>695</v>
      </c>
      <c r="L36" s="6">
        <v>749</v>
      </c>
      <c r="M36" s="6">
        <v>950</v>
      </c>
      <c r="N36" s="6">
        <v>838</v>
      </c>
      <c r="O36" s="6">
        <v>885</v>
      </c>
      <c r="P36" s="6">
        <v>718</v>
      </c>
      <c r="Q36" s="6">
        <v>644</v>
      </c>
      <c r="R36" s="6">
        <v>665</v>
      </c>
      <c r="S36" s="6">
        <v>875</v>
      </c>
      <c r="T36" s="6">
        <v>877</v>
      </c>
      <c r="U36" s="6">
        <v>711</v>
      </c>
      <c r="V36" s="6">
        <v>1048</v>
      </c>
      <c r="W36" s="6">
        <v>1024</v>
      </c>
      <c r="X36" s="6">
        <v>867</v>
      </c>
      <c r="Y36" s="6">
        <v>925</v>
      </c>
      <c r="Z36" s="6">
        <v>924</v>
      </c>
      <c r="AA36" s="6">
        <v>714</v>
      </c>
      <c r="AB36" s="6">
        <v>953</v>
      </c>
      <c r="AC36" s="6">
        <v>741</v>
      </c>
      <c r="AD36" s="6">
        <v>821</v>
      </c>
      <c r="AE36" s="6">
        <v>9198</v>
      </c>
      <c r="AF36" s="6">
        <v>10480</v>
      </c>
      <c r="AG36" s="16">
        <v>19678</v>
      </c>
      <c r="AH36" s="17">
        <v>766.5</v>
      </c>
      <c r="AI36" s="17">
        <v>873.33333333333337</v>
      </c>
      <c r="AJ36" s="17">
        <v>819.91666666666674</v>
      </c>
      <c r="AK36" s="49">
        <v>3.0165375482575849E-3</v>
      </c>
      <c r="AL36" s="48">
        <v>111.53420456469276</v>
      </c>
      <c r="AM36" s="19">
        <v>122.85761170405037</v>
      </c>
      <c r="AN36" s="47">
        <v>0.12771092125728178</v>
      </c>
      <c r="AO36" s="20">
        <v>0.14984158353985205</v>
      </c>
      <c r="AP36" s="44">
        <v>0.13937812567949559</v>
      </c>
      <c r="AQ36" s="46">
        <v>1645360</v>
      </c>
      <c r="AR36" s="45">
        <v>3089446</v>
      </c>
      <c r="AS36" s="22">
        <v>1.8844212639728005E-3</v>
      </c>
      <c r="AT36" s="22">
        <v>0.92093802023043581</v>
      </c>
      <c r="AU36" s="22" t="s">
        <v>179</v>
      </c>
      <c r="AV36" s="22" t="s">
        <v>157</v>
      </c>
      <c r="AW36" s="22" t="s">
        <v>185</v>
      </c>
      <c r="AX36" s="23">
        <v>4360</v>
      </c>
      <c r="AY36" s="24">
        <v>4.9923664122137401</v>
      </c>
      <c r="AZ36" s="23">
        <v>1400</v>
      </c>
      <c r="BA36" s="26">
        <v>800</v>
      </c>
      <c r="BB36" s="44" t="s">
        <v>154</v>
      </c>
      <c r="BC36" s="26">
        <v>29.111111111111111</v>
      </c>
      <c r="BD36" s="23">
        <v>30</v>
      </c>
      <c r="BE36" s="26">
        <v>1746.6666666666667</v>
      </c>
      <c r="BF36" s="26">
        <v>2620</v>
      </c>
      <c r="BG36" s="24"/>
      <c r="BI36" s="26"/>
      <c r="BJ36" s="23"/>
      <c r="BK36" s="26"/>
      <c r="BL36" s="27"/>
      <c r="BN36" s="13"/>
      <c r="BO36" s="43"/>
      <c r="BP36" s="42"/>
    </row>
    <row r="37" spans="1:68" s="1" customFormat="1" x14ac:dyDescent="0.3">
      <c r="A37" s="12" t="s">
        <v>766</v>
      </c>
      <c r="B37" s="12">
        <v>102060</v>
      </c>
      <c r="C37" s="13" t="s">
        <v>765</v>
      </c>
      <c r="D37" s="13" t="s">
        <v>53</v>
      </c>
      <c r="E37" s="14">
        <v>121</v>
      </c>
      <c r="F37" s="15" t="s">
        <v>137</v>
      </c>
      <c r="G37" s="6">
        <v>1320</v>
      </c>
      <c r="H37" s="6">
        <v>1083</v>
      </c>
      <c r="I37" s="6">
        <v>1172</v>
      </c>
      <c r="J37" s="6">
        <v>1224</v>
      </c>
      <c r="K37" s="6">
        <v>1574</v>
      </c>
      <c r="L37" s="6">
        <v>1067</v>
      </c>
      <c r="M37" s="6">
        <v>1317</v>
      </c>
      <c r="N37" s="6">
        <v>1263</v>
      </c>
      <c r="O37" s="6">
        <v>778</v>
      </c>
      <c r="P37" s="6">
        <v>991</v>
      </c>
      <c r="Q37" s="6">
        <v>1062</v>
      </c>
      <c r="R37" s="6">
        <v>1072</v>
      </c>
      <c r="S37" s="6">
        <v>1125</v>
      </c>
      <c r="T37" s="6">
        <v>675</v>
      </c>
      <c r="U37" s="6">
        <v>703</v>
      </c>
      <c r="V37" s="6">
        <v>918</v>
      </c>
      <c r="W37" s="6">
        <v>1178</v>
      </c>
      <c r="X37" s="6">
        <v>1228</v>
      </c>
      <c r="Y37" s="6">
        <v>1060</v>
      </c>
      <c r="Z37" s="6">
        <v>980</v>
      </c>
      <c r="AA37" s="6">
        <v>718</v>
      </c>
      <c r="AB37" s="6">
        <v>853</v>
      </c>
      <c r="AC37" s="6">
        <v>665</v>
      </c>
      <c r="AD37" s="6">
        <v>693</v>
      </c>
      <c r="AE37" s="6">
        <v>13923</v>
      </c>
      <c r="AF37" s="6">
        <v>10796</v>
      </c>
      <c r="AG37" s="16">
        <v>24719</v>
      </c>
      <c r="AH37" s="17">
        <v>1160.25</v>
      </c>
      <c r="AI37" s="17">
        <v>899.66666666666663</v>
      </c>
      <c r="AJ37" s="17">
        <v>1029.9583333333333</v>
      </c>
      <c r="AK37" s="49">
        <v>3.1074942147890157E-3</v>
      </c>
      <c r="AL37" s="48">
        <v>211.19931703287173</v>
      </c>
      <c r="AM37" s="19">
        <v>241.46139833119892</v>
      </c>
      <c r="AN37" s="47">
        <v>0.23475285331552992</v>
      </c>
      <c r="AO37" s="20">
        <v>0.23443802580803327</v>
      </c>
      <c r="AP37" s="44">
        <v>-0.22459240106298933</v>
      </c>
      <c r="AQ37" s="46">
        <v>1306316</v>
      </c>
      <c r="AR37" s="45">
        <v>2990999</v>
      </c>
      <c r="AS37" s="22">
        <v>1.8243730805203853E-3</v>
      </c>
      <c r="AT37" s="22">
        <v>0.92463497047986998</v>
      </c>
      <c r="AU37" s="22" t="s">
        <v>179</v>
      </c>
      <c r="AV37" s="22" t="s">
        <v>157</v>
      </c>
      <c r="AW37" s="22" t="s">
        <v>185</v>
      </c>
      <c r="AX37" s="23">
        <v>5699</v>
      </c>
      <c r="AY37" s="24">
        <v>6.334568358651353</v>
      </c>
      <c r="AZ37" s="23">
        <v>1750</v>
      </c>
      <c r="BA37" s="26">
        <v>990</v>
      </c>
      <c r="BB37" s="44" t="s">
        <v>154</v>
      </c>
      <c r="BC37" s="26">
        <v>29.988888888888887</v>
      </c>
      <c r="BD37" s="23">
        <v>30</v>
      </c>
      <c r="BE37" s="26">
        <v>1799.3333333333333</v>
      </c>
      <c r="BF37" s="26">
        <v>2699</v>
      </c>
      <c r="BG37" s="24"/>
      <c r="BI37" s="26"/>
      <c r="BJ37" s="23"/>
      <c r="BK37" s="26"/>
      <c r="BL37" s="27"/>
      <c r="BN37" s="13"/>
      <c r="BO37" s="43"/>
      <c r="BP37" s="42"/>
    </row>
    <row r="38" spans="1:68" s="1" customFormat="1" x14ac:dyDescent="0.3">
      <c r="A38" s="12" t="s">
        <v>764</v>
      </c>
      <c r="B38" s="12">
        <v>102040</v>
      </c>
      <c r="C38" s="13" t="s">
        <v>763</v>
      </c>
      <c r="D38" s="13" t="s">
        <v>44</v>
      </c>
      <c r="E38" s="14">
        <v>139</v>
      </c>
      <c r="F38" s="15" t="s">
        <v>137</v>
      </c>
      <c r="G38" s="6">
        <v>788</v>
      </c>
      <c r="H38" s="6">
        <v>749</v>
      </c>
      <c r="I38" s="6">
        <v>908</v>
      </c>
      <c r="J38" s="6">
        <v>818</v>
      </c>
      <c r="K38" s="6">
        <v>816</v>
      </c>
      <c r="L38" s="6">
        <v>974</v>
      </c>
      <c r="M38" s="6">
        <v>842</v>
      </c>
      <c r="N38" s="6">
        <v>881</v>
      </c>
      <c r="O38" s="6">
        <v>836</v>
      </c>
      <c r="P38" s="6">
        <v>709</v>
      </c>
      <c r="Q38" s="6">
        <v>898</v>
      </c>
      <c r="R38" s="6">
        <v>827</v>
      </c>
      <c r="S38" s="6">
        <v>704</v>
      </c>
      <c r="T38" s="6">
        <v>624</v>
      </c>
      <c r="U38" s="6">
        <v>672</v>
      </c>
      <c r="V38" s="6">
        <v>724</v>
      </c>
      <c r="W38" s="6">
        <v>587</v>
      </c>
      <c r="X38" s="6">
        <v>704</v>
      </c>
      <c r="Y38" s="6">
        <v>874</v>
      </c>
      <c r="Z38" s="6">
        <v>486</v>
      </c>
      <c r="AA38" s="6">
        <v>581</v>
      </c>
      <c r="AB38" s="6">
        <v>771</v>
      </c>
      <c r="AC38" s="6">
        <v>557</v>
      </c>
      <c r="AD38" s="6">
        <v>449</v>
      </c>
      <c r="AE38" s="6">
        <v>10046</v>
      </c>
      <c r="AF38" s="6">
        <v>7733</v>
      </c>
      <c r="AG38" s="16">
        <v>17779</v>
      </c>
      <c r="AH38" s="17">
        <v>837.16666666666663</v>
      </c>
      <c r="AI38" s="17">
        <v>644.41666666666663</v>
      </c>
      <c r="AJ38" s="17">
        <v>740.79166666666663</v>
      </c>
      <c r="AK38" s="49">
        <v>2.2258477920492274E-3</v>
      </c>
      <c r="AL38" s="48">
        <v>121.20115385989411</v>
      </c>
      <c r="AM38" s="19">
        <v>138.53675675074294</v>
      </c>
      <c r="AN38" s="47">
        <v>0.18807886283702693</v>
      </c>
      <c r="AO38" s="20">
        <v>0.18701176455468985</v>
      </c>
      <c r="AP38" s="44">
        <v>-0.23024089189727256</v>
      </c>
      <c r="AQ38" s="46">
        <v>1074887</v>
      </c>
      <c r="AR38" s="45">
        <v>2471281</v>
      </c>
      <c r="AS38" s="22">
        <v>1.5073687857473368E-3</v>
      </c>
      <c r="AT38" s="22">
        <v>0.93813552609516482</v>
      </c>
      <c r="AU38" s="22" t="s">
        <v>179</v>
      </c>
      <c r="AV38" s="22" t="s">
        <v>157</v>
      </c>
      <c r="AW38" s="22" t="s">
        <v>185</v>
      </c>
      <c r="AX38" s="23">
        <v>3999</v>
      </c>
      <c r="AY38" s="24">
        <v>6.2056123108754688</v>
      </c>
      <c r="AZ38" s="23">
        <v>963</v>
      </c>
      <c r="BA38" s="26">
        <v>550</v>
      </c>
      <c r="BB38" s="44" t="s">
        <v>154</v>
      </c>
      <c r="BC38" s="26">
        <v>21.480555555555554</v>
      </c>
      <c r="BD38" s="23">
        <v>30</v>
      </c>
      <c r="BE38" s="26">
        <v>1288.8333333333333</v>
      </c>
      <c r="BF38" s="26">
        <v>1933.25</v>
      </c>
      <c r="BG38" s="24"/>
      <c r="BI38" s="26"/>
      <c r="BJ38" s="23"/>
      <c r="BK38" s="26"/>
      <c r="BL38" s="27"/>
      <c r="BN38" s="13"/>
      <c r="BO38" s="43"/>
      <c r="BP38" s="42"/>
    </row>
    <row r="39" spans="1:68" s="1" customFormat="1" x14ac:dyDescent="0.3">
      <c r="A39" s="12" t="s">
        <v>762</v>
      </c>
      <c r="B39" s="12">
        <v>103007</v>
      </c>
      <c r="C39" s="13" t="s">
        <v>761</v>
      </c>
      <c r="D39" s="13" t="s">
        <v>47</v>
      </c>
      <c r="E39" s="14">
        <v>267</v>
      </c>
      <c r="F39" s="15" t="s">
        <v>137</v>
      </c>
      <c r="G39" s="6">
        <v>325</v>
      </c>
      <c r="H39" s="6">
        <v>225</v>
      </c>
      <c r="I39" s="6">
        <v>273</v>
      </c>
      <c r="J39" s="6">
        <v>227</v>
      </c>
      <c r="K39" s="6">
        <v>228</v>
      </c>
      <c r="L39" s="6">
        <v>406</v>
      </c>
      <c r="M39" s="6">
        <v>355</v>
      </c>
      <c r="N39" s="6">
        <v>282</v>
      </c>
      <c r="O39" s="6">
        <v>270</v>
      </c>
      <c r="P39" s="6">
        <v>431</v>
      </c>
      <c r="Q39" s="6">
        <v>256</v>
      </c>
      <c r="R39" s="6">
        <v>347</v>
      </c>
      <c r="S39" s="6">
        <v>336</v>
      </c>
      <c r="T39" s="6">
        <v>285</v>
      </c>
      <c r="U39" s="6">
        <v>329</v>
      </c>
      <c r="V39" s="6">
        <v>290</v>
      </c>
      <c r="W39" s="6">
        <v>284</v>
      </c>
      <c r="X39" s="6">
        <v>280</v>
      </c>
      <c r="Y39" s="6">
        <v>306</v>
      </c>
      <c r="Z39" s="6">
        <v>385</v>
      </c>
      <c r="AA39" s="6">
        <v>214</v>
      </c>
      <c r="AB39" s="6">
        <v>407</v>
      </c>
      <c r="AC39" s="6">
        <v>215</v>
      </c>
      <c r="AD39" s="6">
        <v>337</v>
      </c>
      <c r="AE39" s="6">
        <v>3625</v>
      </c>
      <c r="AF39" s="6">
        <v>3668</v>
      </c>
      <c r="AG39" s="16">
        <v>7293</v>
      </c>
      <c r="AH39" s="17">
        <v>302.08333333333331</v>
      </c>
      <c r="AI39" s="17">
        <v>305.66666666666669</v>
      </c>
      <c r="AJ39" s="17">
        <v>303.875</v>
      </c>
      <c r="AK39" s="49">
        <v>1.0557881418901546E-3</v>
      </c>
      <c r="AL39" s="48">
        <v>58.334978331783958</v>
      </c>
      <c r="AM39" s="19">
        <v>63.156336389050914</v>
      </c>
      <c r="AN39" s="47">
        <v>0.19084507633080902</v>
      </c>
      <c r="AO39" s="20">
        <v>0.20783656565709885</v>
      </c>
      <c r="AP39" s="44">
        <v>1.1862068965517367E-2</v>
      </c>
      <c r="AQ39" s="46">
        <v>979356</v>
      </c>
      <c r="AR39" s="45">
        <v>1947231</v>
      </c>
      <c r="AS39" s="22">
        <v>1.1877221683975123E-3</v>
      </c>
      <c r="AT39" s="22">
        <v>0.95038109132805992</v>
      </c>
      <c r="AU39" s="22" t="s">
        <v>215</v>
      </c>
      <c r="AV39" s="22" t="s">
        <v>157</v>
      </c>
      <c r="AW39" s="22" t="s">
        <v>218</v>
      </c>
      <c r="AX39" s="23">
        <v>973</v>
      </c>
      <c r="AY39" s="24">
        <v>3.1832061068702289</v>
      </c>
      <c r="AZ39" s="23">
        <v>490</v>
      </c>
      <c r="BA39" s="26">
        <v>300</v>
      </c>
      <c r="BB39" s="44" t="s">
        <v>154</v>
      </c>
      <c r="BC39" s="26">
        <v>10.18888888888889</v>
      </c>
      <c r="BD39" s="23">
        <v>30</v>
      </c>
      <c r="BE39" s="26">
        <v>611.33333333333337</v>
      </c>
      <c r="BF39" s="26">
        <v>917</v>
      </c>
      <c r="BG39" s="24"/>
      <c r="BI39" s="26"/>
      <c r="BJ39" s="23"/>
      <c r="BK39" s="26"/>
      <c r="BL39" s="27"/>
      <c r="BN39" s="13"/>
      <c r="BO39" s="43"/>
      <c r="BP39" s="42"/>
    </row>
    <row r="40" spans="1:68" s="1" customFormat="1" x14ac:dyDescent="0.3">
      <c r="A40" s="12" t="s">
        <v>760</v>
      </c>
      <c r="B40" s="12">
        <v>106006</v>
      </c>
      <c r="C40" s="13" t="s">
        <v>759</v>
      </c>
      <c r="D40" s="13" t="s">
        <v>44</v>
      </c>
      <c r="E40" s="14">
        <v>393</v>
      </c>
      <c r="F40" s="15" t="s">
        <v>137</v>
      </c>
      <c r="G40" s="6">
        <v>137</v>
      </c>
      <c r="H40" s="6">
        <v>200</v>
      </c>
      <c r="I40" s="6">
        <v>142</v>
      </c>
      <c r="J40" s="6">
        <v>168</v>
      </c>
      <c r="K40" s="6">
        <v>170</v>
      </c>
      <c r="L40" s="6">
        <v>208</v>
      </c>
      <c r="M40" s="6">
        <v>189</v>
      </c>
      <c r="N40" s="6">
        <v>224</v>
      </c>
      <c r="O40" s="6">
        <v>220</v>
      </c>
      <c r="P40" s="6">
        <v>199</v>
      </c>
      <c r="Q40" s="6">
        <v>176</v>
      </c>
      <c r="R40" s="6">
        <v>141</v>
      </c>
      <c r="S40" s="6">
        <v>277</v>
      </c>
      <c r="T40" s="6">
        <v>105</v>
      </c>
      <c r="U40" s="6">
        <v>147</v>
      </c>
      <c r="V40" s="6">
        <v>189</v>
      </c>
      <c r="W40" s="6">
        <v>181</v>
      </c>
      <c r="X40" s="6">
        <v>166</v>
      </c>
      <c r="Y40" s="6">
        <v>170</v>
      </c>
      <c r="Z40" s="6">
        <v>147</v>
      </c>
      <c r="AA40" s="6">
        <v>187</v>
      </c>
      <c r="AB40" s="6">
        <v>172</v>
      </c>
      <c r="AC40" s="6">
        <v>146</v>
      </c>
      <c r="AD40" s="6">
        <v>130</v>
      </c>
      <c r="AE40" s="6">
        <v>2174</v>
      </c>
      <c r="AF40" s="6">
        <v>2017</v>
      </c>
      <c r="AG40" s="16">
        <v>4191</v>
      </c>
      <c r="AH40" s="17">
        <v>181.16666666666666</v>
      </c>
      <c r="AI40" s="17">
        <v>168.08333333333334</v>
      </c>
      <c r="AJ40" s="17">
        <v>174.625</v>
      </c>
      <c r="AK40" s="49">
        <v>5.8056834301865921E-4</v>
      </c>
      <c r="AL40" s="48">
        <v>42.270682583329638</v>
      </c>
      <c r="AM40" s="19">
        <v>36.654452840596029</v>
      </c>
      <c r="AN40" s="47">
        <v>0.25148646058500529</v>
      </c>
      <c r="AO40" s="20">
        <v>0.20990381011078613</v>
      </c>
      <c r="AP40" s="44">
        <v>-7.2217111315547283E-2</v>
      </c>
      <c r="AQ40" s="46">
        <v>792681</v>
      </c>
      <c r="AR40" s="45">
        <v>1647063</v>
      </c>
      <c r="AS40" s="22">
        <v>1.0046333680222386E-3</v>
      </c>
      <c r="AT40" s="22">
        <v>0.95799531468533139</v>
      </c>
      <c r="AU40" s="22" t="s">
        <v>215</v>
      </c>
      <c r="AV40" s="22" t="s">
        <v>157</v>
      </c>
      <c r="AW40" s="22" t="s">
        <v>218</v>
      </c>
      <c r="AX40" s="23">
        <v>669</v>
      </c>
      <c r="AY40" s="24">
        <v>3.9801685671789784</v>
      </c>
      <c r="AZ40" s="23">
        <v>280</v>
      </c>
      <c r="BA40" s="26">
        <v>160</v>
      </c>
      <c r="BB40" s="44" t="s">
        <v>154</v>
      </c>
      <c r="BC40" s="26">
        <v>5.6027777777777779</v>
      </c>
      <c r="BD40" s="23">
        <v>30</v>
      </c>
      <c r="BE40" s="26">
        <v>336.16666666666669</v>
      </c>
      <c r="BF40" s="26">
        <v>504.25</v>
      </c>
      <c r="BG40" s="24"/>
      <c r="BI40" s="26"/>
      <c r="BJ40" s="23"/>
      <c r="BK40" s="26"/>
      <c r="BL40" s="27"/>
      <c r="BN40" s="13"/>
      <c r="BO40" s="43"/>
      <c r="BP40" s="42"/>
    </row>
    <row r="41" spans="1:68" s="1" customFormat="1" x14ac:dyDescent="0.3">
      <c r="A41" s="12" t="s">
        <v>758</v>
      </c>
      <c r="B41" s="12">
        <v>104043</v>
      </c>
      <c r="C41" s="13" t="s">
        <v>757</v>
      </c>
      <c r="D41" s="13" t="s">
        <v>53</v>
      </c>
      <c r="E41" s="14">
        <v>37</v>
      </c>
      <c r="F41" s="15" t="s">
        <v>137</v>
      </c>
      <c r="G41" s="6">
        <v>1541</v>
      </c>
      <c r="H41" s="6">
        <v>1487</v>
      </c>
      <c r="I41" s="6">
        <v>1829</v>
      </c>
      <c r="J41" s="6">
        <v>1652</v>
      </c>
      <c r="K41" s="6">
        <v>2254</v>
      </c>
      <c r="L41" s="6">
        <v>2035</v>
      </c>
      <c r="M41" s="6">
        <v>1723</v>
      </c>
      <c r="N41" s="6">
        <v>1898</v>
      </c>
      <c r="O41" s="6">
        <v>1353</v>
      </c>
      <c r="P41" s="6">
        <v>1543</v>
      </c>
      <c r="Q41" s="6">
        <v>1363</v>
      </c>
      <c r="R41" s="6">
        <v>1120</v>
      </c>
      <c r="S41" s="6">
        <v>1903</v>
      </c>
      <c r="T41" s="6">
        <v>1424</v>
      </c>
      <c r="U41" s="6">
        <v>1662</v>
      </c>
      <c r="V41" s="6">
        <v>1561</v>
      </c>
      <c r="W41" s="6">
        <v>1175</v>
      </c>
      <c r="X41" s="6">
        <v>1473.4</v>
      </c>
      <c r="Y41" s="6">
        <v>1728</v>
      </c>
      <c r="Z41" s="6">
        <v>1749</v>
      </c>
      <c r="AA41" s="6">
        <v>1352</v>
      </c>
      <c r="AB41" s="6">
        <v>1437</v>
      </c>
      <c r="AC41" s="6">
        <v>1257</v>
      </c>
      <c r="AD41" s="6">
        <v>1038</v>
      </c>
      <c r="AE41" s="6">
        <v>19798</v>
      </c>
      <c r="AF41" s="6">
        <v>17759.400000000001</v>
      </c>
      <c r="AG41" s="16">
        <v>37557.4</v>
      </c>
      <c r="AH41" s="17">
        <v>1649.8333333333333</v>
      </c>
      <c r="AI41" s="17">
        <v>1479.95</v>
      </c>
      <c r="AJ41" s="17">
        <v>1564.8916666666667</v>
      </c>
      <c r="AK41" s="49">
        <v>5.1118222265768851E-3</v>
      </c>
      <c r="AL41" s="48">
        <v>254.41725391747482</v>
      </c>
      <c r="AM41" s="19">
        <v>294.77089691261381</v>
      </c>
      <c r="AN41" s="47">
        <v>0.17190935769281043</v>
      </c>
      <c r="AO41" s="20">
        <v>0.18836504992099376</v>
      </c>
      <c r="AP41" s="44">
        <v>-0.10296999696939078</v>
      </c>
      <c r="AQ41" s="46">
        <v>657097.80000000005</v>
      </c>
      <c r="AR41" s="45">
        <v>1389623.8</v>
      </c>
      <c r="AS41" s="22">
        <v>8.4760718835761694E-4</v>
      </c>
      <c r="AT41" s="22">
        <v>0.9653576169830842</v>
      </c>
      <c r="AU41" s="22" t="s">
        <v>215</v>
      </c>
      <c r="AV41" s="22" t="s">
        <v>157</v>
      </c>
      <c r="AW41" s="22" t="s">
        <v>218</v>
      </c>
      <c r="AX41" s="23">
        <v>7745</v>
      </c>
      <c r="AY41" s="24">
        <v>5.2332849082739283</v>
      </c>
      <c r="AZ41" s="23">
        <v>2890</v>
      </c>
      <c r="BA41" s="26">
        <v>1650</v>
      </c>
      <c r="BB41" s="44" t="s">
        <v>154</v>
      </c>
      <c r="BC41" s="26">
        <v>49.331666666666671</v>
      </c>
      <c r="BD41" s="23">
        <v>30</v>
      </c>
      <c r="BE41" s="26">
        <v>2959.9</v>
      </c>
      <c r="BF41" s="26">
        <v>4439.8500000000004</v>
      </c>
      <c r="BG41" s="24"/>
      <c r="BI41" s="26"/>
      <c r="BJ41" s="23"/>
      <c r="BK41" s="26"/>
      <c r="BL41" s="27"/>
      <c r="BN41" s="13"/>
      <c r="BO41" s="43"/>
      <c r="BP41" s="42"/>
    </row>
    <row r="42" spans="1:68" s="1" customFormat="1" x14ac:dyDescent="0.3">
      <c r="A42" s="12" t="s">
        <v>756</v>
      </c>
      <c r="B42" s="12">
        <v>103034</v>
      </c>
      <c r="C42" s="13" t="s">
        <v>755</v>
      </c>
      <c r="D42" s="13" t="s">
        <v>44</v>
      </c>
      <c r="E42" s="14">
        <v>207</v>
      </c>
      <c r="F42" s="15" t="s">
        <v>137</v>
      </c>
      <c r="G42" s="6">
        <v>307</v>
      </c>
      <c r="H42" s="6">
        <v>217</v>
      </c>
      <c r="I42" s="6">
        <v>365</v>
      </c>
      <c r="J42" s="6">
        <v>377</v>
      </c>
      <c r="K42" s="6">
        <v>294</v>
      </c>
      <c r="L42" s="6">
        <v>357</v>
      </c>
      <c r="M42" s="6">
        <v>240</v>
      </c>
      <c r="N42" s="6">
        <v>309</v>
      </c>
      <c r="O42" s="6">
        <v>247</v>
      </c>
      <c r="P42" s="6">
        <v>320</v>
      </c>
      <c r="Q42" s="6">
        <v>320</v>
      </c>
      <c r="R42" s="6">
        <v>350</v>
      </c>
      <c r="S42" s="6">
        <v>349</v>
      </c>
      <c r="T42" s="6">
        <v>217</v>
      </c>
      <c r="U42" s="6">
        <v>196</v>
      </c>
      <c r="V42" s="6">
        <v>243</v>
      </c>
      <c r="W42" s="6">
        <v>215</v>
      </c>
      <c r="X42" s="6">
        <v>275</v>
      </c>
      <c r="Y42" s="6">
        <v>304</v>
      </c>
      <c r="Z42" s="6">
        <v>217</v>
      </c>
      <c r="AA42" s="6">
        <v>224</v>
      </c>
      <c r="AB42" s="6">
        <v>286</v>
      </c>
      <c r="AC42" s="6">
        <v>191</v>
      </c>
      <c r="AD42" s="6">
        <v>276</v>
      </c>
      <c r="AE42" s="6">
        <v>3703</v>
      </c>
      <c r="AF42" s="6">
        <v>2993</v>
      </c>
      <c r="AG42" s="16">
        <v>6696</v>
      </c>
      <c r="AH42" s="17">
        <v>308.58333333333331</v>
      </c>
      <c r="AI42" s="17">
        <v>249.41666666666666</v>
      </c>
      <c r="AJ42" s="17">
        <v>279</v>
      </c>
      <c r="AK42" s="49">
        <v>8.6149779407776244E-4</v>
      </c>
      <c r="AL42" s="48">
        <v>48.462653537324847</v>
      </c>
      <c r="AM42" s="19">
        <v>57.529576514285623</v>
      </c>
      <c r="AN42" s="47">
        <v>0.19430399012626068</v>
      </c>
      <c r="AO42" s="20">
        <v>0.20619919897593414</v>
      </c>
      <c r="AP42" s="44">
        <v>-0.1917364299216851</v>
      </c>
      <c r="AQ42" s="46">
        <v>619551</v>
      </c>
      <c r="AR42" s="45">
        <v>1386072</v>
      </c>
      <c r="AS42" s="22">
        <v>8.4544075222460849E-4</v>
      </c>
      <c r="AT42" s="22">
        <v>0.96620305773530879</v>
      </c>
      <c r="AU42" s="22" t="s">
        <v>215</v>
      </c>
      <c r="AV42" s="22" t="s">
        <v>157</v>
      </c>
      <c r="AW42" s="22" t="s">
        <v>218</v>
      </c>
      <c r="AX42" s="23">
        <v>1223</v>
      </c>
      <c r="AY42" s="24">
        <v>4.9034413631807556</v>
      </c>
      <c r="AZ42" s="23">
        <v>438</v>
      </c>
      <c r="BA42" s="26">
        <v>250</v>
      </c>
      <c r="BB42" s="44" t="s">
        <v>154</v>
      </c>
      <c r="BC42" s="26">
        <v>8.3138888888888882</v>
      </c>
      <c r="BD42" s="23">
        <v>30</v>
      </c>
      <c r="BE42" s="26">
        <v>498.83333333333331</v>
      </c>
      <c r="BF42" s="26">
        <v>748.25</v>
      </c>
      <c r="BG42" s="24"/>
      <c r="BI42" s="26"/>
      <c r="BJ42" s="23"/>
      <c r="BK42" s="26"/>
      <c r="BL42" s="27"/>
      <c r="BN42" s="13"/>
      <c r="BO42" s="43"/>
      <c r="BP42" s="42"/>
    </row>
    <row r="43" spans="1:68" s="1" customFormat="1" x14ac:dyDescent="0.3">
      <c r="A43" s="12" t="s">
        <v>754</v>
      </c>
      <c r="B43" s="12">
        <v>102083</v>
      </c>
      <c r="C43" s="13" t="s">
        <v>753</v>
      </c>
      <c r="D43" s="13" t="s">
        <v>62</v>
      </c>
      <c r="E43" s="14">
        <v>18</v>
      </c>
      <c r="F43" s="15" t="s">
        <v>137</v>
      </c>
      <c r="G43" s="6">
        <v>3461</v>
      </c>
      <c r="H43" s="6">
        <v>2866</v>
      </c>
      <c r="I43" s="6">
        <v>3887</v>
      </c>
      <c r="J43" s="6">
        <v>2579</v>
      </c>
      <c r="K43" s="6">
        <v>3519</v>
      </c>
      <c r="L43" s="6">
        <v>3002</v>
      </c>
      <c r="M43" s="6">
        <v>2611</v>
      </c>
      <c r="N43" s="6">
        <v>3530</v>
      </c>
      <c r="O43" s="6">
        <v>2911</v>
      </c>
      <c r="P43" s="6">
        <v>3290</v>
      </c>
      <c r="Q43" s="6">
        <v>2951</v>
      </c>
      <c r="R43" s="6">
        <v>2518</v>
      </c>
      <c r="S43" s="6">
        <v>3043</v>
      </c>
      <c r="T43" s="6">
        <v>2302</v>
      </c>
      <c r="U43" s="6">
        <v>1992</v>
      </c>
      <c r="V43" s="6">
        <v>2961</v>
      </c>
      <c r="W43" s="6">
        <v>3625</v>
      </c>
      <c r="X43" s="6">
        <v>1936</v>
      </c>
      <c r="Y43" s="6">
        <v>3177</v>
      </c>
      <c r="Z43" s="6">
        <v>3257</v>
      </c>
      <c r="AA43" s="6">
        <v>2828</v>
      </c>
      <c r="AB43" s="6">
        <v>3540</v>
      </c>
      <c r="AC43" s="6">
        <v>2704</v>
      </c>
      <c r="AD43" s="6">
        <v>3078</v>
      </c>
      <c r="AE43" s="6">
        <v>37125</v>
      </c>
      <c r="AF43" s="6">
        <v>34443</v>
      </c>
      <c r="AG43" s="16">
        <v>71568</v>
      </c>
      <c r="AH43" s="17">
        <v>3093.75</v>
      </c>
      <c r="AI43" s="17">
        <v>2870.25</v>
      </c>
      <c r="AJ43" s="17">
        <v>2982</v>
      </c>
      <c r="AK43" s="49">
        <v>9.9139888143736626E-3</v>
      </c>
      <c r="AL43" s="48">
        <v>550.99911318192949</v>
      </c>
      <c r="AM43" s="19">
        <v>500.28965523028234</v>
      </c>
      <c r="AN43" s="47">
        <v>0.19196903168083948</v>
      </c>
      <c r="AO43" s="20">
        <v>0.16776983743470233</v>
      </c>
      <c r="AP43" s="44">
        <v>-7.2242424242424247E-2</v>
      </c>
      <c r="AQ43" s="46">
        <v>619974</v>
      </c>
      <c r="AR43" s="45">
        <v>1288224</v>
      </c>
      <c r="AS43" s="22">
        <v>7.8575793147382959E-4</v>
      </c>
      <c r="AT43" s="22">
        <v>0.96698881566678263</v>
      </c>
      <c r="AU43" s="22" t="s">
        <v>215</v>
      </c>
      <c r="AV43" s="22" t="s">
        <v>157</v>
      </c>
      <c r="AW43" s="22" t="s">
        <v>218</v>
      </c>
      <c r="AX43" s="23">
        <v>7458</v>
      </c>
      <c r="AY43" s="24">
        <v>2.598379932061667</v>
      </c>
      <c r="AZ43" s="23">
        <v>0</v>
      </c>
      <c r="BA43" s="26">
        <v>0</v>
      </c>
      <c r="BB43" s="44" t="s">
        <v>154</v>
      </c>
      <c r="BC43" s="26">
        <v>95.674999999999997</v>
      </c>
      <c r="BD43" s="23">
        <v>30</v>
      </c>
      <c r="BE43" s="26">
        <v>5740.5</v>
      </c>
      <c r="BF43" s="26">
        <v>8610.75</v>
      </c>
      <c r="BG43" s="24"/>
      <c r="BI43" s="26"/>
      <c r="BJ43" s="23"/>
      <c r="BK43" s="26"/>
      <c r="BL43" s="27"/>
      <c r="BN43" s="13"/>
      <c r="BO43" s="43"/>
      <c r="BP43" s="42"/>
    </row>
    <row r="44" spans="1:68" s="1" customFormat="1" x14ac:dyDescent="0.3">
      <c r="A44" s="12" t="s">
        <v>752</v>
      </c>
      <c r="B44" s="12">
        <v>104029</v>
      </c>
      <c r="C44" s="13" t="s">
        <v>751</v>
      </c>
      <c r="D44" s="13" t="s">
        <v>53</v>
      </c>
      <c r="E44" s="14">
        <v>18</v>
      </c>
      <c r="F44" s="15" t="s">
        <v>137</v>
      </c>
      <c r="G44" s="6">
        <v>3956</v>
      </c>
      <c r="H44" s="6">
        <v>3671</v>
      </c>
      <c r="I44" s="6">
        <v>4774</v>
      </c>
      <c r="J44" s="6">
        <v>3408</v>
      </c>
      <c r="K44" s="6">
        <v>3665</v>
      </c>
      <c r="L44" s="6">
        <v>3392</v>
      </c>
      <c r="M44" s="6">
        <v>3075</v>
      </c>
      <c r="N44" s="6">
        <v>3581</v>
      </c>
      <c r="O44" s="6">
        <v>2572</v>
      </c>
      <c r="P44" s="6">
        <v>3492</v>
      </c>
      <c r="Q44" s="6">
        <v>2107</v>
      </c>
      <c r="R44" s="6">
        <v>2962</v>
      </c>
      <c r="S44" s="6">
        <v>3120</v>
      </c>
      <c r="T44" s="6">
        <v>2806</v>
      </c>
      <c r="U44" s="6">
        <v>2220</v>
      </c>
      <c r="V44" s="6">
        <v>2920</v>
      </c>
      <c r="W44" s="6">
        <v>2367</v>
      </c>
      <c r="X44" s="6">
        <v>1712</v>
      </c>
      <c r="Y44" s="6">
        <v>3050</v>
      </c>
      <c r="Z44" s="6">
        <v>2691</v>
      </c>
      <c r="AA44" s="6">
        <v>2285</v>
      </c>
      <c r="AB44" s="6">
        <v>2498</v>
      </c>
      <c r="AC44" s="6">
        <v>1907</v>
      </c>
      <c r="AD44" s="6">
        <v>2726</v>
      </c>
      <c r="AE44" s="6">
        <v>40655</v>
      </c>
      <c r="AF44" s="6">
        <v>30302</v>
      </c>
      <c r="AG44" s="16">
        <v>70957</v>
      </c>
      <c r="AH44" s="17">
        <v>3387.9166666666665</v>
      </c>
      <c r="AI44" s="17">
        <v>2525.1666666666665</v>
      </c>
      <c r="AJ44" s="17">
        <v>2956.5416666666665</v>
      </c>
      <c r="AK44" s="49">
        <v>8.7220535102386764E-3</v>
      </c>
      <c r="AL44" s="48">
        <v>442.2878193569382</v>
      </c>
      <c r="AM44" s="19">
        <v>711.79534058889317</v>
      </c>
      <c r="AN44" s="47">
        <v>0.17515193163102299</v>
      </c>
      <c r="AO44" s="20">
        <v>0.24075268365536082</v>
      </c>
      <c r="AP44" s="44">
        <v>-0.25465502398229001</v>
      </c>
      <c r="AQ44" s="46">
        <v>545436</v>
      </c>
      <c r="AR44" s="45">
        <v>1277226</v>
      </c>
      <c r="AS44" s="22">
        <v>7.790496526881921E-4</v>
      </c>
      <c r="AT44" s="22">
        <v>0.96776786531947079</v>
      </c>
      <c r="AU44" s="22" t="s">
        <v>215</v>
      </c>
      <c r="AV44" s="22" t="s">
        <v>157</v>
      </c>
      <c r="AW44" s="22" t="s">
        <v>218</v>
      </c>
      <c r="AX44" s="23">
        <v>22597</v>
      </c>
      <c r="AY44" s="24">
        <v>8.9487162563527161</v>
      </c>
      <c r="AZ44" s="23">
        <v>3690</v>
      </c>
      <c r="BA44" s="26">
        <v>2100</v>
      </c>
      <c r="BB44" s="44" t="s">
        <v>154</v>
      </c>
      <c r="BC44" s="26">
        <v>84.172222222222217</v>
      </c>
      <c r="BD44" s="23">
        <v>30</v>
      </c>
      <c r="BE44" s="26">
        <v>5050.333333333333</v>
      </c>
      <c r="BF44" s="26">
        <v>7575.5</v>
      </c>
      <c r="BG44" s="24"/>
      <c r="BI44" s="26"/>
      <c r="BJ44" s="23"/>
      <c r="BK44" s="26"/>
      <c r="BL44" s="27"/>
      <c r="BN44" s="13"/>
      <c r="BO44" s="43"/>
      <c r="BP44" s="42"/>
    </row>
    <row r="45" spans="1:68" s="1" customFormat="1" x14ac:dyDescent="0.3">
      <c r="A45" s="12" t="s">
        <v>750</v>
      </c>
      <c r="B45" s="12">
        <v>102075</v>
      </c>
      <c r="C45" s="13" t="s">
        <v>749</v>
      </c>
      <c r="D45" s="13" t="s">
        <v>53</v>
      </c>
      <c r="E45" s="14">
        <v>10</v>
      </c>
      <c r="F45" s="15" t="s">
        <v>137</v>
      </c>
      <c r="G45" s="6">
        <v>3345</v>
      </c>
      <c r="H45" s="6">
        <v>4107</v>
      </c>
      <c r="I45" s="6">
        <v>4738</v>
      </c>
      <c r="J45" s="6">
        <v>3975</v>
      </c>
      <c r="K45" s="6">
        <v>4738</v>
      </c>
      <c r="L45" s="6">
        <v>4193</v>
      </c>
      <c r="M45" s="6">
        <v>3838</v>
      </c>
      <c r="N45" s="6">
        <v>5154</v>
      </c>
      <c r="O45" s="6">
        <v>4054</v>
      </c>
      <c r="P45" s="6">
        <v>5148</v>
      </c>
      <c r="Q45" s="6">
        <v>4646</v>
      </c>
      <c r="R45" s="6">
        <v>4405</v>
      </c>
      <c r="S45" s="6">
        <v>5053</v>
      </c>
      <c r="T45" s="6">
        <v>4910</v>
      </c>
      <c r="U45" s="6">
        <v>4458</v>
      </c>
      <c r="V45" s="6">
        <v>5250</v>
      </c>
      <c r="W45" s="6">
        <v>5002</v>
      </c>
      <c r="X45" s="6">
        <v>4184</v>
      </c>
      <c r="Y45" s="6">
        <v>5418</v>
      </c>
      <c r="Z45" s="6">
        <v>5447</v>
      </c>
      <c r="AA45" s="6">
        <v>4793</v>
      </c>
      <c r="AB45" s="6">
        <v>5235</v>
      </c>
      <c r="AC45" s="6">
        <v>4829</v>
      </c>
      <c r="AD45" s="6">
        <v>4686</v>
      </c>
      <c r="AE45" s="6">
        <v>52341</v>
      </c>
      <c r="AF45" s="6">
        <v>59265</v>
      </c>
      <c r="AG45" s="16">
        <v>111606</v>
      </c>
      <c r="AH45" s="17">
        <v>4361.75</v>
      </c>
      <c r="AI45" s="17">
        <v>4938.75</v>
      </c>
      <c r="AJ45" s="17">
        <v>4650.25</v>
      </c>
      <c r="AK45" s="49">
        <v>1.7058692537928029E-2</v>
      </c>
      <c r="AL45" s="48">
        <v>380.0069676394703</v>
      </c>
      <c r="AM45" s="19">
        <v>545.4727706112019</v>
      </c>
      <c r="AN45" s="47">
        <v>7.6943957001158247E-2</v>
      </c>
      <c r="AO45" s="20">
        <v>0.11729966574081004</v>
      </c>
      <c r="AP45" s="44">
        <v>0.13228635295466271</v>
      </c>
      <c r="AQ45" s="46">
        <v>592650</v>
      </c>
      <c r="AR45" s="45">
        <v>1116060</v>
      </c>
      <c r="AS45" s="22">
        <v>6.8074573754306879E-4</v>
      </c>
      <c r="AT45" s="22">
        <v>0.9719804911697939</v>
      </c>
      <c r="AU45" s="22" t="s">
        <v>215</v>
      </c>
      <c r="AV45" s="22" t="s">
        <v>157</v>
      </c>
      <c r="AW45" s="22" t="s">
        <v>218</v>
      </c>
      <c r="AX45" s="23">
        <v>10207</v>
      </c>
      <c r="AY45" s="24">
        <v>2.0667172867628447</v>
      </c>
      <c r="AZ45" s="23">
        <v>8230</v>
      </c>
      <c r="BA45" s="26">
        <v>4700</v>
      </c>
      <c r="BB45" s="44" t="s">
        <v>154</v>
      </c>
      <c r="BC45" s="26">
        <v>164.625</v>
      </c>
      <c r="BD45" s="23">
        <v>30</v>
      </c>
      <c r="BE45" s="26">
        <v>9877.5</v>
      </c>
      <c r="BF45" s="26">
        <v>14816.25</v>
      </c>
      <c r="BG45" s="24"/>
      <c r="BH45" s="1" t="s">
        <v>748</v>
      </c>
      <c r="BI45" s="26">
        <v>20931.26923076923</v>
      </c>
      <c r="BJ45" s="23">
        <v>3.7706719353219808E-5</v>
      </c>
      <c r="BK45" s="26"/>
      <c r="BL45" s="27"/>
      <c r="BN45" s="13"/>
      <c r="BO45" s="43"/>
      <c r="BP45" s="42"/>
    </row>
    <row r="46" spans="1:68" s="1" customFormat="1" x14ac:dyDescent="0.3">
      <c r="A46" s="12" t="s">
        <v>747</v>
      </c>
      <c r="B46" s="12">
        <v>106054</v>
      </c>
      <c r="C46" s="13" t="s">
        <v>746</v>
      </c>
      <c r="D46" s="13" t="s">
        <v>44</v>
      </c>
      <c r="E46" s="14">
        <v>169</v>
      </c>
      <c r="F46" s="15" t="s">
        <v>137</v>
      </c>
      <c r="G46" s="6">
        <v>194</v>
      </c>
      <c r="H46" s="6">
        <v>179</v>
      </c>
      <c r="I46" s="6">
        <v>209</v>
      </c>
      <c r="J46" s="6">
        <v>167</v>
      </c>
      <c r="K46" s="6">
        <v>217</v>
      </c>
      <c r="L46" s="6">
        <v>213</v>
      </c>
      <c r="M46" s="6">
        <v>214</v>
      </c>
      <c r="N46" s="6">
        <v>210</v>
      </c>
      <c r="O46" s="6">
        <v>186</v>
      </c>
      <c r="P46" s="6">
        <v>191</v>
      </c>
      <c r="Q46" s="6">
        <v>205</v>
      </c>
      <c r="R46" s="6">
        <v>275</v>
      </c>
      <c r="S46" s="6">
        <v>180</v>
      </c>
      <c r="T46" s="6">
        <v>172</v>
      </c>
      <c r="U46" s="6">
        <v>153</v>
      </c>
      <c r="V46" s="6">
        <v>211</v>
      </c>
      <c r="W46" s="6">
        <v>193</v>
      </c>
      <c r="X46" s="6">
        <v>188</v>
      </c>
      <c r="Y46" s="6">
        <v>106</v>
      </c>
      <c r="Z46" s="6">
        <v>172</v>
      </c>
      <c r="AA46" s="6">
        <v>202</v>
      </c>
      <c r="AB46" s="6">
        <v>184</v>
      </c>
      <c r="AC46" s="6">
        <v>138</v>
      </c>
      <c r="AD46" s="6">
        <v>152</v>
      </c>
      <c r="AE46" s="6">
        <v>2460</v>
      </c>
      <c r="AF46" s="6">
        <v>2051</v>
      </c>
      <c r="AG46" s="16">
        <v>4511</v>
      </c>
      <c r="AH46" s="17">
        <v>205</v>
      </c>
      <c r="AI46" s="17">
        <v>170.91666666666666</v>
      </c>
      <c r="AJ46" s="17">
        <v>187.95833333333331</v>
      </c>
      <c r="AK46" s="49">
        <v>5.9035481979735746E-4</v>
      </c>
      <c r="AL46" s="48">
        <v>29.518740837069291</v>
      </c>
      <c r="AM46" s="19">
        <v>32.692878052602232</v>
      </c>
      <c r="AN46" s="47">
        <v>0.17270838129928401</v>
      </c>
      <c r="AO46" s="20">
        <v>0.17393683734481349</v>
      </c>
      <c r="AP46" s="44">
        <v>-0.16626016260162607</v>
      </c>
      <c r="AQ46" s="46">
        <v>346619</v>
      </c>
      <c r="AR46" s="45">
        <v>762359</v>
      </c>
      <c r="AS46" s="22">
        <v>4.6500424683941402E-4</v>
      </c>
      <c r="AT46" s="22">
        <v>0.97920253456910145</v>
      </c>
      <c r="AU46" s="22" t="s">
        <v>215</v>
      </c>
      <c r="AV46" s="22" t="s">
        <v>157</v>
      </c>
      <c r="AW46" s="22" t="s">
        <v>218</v>
      </c>
      <c r="AX46" s="23">
        <v>576</v>
      </c>
      <c r="AY46" s="24">
        <v>3.3700633837152609</v>
      </c>
      <c r="AZ46" s="23">
        <v>300</v>
      </c>
      <c r="BA46" s="26">
        <v>170</v>
      </c>
      <c r="BB46" s="44" t="s">
        <v>154</v>
      </c>
      <c r="BC46" s="26">
        <v>5.697222222222222</v>
      </c>
      <c r="BD46" s="23">
        <v>30</v>
      </c>
      <c r="BE46" s="26">
        <v>341.83333333333331</v>
      </c>
      <c r="BF46" s="26">
        <v>512.75</v>
      </c>
      <c r="BG46" s="24"/>
      <c r="BI46" s="26"/>
      <c r="BJ46" s="23"/>
      <c r="BK46" s="26"/>
      <c r="BL46" s="27"/>
      <c r="BN46" s="13"/>
      <c r="BO46" s="43"/>
      <c r="BP46" s="42"/>
    </row>
    <row r="47" spans="1:68" s="1" customFormat="1" x14ac:dyDescent="0.3">
      <c r="A47" s="12" t="s">
        <v>745</v>
      </c>
      <c r="B47" s="12">
        <v>106011</v>
      </c>
      <c r="C47" s="13" t="s">
        <v>744</v>
      </c>
      <c r="D47" s="13" t="s">
        <v>44</v>
      </c>
      <c r="E47" s="14">
        <v>81</v>
      </c>
      <c r="F47" s="15" t="s">
        <v>137</v>
      </c>
      <c r="G47" s="6">
        <v>366</v>
      </c>
      <c r="H47" s="6">
        <v>298</v>
      </c>
      <c r="I47" s="6">
        <v>400</v>
      </c>
      <c r="J47" s="6">
        <v>289</v>
      </c>
      <c r="K47" s="6">
        <v>409</v>
      </c>
      <c r="L47" s="6">
        <v>327</v>
      </c>
      <c r="M47" s="6">
        <v>362</v>
      </c>
      <c r="N47" s="6">
        <v>546</v>
      </c>
      <c r="O47" s="6">
        <v>315</v>
      </c>
      <c r="P47" s="6">
        <v>338</v>
      </c>
      <c r="Q47" s="6">
        <v>385</v>
      </c>
      <c r="R47" s="6">
        <v>372</v>
      </c>
      <c r="S47" s="6">
        <v>392</v>
      </c>
      <c r="T47" s="6">
        <v>292</v>
      </c>
      <c r="U47" s="6">
        <v>302</v>
      </c>
      <c r="V47" s="6">
        <v>443</v>
      </c>
      <c r="W47" s="6">
        <v>328</v>
      </c>
      <c r="X47" s="6">
        <v>316</v>
      </c>
      <c r="Y47" s="6">
        <v>364</v>
      </c>
      <c r="Z47" s="6">
        <v>360</v>
      </c>
      <c r="AA47" s="6">
        <v>328</v>
      </c>
      <c r="AB47" s="6">
        <v>399</v>
      </c>
      <c r="AC47" s="6">
        <v>346</v>
      </c>
      <c r="AD47" s="6">
        <v>362</v>
      </c>
      <c r="AE47" s="6">
        <v>4407</v>
      </c>
      <c r="AF47" s="6">
        <v>4232</v>
      </c>
      <c r="AG47" s="16">
        <v>8639</v>
      </c>
      <c r="AH47" s="17">
        <v>367.25</v>
      </c>
      <c r="AI47" s="17">
        <v>352.66666666666669</v>
      </c>
      <c r="AJ47" s="17">
        <v>359.95833333333337</v>
      </c>
      <c r="AK47" s="49">
        <v>1.21812852139562E-3</v>
      </c>
      <c r="AL47" s="48">
        <v>43.668864159372227</v>
      </c>
      <c r="AM47" s="19">
        <v>56.534313679290491</v>
      </c>
      <c r="AN47" s="47">
        <v>0.12382475659557342</v>
      </c>
      <c r="AO47" s="20">
        <v>0.15705793822236042</v>
      </c>
      <c r="AP47" s="44">
        <v>-3.9709552983889215E-2</v>
      </c>
      <c r="AQ47" s="46">
        <v>342792</v>
      </c>
      <c r="AR47" s="45">
        <v>699759</v>
      </c>
      <c r="AS47" s="22">
        <v>4.2682109972349186E-4</v>
      </c>
      <c r="AT47" s="22">
        <v>0.98187431916459933</v>
      </c>
      <c r="AU47" s="22" t="s">
        <v>215</v>
      </c>
      <c r="AV47" s="22" t="s">
        <v>157</v>
      </c>
      <c r="AW47" s="22" t="s">
        <v>218</v>
      </c>
      <c r="AX47" s="23">
        <v>1849</v>
      </c>
      <c r="AY47" s="24">
        <v>5.2429111531190919</v>
      </c>
      <c r="AZ47" s="23">
        <v>525</v>
      </c>
      <c r="BA47" s="26">
        <v>320</v>
      </c>
      <c r="BB47" s="44" t="s">
        <v>154</v>
      </c>
      <c r="BC47" s="26">
        <v>11.755555555555556</v>
      </c>
      <c r="BD47" s="23">
        <v>30</v>
      </c>
      <c r="BE47" s="26">
        <v>705.33333333333337</v>
      </c>
      <c r="BF47" s="26">
        <v>1058</v>
      </c>
      <c r="BG47" s="24"/>
      <c r="BI47" s="26"/>
      <c r="BJ47" s="23"/>
      <c r="BK47" s="26"/>
      <c r="BL47" s="27"/>
      <c r="BN47" s="13"/>
      <c r="BO47" s="43"/>
      <c r="BP47" s="42"/>
    </row>
    <row r="48" spans="1:68" s="1" customFormat="1" x14ac:dyDescent="0.3">
      <c r="A48" s="12" t="s">
        <v>743</v>
      </c>
      <c r="B48" s="12">
        <v>102037</v>
      </c>
      <c r="C48" s="13" t="s">
        <v>742</v>
      </c>
      <c r="D48" s="13" t="s">
        <v>53</v>
      </c>
      <c r="E48" s="14">
        <v>8</v>
      </c>
      <c r="F48" s="15" t="s">
        <v>137</v>
      </c>
      <c r="G48" s="6">
        <v>2334</v>
      </c>
      <c r="H48" s="6">
        <v>1921</v>
      </c>
      <c r="I48" s="6">
        <v>1981</v>
      </c>
      <c r="J48" s="6">
        <v>2082</v>
      </c>
      <c r="K48" s="6">
        <v>2515</v>
      </c>
      <c r="L48" s="6">
        <v>2029</v>
      </c>
      <c r="M48" s="6">
        <v>2200</v>
      </c>
      <c r="N48" s="6">
        <v>2422</v>
      </c>
      <c r="O48" s="6">
        <v>2523</v>
      </c>
      <c r="P48" s="6">
        <v>2036</v>
      </c>
      <c r="Q48" s="6">
        <v>2063</v>
      </c>
      <c r="R48" s="6">
        <v>2030</v>
      </c>
      <c r="S48" s="6">
        <v>2420</v>
      </c>
      <c r="T48" s="6">
        <v>1949</v>
      </c>
      <c r="U48" s="6">
        <v>2436</v>
      </c>
      <c r="V48" s="6">
        <v>2569</v>
      </c>
      <c r="W48" s="6">
        <v>2814</v>
      </c>
      <c r="X48" s="6">
        <v>2526</v>
      </c>
      <c r="Y48" s="6">
        <v>2576</v>
      </c>
      <c r="Z48" s="6">
        <v>2588</v>
      </c>
      <c r="AA48" s="6">
        <v>2289</v>
      </c>
      <c r="AB48" s="6">
        <v>2738</v>
      </c>
      <c r="AC48" s="6">
        <v>2137</v>
      </c>
      <c r="AD48" s="6">
        <v>2427</v>
      </c>
      <c r="AE48" s="6">
        <v>26136</v>
      </c>
      <c r="AF48" s="6">
        <v>29469</v>
      </c>
      <c r="AG48" s="16">
        <v>55605</v>
      </c>
      <c r="AH48" s="17">
        <v>2178</v>
      </c>
      <c r="AI48" s="17">
        <v>2455.75</v>
      </c>
      <c r="AJ48" s="17">
        <v>2316.875</v>
      </c>
      <c r="AK48" s="49">
        <v>8.4822848291605697E-3</v>
      </c>
      <c r="AL48" s="48">
        <v>242.4151679172812</v>
      </c>
      <c r="AM48" s="19">
        <v>265.21563212174942</v>
      </c>
      <c r="AN48" s="47">
        <v>9.8713292443156339E-2</v>
      </c>
      <c r="AO48" s="20">
        <v>0.11447127364305343</v>
      </c>
      <c r="AP48" s="44">
        <v>0.12752525252525251</v>
      </c>
      <c r="AQ48" s="46">
        <v>235752</v>
      </c>
      <c r="AR48" s="45">
        <v>444840</v>
      </c>
      <c r="AS48" s="22">
        <v>2.713321272052208E-4</v>
      </c>
      <c r="AT48" s="22">
        <v>0.99142516978523054</v>
      </c>
      <c r="AU48" s="22" t="s">
        <v>215</v>
      </c>
      <c r="AV48" s="22" t="s">
        <v>157</v>
      </c>
      <c r="AW48" s="22" t="s">
        <v>218</v>
      </c>
      <c r="AX48" s="23">
        <v>9293</v>
      </c>
      <c r="AY48" s="24">
        <v>3.784179985747735</v>
      </c>
      <c r="AZ48" s="23">
        <v>4620</v>
      </c>
      <c r="BA48" s="26">
        <v>2200</v>
      </c>
      <c r="BB48" s="44" t="s">
        <v>154</v>
      </c>
      <c r="BC48" s="26">
        <v>81.858333333333334</v>
      </c>
      <c r="BD48" s="23">
        <v>30</v>
      </c>
      <c r="BE48" s="26">
        <v>4911.5</v>
      </c>
      <c r="BF48" s="26">
        <v>7367.25</v>
      </c>
      <c r="BG48" s="24"/>
      <c r="BI48" s="26"/>
      <c r="BJ48" s="23"/>
      <c r="BK48" s="26"/>
      <c r="BL48" s="27"/>
      <c r="BN48" s="13"/>
      <c r="BO48" s="43"/>
      <c r="BP48" s="42"/>
    </row>
    <row r="49" spans="1:68" s="1" customFormat="1" x14ac:dyDescent="0.3">
      <c r="A49" s="12" t="s">
        <v>741</v>
      </c>
      <c r="B49" s="12">
        <v>102028</v>
      </c>
      <c r="C49" s="13" t="s">
        <v>740</v>
      </c>
      <c r="D49" s="13" t="s">
        <v>53</v>
      </c>
      <c r="E49" s="14">
        <v>15</v>
      </c>
      <c r="F49" s="15" t="s">
        <v>137</v>
      </c>
      <c r="G49" s="6">
        <v>1284</v>
      </c>
      <c r="H49" s="6">
        <v>922</v>
      </c>
      <c r="I49" s="6">
        <v>800</v>
      </c>
      <c r="J49" s="6">
        <v>757</v>
      </c>
      <c r="K49" s="6">
        <v>1146</v>
      </c>
      <c r="L49" s="6">
        <v>819</v>
      </c>
      <c r="M49" s="6">
        <v>863</v>
      </c>
      <c r="N49" s="6">
        <v>847</v>
      </c>
      <c r="O49" s="6">
        <v>1034</v>
      </c>
      <c r="P49" s="6">
        <v>1129</v>
      </c>
      <c r="Q49" s="6">
        <v>895</v>
      </c>
      <c r="R49" s="6">
        <v>1036</v>
      </c>
      <c r="S49" s="6">
        <v>982</v>
      </c>
      <c r="T49" s="6">
        <v>465</v>
      </c>
      <c r="U49" s="6">
        <v>713</v>
      </c>
      <c r="V49" s="6">
        <v>1165</v>
      </c>
      <c r="W49" s="6">
        <v>978</v>
      </c>
      <c r="X49" s="6">
        <v>774</v>
      </c>
      <c r="Y49" s="6">
        <v>606</v>
      </c>
      <c r="Z49" s="6">
        <v>913</v>
      </c>
      <c r="AA49" s="6">
        <v>580</v>
      </c>
      <c r="AB49" s="6">
        <v>788</v>
      </c>
      <c r="AC49" s="6">
        <v>690</v>
      </c>
      <c r="AD49" s="6">
        <v>633</v>
      </c>
      <c r="AE49" s="6">
        <v>11532</v>
      </c>
      <c r="AF49" s="6">
        <v>9287</v>
      </c>
      <c r="AG49" s="16">
        <v>20819</v>
      </c>
      <c r="AH49" s="17">
        <v>961</v>
      </c>
      <c r="AI49" s="17">
        <v>773.91666666666663</v>
      </c>
      <c r="AJ49" s="17">
        <v>867.45833333333326</v>
      </c>
      <c r="AK49" s="49">
        <v>2.6731473483462011E-3</v>
      </c>
      <c r="AL49" s="48">
        <v>202.09739251312988</v>
      </c>
      <c r="AM49" s="19">
        <v>203.57542756959859</v>
      </c>
      <c r="AN49" s="47">
        <v>0.26113585766744468</v>
      </c>
      <c r="AO49" s="20">
        <v>0.23468035264279583</v>
      </c>
      <c r="AP49" s="44">
        <v>-0.19467568505029487</v>
      </c>
      <c r="AQ49" s="46">
        <v>139305</v>
      </c>
      <c r="AR49" s="45">
        <v>312285</v>
      </c>
      <c r="AS49" s="22">
        <v>1.9047961816446898E-4</v>
      </c>
      <c r="AT49" s="22">
        <v>0.99441275157569087</v>
      </c>
      <c r="AU49" s="22" t="s">
        <v>215</v>
      </c>
      <c r="AV49" s="22" t="s">
        <v>157</v>
      </c>
      <c r="AW49" s="22" t="s">
        <v>218</v>
      </c>
      <c r="AX49" s="23">
        <v>13648</v>
      </c>
      <c r="AY49" s="24">
        <v>17.634973619037364</v>
      </c>
      <c r="AZ49" s="23">
        <v>0</v>
      </c>
      <c r="BA49" s="26">
        <v>0</v>
      </c>
      <c r="BB49" s="44" t="s">
        <v>154</v>
      </c>
      <c r="BC49" s="26">
        <v>25.797222222222221</v>
      </c>
      <c r="BD49" s="23">
        <v>30</v>
      </c>
      <c r="BE49" s="26">
        <v>1547.8333333333333</v>
      </c>
      <c r="BF49" s="26">
        <v>2321.75</v>
      </c>
      <c r="BG49" s="24"/>
      <c r="BI49" s="26"/>
      <c r="BJ49" s="23"/>
      <c r="BK49" s="26"/>
      <c r="BL49" s="27"/>
      <c r="BN49" s="13"/>
      <c r="BO49" s="43"/>
      <c r="BP49" s="42"/>
    </row>
    <row r="50" spans="1:68" s="1" customFormat="1" x14ac:dyDescent="0.3">
      <c r="A50" s="12" t="s">
        <v>739</v>
      </c>
      <c r="B50" s="12">
        <v>109043</v>
      </c>
      <c r="C50" s="13" t="s">
        <v>738</v>
      </c>
      <c r="D50" s="13" t="s">
        <v>53</v>
      </c>
      <c r="E50" s="14">
        <v>34</v>
      </c>
      <c r="F50" s="15" t="s">
        <v>137</v>
      </c>
      <c r="G50" s="6">
        <v>411</v>
      </c>
      <c r="H50" s="6">
        <v>361</v>
      </c>
      <c r="I50" s="6">
        <v>399</v>
      </c>
      <c r="J50" s="6">
        <v>302</v>
      </c>
      <c r="K50" s="6">
        <v>403</v>
      </c>
      <c r="L50" s="6">
        <v>351</v>
      </c>
      <c r="M50" s="6">
        <v>321</v>
      </c>
      <c r="N50" s="6">
        <v>375</v>
      </c>
      <c r="O50" s="6">
        <v>421</v>
      </c>
      <c r="P50" s="6">
        <v>366</v>
      </c>
      <c r="Q50" s="6">
        <v>223</v>
      </c>
      <c r="R50" s="6">
        <v>258</v>
      </c>
      <c r="S50" s="6">
        <v>282</v>
      </c>
      <c r="T50" s="6">
        <v>285</v>
      </c>
      <c r="U50" s="6">
        <v>280</v>
      </c>
      <c r="V50" s="6">
        <v>325</v>
      </c>
      <c r="W50" s="6">
        <v>255</v>
      </c>
      <c r="X50" s="6">
        <v>327</v>
      </c>
      <c r="Y50" s="6">
        <v>250</v>
      </c>
      <c r="Z50" s="6">
        <v>312</v>
      </c>
      <c r="AA50" s="6">
        <v>238</v>
      </c>
      <c r="AB50" s="6">
        <v>466</v>
      </c>
      <c r="AC50" s="6">
        <v>316</v>
      </c>
      <c r="AD50" s="6">
        <v>437</v>
      </c>
      <c r="AE50" s="6">
        <v>4191</v>
      </c>
      <c r="AF50" s="6">
        <v>3773</v>
      </c>
      <c r="AG50" s="16">
        <v>7964</v>
      </c>
      <c r="AH50" s="17">
        <v>349.25</v>
      </c>
      <c r="AI50" s="17">
        <v>314.41666666666669</v>
      </c>
      <c r="AJ50" s="17">
        <v>331.83333333333337</v>
      </c>
      <c r="AK50" s="49">
        <v>1.0860110848831934E-3</v>
      </c>
      <c r="AL50" s="48">
        <v>70.648243024326149</v>
      </c>
      <c r="AM50" s="19">
        <v>67.530776665913265</v>
      </c>
      <c r="AN50" s="47">
        <v>0.22469624073467101</v>
      </c>
      <c r="AO50" s="20">
        <v>0.20350811652208917</v>
      </c>
      <c r="AP50" s="44">
        <v>-9.9737532808398893E-2</v>
      </c>
      <c r="AQ50" s="46">
        <v>128282</v>
      </c>
      <c r="AR50" s="45">
        <v>270776</v>
      </c>
      <c r="AS50" s="22">
        <v>1.6516101986359337E-4</v>
      </c>
      <c r="AT50" s="22">
        <v>0.99581614569998755</v>
      </c>
      <c r="AU50" s="22" t="s">
        <v>215</v>
      </c>
      <c r="AV50" s="22" t="s">
        <v>157</v>
      </c>
      <c r="AW50" s="22" t="s">
        <v>218</v>
      </c>
      <c r="AX50" s="23">
        <v>2327</v>
      </c>
      <c r="AY50" s="24">
        <v>7.4010071561091966</v>
      </c>
      <c r="AZ50" s="23">
        <v>690</v>
      </c>
      <c r="BA50" s="26">
        <v>330</v>
      </c>
      <c r="BB50" s="44" t="s">
        <v>154</v>
      </c>
      <c r="BC50" s="26">
        <v>10.480555555555556</v>
      </c>
      <c r="BD50" s="23">
        <v>30</v>
      </c>
      <c r="BE50" s="26">
        <v>628.83333333333337</v>
      </c>
      <c r="BF50" s="26">
        <v>943.25</v>
      </c>
      <c r="BG50" s="24"/>
      <c r="BI50" s="26"/>
      <c r="BJ50" s="23"/>
      <c r="BK50" s="26"/>
      <c r="BL50" s="27"/>
      <c r="BN50" s="13"/>
      <c r="BO50" s="43"/>
      <c r="BP50" s="42"/>
    </row>
    <row r="51" spans="1:68" s="1" customFormat="1" x14ac:dyDescent="0.3">
      <c r="A51" s="12" t="s">
        <v>737</v>
      </c>
      <c r="B51" s="12">
        <v>106004</v>
      </c>
      <c r="C51" s="13" t="s">
        <v>736</v>
      </c>
      <c r="D51" s="13" t="s">
        <v>44</v>
      </c>
      <c r="E51" s="14">
        <v>80</v>
      </c>
      <c r="F51" s="15" t="s">
        <v>137</v>
      </c>
      <c r="G51" s="6">
        <v>77</v>
      </c>
      <c r="H51" s="6">
        <v>95</v>
      </c>
      <c r="I51" s="6">
        <v>102</v>
      </c>
      <c r="J51" s="6">
        <v>71</v>
      </c>
      <c r="K51" s="6">
        <v>134</v>
      </c>
      <c r="L51" s="6">
        <v>109</v>
      </c>
      <c r="M51" s="6">
        <v>131</v>
      </c>
      <c r="N51" s="6">
        <v>145</v>
      </c>
      <c r="O51" s="6">
        <v>169</v>
      </c>
      <c r="P51" s="6">
        <v>112</v>
      </c>
      <c r="Q51" s="6">
        <v>118</v>
      </c>
      <c r="R51" s="6">
        <v>118</v>
      </c>
      <c r="S51" s="6">
        <v>113</v>
      </c>
      <c r="T51" s="6">
        <v>99</v>
      </c>
      <c r="U51" s="6">
        <v>120</v>
      </c>
      <c r="V51" s="6">
        <v>134</v>
      </c>
      <c r="W51" s="6">
        <v>88</v>
      </c>
      <c r="X51" s="6">
        <v>101</v>
      </c>
      <c r="Y51" s="6">
        <v>181</v>
      </c>
      <c r="Z51" s="6">
        <v>82</v>
      </c>
      <c r="AA51" s="6">
        <v>85</v>
      </c>
      <c r="AB51" s="6">
        <v>122</v>
      </c>
      <c r="AC51" s="6">
        <v>75</v>
      </c>
      <c r="AD51" s="6">
        <v>131</v>
      </c>
      <c r="AE51" s="6">
        <v>1381</v>
      </c>
      <c r="AF51" s="6">
        <v>1331</v>
      </c>
      <c r="AG51" s="16">
        <v>2712</v>
      </c>
      <c r="AH51" s="17">
        <v>115.08333333333333</v>
      </c>
      <c r="AI51" s="17">
        <v>110.91666666666667</v>
      </c>
      <c r="AJ51" s="17">
        <v>113</v>
      </c>
      <c r="AK51" s="49">
        <v>3.8311178213080581E-4</v>
      </c>
      <c r="AL51" s="48">
        <v>29.574123619792811</v>
      </c>
      <c r="AM51" s="19">
        <v>28.106938645110393</v>
      </c>
      <c r="AN51" s="47">
        <v>0.26663372159091941</v>
      </c>
      <c r="AO51" s="20">
        <v>0.24873397031071146</v>
      </c>
      <c r="AP51" s="44">
        <v>-3.6205648081100571E-2</v>
      </c>
      <c r="AQ51" s="46">
        <v>106480</v>
      </c>
      <c r="AR51" s="45">
        <v>216960</v>
      </c>
      <c r="AS51" s="22">
        <v>1.3233571243243572E-4</v>
      </c>
      <c r="AT51" s="22">
        <v>0.99696505707816396</v>
      </c>
      <c r="AU51" s="22" t="s">
        <v>215</v>
      </c>
      <c r="AV51" s="22" t="s">
        <v>157</v>
      </c>
      <c r="AW51" s="22" t="s">
        <v>218</v>
      </c>
      <c r="AX51" s="23">
        <v>515</v>
      </c>
      <c r="AY51" s="24">
        <v>4.6431254695717508</v>
      </c>
      <c r="AZ51" s="23">
        <v>210</v>
      </c>
      <c r="BA51" s="26">
        <v>100</v>
      </c>
      <c r="BB51" s="44" t="s">
        <v>154</v>
      </c>
      <c r="BC51" s="26">
        <v>3.6972222222222224</v>
      </c>
      <c r="BD51" s="23">
        <v>30</v>
      </c>
      <c r="BE51" s="26">
        <v>221.83333333333334</v>
      </c>
      <c r="BF51" s="26">
        <v>332.75</v>
      </c>
      <c r="BG51" s="24"/>
      <c r="BI51" s="26"/>
      <c r="BJ51" s="23"/>
      <c r="BK51" s="26"/>
      <c r="BL51" s="27"/>
      <c r="BN51" s="13"/>
      <c r="BO51" s="43"/>
      <c r="BP51" s="42"/>
    </row>
    <row r="52" spans="1:68" s="1" customFormat="1" x14ac:dyDescent="0.3">
      <c r="A52" s="12" t="s">
        <v>735</v>
      </c>
      <c r="B52" s="12">
        <v>104009</v>
      </c>
      <c r="C52" s="13" t="s">
        <v>734</v>
      </c>
      <c r="D52" s="13" t="s">
        <v>53</v>
      </c>
      <c r="E52" s="14">
        <v>7</v>
      </c>
      <c r="F52" s="15" t="s">
        <v>137</v>
      </c>
      <c r="G52" s="6">
        <v>1189</v>
      </c>
      <c r="H52" s="6">
        <v>1158</v>
      </c>
      <c r="I52" s="6">
        <v>1199</v>
      </c>
      <c r="J52" s="6">
        <v>1052</v>
      </c>
      <c r="K52" s="6">
        <v>1220</v>
      </c>
      <c r="L52" s="6">
        <v>861</v>
      </c>
      <c r="M52" s="6">
        <v>1058</v>
      </c>
      <c r="N52" s="6">
        <v>1361</v>
      </c>
      <c r="O52" s="6">
        <v>1202</v>
      </c>
      <c r="P52" s="6">
        <v>863</v>
      </c>
      <c r="Q52" s="6">
        <v>1374</v>
      </c>
      <c r="R52" s="6">
        <v>1179</v>
      </c>
      <c r="S52" s="6">
        <v>1117</v>
      </c>
      <c r="T52" s="6">
        <v>537</v>
      </c>
      <c r="U52" s="6">
        <v>1250</v>
      </c>
      <c r="V52" s="6">
        <v>1570</v>
      </c>
      <c r="W52" s="6">
        <v>1817</v>
      </c>
      <c r="X52" s="6">
        <v>1153</v>
      </c>
      <c r="Y52" s="6">
        <v>1441</v>
      </c>
      <c r="Z52" s="6">
        <v>1618</v>
      </c>
      <c r="AA52" s="6">
        <v>1222</v>
      </c>
      <c r="AB52" s="6">
        <v>1041</v>
      </c>
      <c r="AC52" s="6">
        <v>1099</v>
      </c>
      <c r="AD52" s="6">
        <v>1470</v>
      </c>
      <c r="AE52" s="6">
        <v>13716</v>
      </c>
      <c r="AF52" s="6">
        <v>15335</v>
      </c>
      <c r="AG52" s="16">
        <v>29051</v>
      </c>
      <c r="AH52" s="17">
        <v>1143</v>
      </c>
      <c r="AI52" s="17">
        <v>1277.9166666666667</v>
      </c>
      <c r="AJ52" s="17">
        <v>1210.4583333333335</v>
      </c>
      <c r="AK52" s="49">
        <v>4.4139888647452344E-3</v>
      </c>
      <c r="AL52" s="48">
        <v>335.42034912339579</v>
      </c>
      <c r="AM52" s="19">
        <v>266.80785777599317</v>
      </c>
      <c r="AN52" s="47">
        <v>0.26247435210177694</v>
      </c>
      <c r="AO52" s="20">
        <v>0.22041886980220424</v>
      </c>
      <c r="AP52" s="44">
        <v>0.11803732866724999</v>
      </c>
      <c r="AQ52" s="46">
        <v>107345</v>
      </c>
      <c r="AR52" s="45">
        <v>203357</v>
      </c>
      <c r="AS52" s="22">
        <v>1.240385023650573E-4</v>
      </c>
      <c r="AT52" s="22">
        <v>0.99721372756855131</v>
      </c>
      <c r="AU52" s="22" t="s">
        <v>215</v>
      </c>
      <c r="AV52" s="22" t="s">
        <v>157</v>
      </c>
      <c r="AW52" s="22" t="s">
        <v>218</v>
      </c>
      <c r="AX52" s="23">
        <v>5056</v>
      </c>
      <c r="AY52" s="24">
        <v>3.9564395174437559</v>
      </c>
      <c r="AZ52" s="23">
        <v>2100</v>
      </c>
      <c r="BA52" s="26">
        <v>1000</v>
      </c>
      <c r="BB52" s="44" t="s">
        <v>154</v>
      </c>
      <c r="BC52" s="26">
        <v>42.597222222222221</v>
      </c>
      <c r="BD52" s="23">
        <v>30</v>
      </c>
      <c r="BE52" s="26">
        <v>2555.8333333333335</v>
      </c>
      <c r="BF52" s="26">
        <v>3833.75</v>
      </c>
      <c r="BG52" s="24"/>
      <c r="BI52" s="26"/>
      <c r="BJ52" s="23"/>
      <c r="BK52" s="26"/>
      <c r="BL52" s="27"/>
      <c r="BN52" s="13"/>
      <c r="BO52" s="43"/>
      <c r="BP52" s="42"/>
    </row>
    <row r="53" spans="1:68" s="1" customFormat="1" x14ac:dyDescent="0.3">
      <c r="A53" s="12" t="s">
        <v>733</v>
      </c>
      <c r="B53" s="12">
        <v>102144</v>
      </c>
      <c r="C53" s="13" t="s">
        <v>732</v>
      </c>
      <c r="D53" s="13" t="s">
        <v>62</v>
      </c>
      <c r="E53" s="14">
        <v>18</v>
      </c>
      <c r="F53" s="15" t="s">
        <v>137</v>
      </c>
      <c r="G53" s="6">
        <v>135</v>
      </c>
      <c r="H53" s="6">
        <v>134</v>
      </c>
      <c r="I53" s="6">
        <v>209</v>
      </c>
      <c r="J53" s="6">
        <v>182</v>
      </c>
      <c r="K53" s="6">
        <v>194</v>
      </c>
      <c r="L53" s="6">
        <v>204</v>
      </c>
      <c r="M53" s="6">
        <v>196</v>
      </c>
      <c r="N53" s="6">
        <v>164</v>
      </c>
      <c r="O53" s="6">
        <v>174</v>
      </c>
      <c r="P53" s="6">
        <v>148</v>
      </c>
      <c r="Q53" s="6">
        <v>110</v>
      </c>
      <c r="R53" s="6">
        <v>144</v>
      </c>
      <c r="S53" s="6">
        <v>157</v>
      </c>
      <c r="T53" s="6">
        <v>180</v>
      </c>
      <c r="U53" s="6">
        <v>173</v>
      </c>
      <c r="V53" s="6">
        <v>162</v>
      </c>
      <c r="W53" s="6">
        <v>106</v>
      </c>
      <c r="X53" s="6">
        <v>114</v>
      </c>
      <c r="Y53" s="6">
        <v>128</v>
      </c>
      <c r="Z53" s="6">
        <v>166</v>
      </c>
      <c r="AA53" s="6">
        <v>102</v>
      </c>
      <c r="AB53" s="6">
        <v>149</v>
      </c>
      <c r="AC53" s="6">
        <v>159</v>
      </c>
      <c r="AD53" s="6">
        <v>144</v>
      </c>
      <c r="AE53" s="6">
        <v>1994</v>
      </c>
      <c r="AF53" s="6">
        <v>1740</v>
      </c>
      <c r="AG53" s="16">
        <v>3734</v>
      </c>
      <c r="AH53" s="17">
        <v>166.16666666666666</v>
      </c>
      <c r="AI53" s="17">
        <v>145</v>
      </c>
      <c r="AJ53" s="17">
        <v>155.58333333333331</v>
      </c>
      <c r="AK53" s="49">
        <v>5.0083734102749971E-4</v>
      </c>
      <c r="AL53" s="48">
        <v>26.484987171122917</v>
      </c>
      <c r="AM53" s="19">
        <v>30.66922642120867</v>
      </c>
      <c r="AN53" s="47">
        <v>0.18265508393877875</v>
      </c>
      <c r="AO53" s="20">
        <v>0.19712411197348906</v>
      </c>
      <c r="AP53" s="44">
        <v>-0.12738214643931792</v>
      </c>
      <c r="AQ53" s="46">
        <v>31320</v>
      </c>
      <c r="AR53" s="45">
        <v>67212</v>
      </c>
      <c r="AS53" s="22">
        <v>4.0996256932194276E-5</v>
      </c>
      <c r="AT53" s="22">
        <v>0.99954997806374546</v>
      </c>
      <c r="AU53" s="22" t="s">
        <v>215</v>
      </c>
      <c r="AV53" s="22" t="s">
        <v>157</v>
      </c>
      <c r="AW53" s="22" t="s">
        <v>218</v>
      </c>
      <c r="AX53" s="23">
        <v>146</v>
      </c>
      <c r="AY53" s="24">
        <v>1.0068965517241379</v>
      </c>
      <c r="AZ53" s="23">
        <v>385</v>
      </c>
      <c r="BA53" s="26">
        <v>220</v>
      </c>
      <c r="BB53" s="44" t="s">
        <v>198</v>
      </c>
      <c r="BC53" s="26">
        <v>4.833333333333333</v>
      </c>
      <c r="BD53" s="23">
        <v>30</v>
      </c>
      <c r="BE53" s="26">
        <v>290</v>
      </c>
      <c r="BF53" s="26">
        <v>435</v>
      </c>
      <c r="BG53" s="24"/>
      <c r="BI53" s="26"/>
      <c r="BJ53" s="23"/>
      <c r="BK53" s="26"/>
      <c r="BL53" s="27"/>
      <c r="BN53" s="13"/>
      <c r="BO53" s="43"/>
      <c r="BP53" s="42"/>
    </row>
    <row r="54" spans="1:68" s="1" customFormat="1" x14ac:dyDescent="0.3">
      <c r="A54" s="12" t="s">
        <v>731</v>
      </c>
      <c r="B54" s="12">
        <v>102213</v>
      </c>
      <c r="C54" s="13" t="s">
        <v>730</v>
      </c>
      <c r="D54" s="13" t="s">
        <v>55</v>
      </c>
      <c r="E54" s="14">
        <v>4760</v>
      </c>
      <c r="F54" s="15" t="s">
        <v>137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16">
        <v>0</v>
      </c>
      <c r="AH54" s="17">
        <v>0</v>
      </c>
      <c r="AI54" s="17">
        <v>0</v>
      </c>
      <c r="AJ54" s="17">
        <v>0</v>
      </c>
      <c r="AK54" s="49">
        <v>0</v>
      </c>
      <c r="AL54" s="48">
        <v>0</v>
      </c>
      <c r="AM54" s="19">
        <v>0</v>
      </c>
      <c r="AN54" s="48">
        <v>0</v>
      </c>
      <c r="AO54" s="20">
        <v>0</v>
      </c>
      <c r="AP54" s="44">
        <v>0</v>
      </c>
      <c r="AQ54" s="46">
        <v>0</v>
      </c>
      <c r="AR54" s="45">
        <v>0</v>
      </c>
      <c r="AS54" s="22">
        <v>0</v>
      </c>
      <c r="AT54" s="22">
        <v>1.0000000000000002</v>
      </c>
      <c r="AU54" s="22" t="s">
        <v>215</v>
      </c>
      <c r="AV54" s="22" t="s">
        <v>157</v>
      </c>
      <c r="AW54" s="22" t="s">
        <v>218</v>
      </c>
      <c r="AX54" s="23">
        <v>21</v>
      </c>
      <c r="AY54" s="24" t="e">
        <v>#DIV/0!</v>
      </c>
      <c r="AZ54" s="23">
        <v>0</v>
      </c>
      <c r="BA54" s="23">
        <v>0</v>
      </c>
      <c r="BB54" s="44" t="s">
        <v>154</v>
      </c>
      <c r="BC54" s="26">
        <v>0</v>
      </c>
      <c r="BD54" s="23">
        <v>30</v>
      </c>
      <c r="BE54" s="26">
        <v>0</v>
      </c>
      <c r="BF54" s="26">
        <v>0</v>
      </c>
      <c r="BG54" s="24"/>
      <c r="BI54" s="26"/>
      <c r="BJ54" s="23"/>
      <c r="BK54" s="26"/>
      <c r="BL54" s="27"/>
      <c r="BN54" s="13"/>
      <c r="BO54" s="43"/>
      <c r="BP54" s="42"/>
    </row>
    <row r="55" spans="1:68" s="1" customFormat="1" x14ac:dyDescent="0.3">
      <c r="A55" s="12" t="s">
        <v>729</v>
      </c>
      <c r="B55" s="12">
        <v>102193</v>
      </c>
      <c r="C55" s="13" t="s">
        <v>728</v>
      </c>
      <c r="D55" s="13" t="s">
        <v>55</v>
      </c>
      <c r="E55" s="14">
        <v>4510</v>
      </c>
      <c r="F55" s="15" t="s">
        <v>137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16">
        <v>0</v>
      </c>
      <c r="AH55" s="17">
        <v>0</v>
      </c>
      <c r="AI55" s="17">
        <v>0</v>
      </c>
      <c r="AJ55" s="17">
        <v>0</v>
      </c>
      <c r="AK55" s="49">
        <v>0</v>
      </c>
      <c r="AL55" s="48">
        <v>0</v>
      </c>
      <c r="AM55" s="19">
        <v>0</v>
      </c>
      <c r="AN55" s="48">
        <v>0</v>
      </c>
      <c r="AO55" s="20">
        <v>0</v>
      </c>
      <c r="AP55" s="44">
        <v>0</v>
      </c>
      <c r="AQ55" s="46">
        <v>0</v>
      </c>
      <c r="AR55" s="45">
        <v>0</v>
      </c>
      <c r="AS55" s="22">
        <v>0</v>
      </c>
      <c r="AT55" s="22">
        <v>1.0000000000000002</v>
      </c>
      <c r="AU55" s="22" t="s">
        <v>215</v>
      </c>
      <c r="AV55" s="22" t="s">
        <v>157</v>
      </c>
      <c r="AW55" s="22" t="s">
        <v>218</v>
      </c>
      <c r="AX55" s="23">
        <v>20</v>
      </c>
      <c r="AY55" s="24" t="e">
        <v>#DIV/0!</v>
      </c>
      <c r="AZ55" s="23">
        <v>6</v>
      </c>
      <c r="BA55" s="23">
        <v>3</v>
      </c>
      <c r="BB55" s="44" t="s">
        <v>154</v>
      </c>
      <c r="BC55" s="26">
        <v>0</v>
      </c>
      <c r="BD55" s="23">
        <v>30</v>
      </c>
      <c r="BE55" s="26">
        <v>0</v>
      </c>
      <c r="BF55" s="26">
        <v>0</v>
      </c>
      <c r="BG55" s="24"/>
      <c r="BI55" s="26"/>
      <c r="BJ55" s="23"/>
      <c r="BK55" s="26"/>
      <c r="BL55" s="27"/>
      <c r="BN55" s="13"/>
      <c r="BO55" s="43"/>
      <c r="BP55" s="42"/>
    </row>
    <row r="56" spans="1:68" s="1" customFormat="1" x14ac:dyDescent="0.3">
      <c r="A56" s="12" t="s">
        <v>727</v>
      </c>
      <c r="B56" s="12">
        <v>102208</v>
      </c>
      <c r="C56" s="13" t="s">
        <v>726</v>
      </c>
      <c r="D56" s="13" t="s">
        <v>47</v>
      </c>
      <c r="E56" s="14">
        <v>1684</v>
      </c>
      <c r="F56" s="15" t="s">
        <v>137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16">
        <v>0</v>
      </c>
      <c r="AH56" s="17">
        <v>0</v>
      </c>
      <c r="AI56" s="17">
        <v>0</v>
      </c>
      <c r="AJ56" s="17">
        <v>0</v>
      </c>
      <c r="AK56" s="49">
        <v>0</v>
      </c>
      <c r="AL56" s="48">
        <v>0</v>
      </c>
      <c r="AM56" s="19">
        <v>0</v>
      </c>
      <c r="AN56" s="48">
        <v>0</v>
      </c>
      <c r="AO56" s="20">
        <v>0</v>
      </c>
      <c r="AP56" s="44">
        <v>0</v>
      </c>
      <c r="AQ56" s="46">
        <v>0</v>
      </c>
      <c r="AR56" s="45">
        <v>0</v>
      </c>
      <c r="AS56" s="22">
        <v>0</v>
      </c>
      <c r="AT56" s="22">
        <v>1.0000000000000002</v>
      </c>
      <c r="AU56" s="22" t="s">
        <v>215</v>
      </c>
      <c r="AV56" s="22" t="s">
        <v>157</v>
      </c>
      <c r="AW56" s="22" t="s">
        <v>218</v>
      </c>
      <c r="AX56" s="23">
        <v>40</v>
      </c>
      <c r="AY56" s="24" t="e">
        <v>#DIV/0!</v>
      </c>
      <c r="AZ56" s="23">
        <v>0</v>
      </c>
      <c r="BA56" s="23">
        <v>0</v>
      </c>
      <c r="BB56" s="44" t="s">
        <v>154</v>
      </c>
      <c r="BC56" s="26">
        <v>0</v>
      </c>
      <c r="BD56" s="23">
        <v>30</v>
      </c>
      <c r="BE56" s="26">
        <v>0</v>
      </c>
      <c r="BF56" s="26">
        <v>0</v>
      </c>
      <c r="BG56" s="24"/>
      <c r="BI56" s="26"/>
      <c r="BJ56" s="23"/>
      <c r="BK56" s="26"/>
      <c r="BL56" s="27"/>
      <c r="BN56" s="13"/>
      <c r="BO56" s="43"/>
      <c r="BP56" s="42"/>
    </row>
    <row r="57" spans="1:68" s="1" customFormat="1" x14ac:dyDescent="0.3">
      <c r="A57" s="12" t="s">
        <v>725</v>
      </c>
      <c r="B57" s="12">
        <v>102210</v>
      </c>
      <c r="C57" s="13" t="s">
        <v>724</v>
      </c>
      <c r="D57" s="13" t="s">
        <v>62</v>
      </c>
      <c r="E57" s="14">
        <v>699</v>
      </c>
      <c r="F57" s="15" t="s">
        <v>137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16">
        <v>0</v>
      </c>
      <c r="AH57" s="17">
        <v>0</v>
      </c>
      <c r="AI57" s="17">
        <v>0</v>
      </c>
      <c r="AJ57" s="17">
        <v>0</v>
      </c>
      <c r="AK57" s="49">
        <v>0</v>
      </c>
      <c r="AL57" s="48">
        <v>0</v>
      </c>
      <c r="AM57" s="19">
        <v>0</v>
      </c>
      <c r="AN57" s="48">
        <v>0</v>
      </c>
      <c r="AO57" s="20">
        <v>0</v>
      </c>
      <c r="AP57" s="44">
        <v>0</v>
      </c>
      <c r="AQ57" s="46">
        <v>0</v>
      </c>
      <c r="AR57" s="45">
        <v>0</v>
      </c>
      <c r="AS57" s="22">
        <v>0</v>
      </c>
      <c r="AT57" s="22">
        <v>1.0000000000000002</v>
      </c>
      <c r="AU57" s="22" t="s">
        <v>215</v>
      </c>
      <c r="AV57" s="22" t="s">
        <v>157</v>
      </c>
      <c r="AW57" s="22" t="s">
        <v>218</v>
      </c>
      <c r="AX57" s="23">
        <v>1331</v>
      </c>
      <c r="AY57" s="24" t="e">
        <v>#DIV/0!</v>
      </c>
      <c r="AZ57" s="23">
        <v>140</v>
      </c>
      <c r="BA57" s="23">
        <v>80</v>
      </c>
      <c r="BB57" s="44" t="s">
        <v>154</v>
      </c>
      <c r="BC57" s="26">
        <v>0</v>
      </c>
      <c r="BD57" s="23">
        <v>30</v>
      </c>
      <c r="BE57" s="26">
        <v>0</v>
      </c>
      <c r="BF57" s="26">
        <v>0</v>
      </c>
      <c r="BG57" s="24"/>
      <c r="BI57" s="26"/>
      <c r="BJ57" s="23"/>
      <c r="BK57" s="26"/>
      <c r="BL57" s="27"/>
      <c r="BN57" s="13"/>
      <c r="BO57" s="43"/>
      <c r="BP57" s="42"/>
    </row>
    <row r="58" spans="1:68" s="1" customFormat="1" x14ac:dyDescent="0.3">
      <c r="A58" s="12" t="s">
        <v>723</v>
      </c>
      <c r="B58" s="12">
        <v>102197</v>
      </c>
      <c r="C58" s="13" t="s">
        <v>722</v>
      </c>
      <c r="D58" s="13" t="s">
        <v>44</v>
      </c>
      <c r="E58" s="14">
        <v>0</v>
      </c>
      <c r="F58" s="15" t="s">
        <v>137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16">
        <v>0</v>
      </c>
      <c r="AH58" s="17">
        <v>0</v>
      </c>
      <c r="AI58" s="17">
        <v>0</v>
      </c>
      <c r="AJ58" s="17">
        <v>0</v>
      </c>
      <c r="AK58" s="49">
        <v>0</v>
      </c>
      <c r="AL58" s="48">
        <v>0</v>
      </c>
      <c r="AM58" s="19">
        <v>0</v>
      </c>
      <c r="AN58" s="48">
        <v>0</v>
      </c>
      <c r="AO58" s="20">
        <v>0</v>
      </c>
      <c r="AP58" s="44">
        <v>0</v>
      </c>
      <c r="AQ58" s="46">
        <v>0</v>
      </c>
      <c r="AR58" s="45">
        <v>0</v>
      </c>
      <c r="AS58" s="22">
        <v>0</v>
      </c>
      <c r="AT58" s="22">
        <v>1.0000000000000002</v>
      </c>
      <c r="AU58" s="22" t="s">
        <v>215</v>
      </c>
      <c r="AV58" s="22" t="s">
        <v>157</v>
      </c>
      <c r="AW58" s="22" t="s">
        <v>218</v>
      </c>
      <c r="AX58" s="23">
        <v>0</v>
      </c>
      <c r="AY58" s="24" t="e">
        <v>#DIV/0!</v>
      </c>
      <c r="AZ58" s="23">
        <v>0</v>
      </c>
      <c r="BA58" s="23">
        <v>0</v>
      </c>
      <c r="BB58" s="44" t="s">
        <v>198</v>
      </c>
      <c r="BC58" s="26">
        <v>0</v>
      </c>
      <c r="BD58" s="23">
        <v>30</v>
      </c>
      <c r="BE58" s="26">
        <v>0</v>
      </c>
      <c r="BF58" s="26">
        <v>0</v>
      </c>
      <c r="BG58" s="24"/>
      <c r="BI58" s="26"/>
      <c r="BJ58" s="23"/>
      <c r="BK58" s="26"/>
      <c r="BL58" s="27"/>
      <c r="BN58" s="13"/>
      <c r="BO58" s="43"/>
      <c r="BP58" s="42"/>
    </row>
    <row r="59" spans="1:68" s="1" customFormat="1" x14ac:dyDescent="0.3">
      <c r="A59" s="12" t="s">
        <v>721</v>
      </c>
      <c r="B59" s="12">
        <v>209125</v>
      </c>
      <c r="C59" s="13" t="s">
        <v>720</v>
      </c>
      <c r="D59" s="13" t="s">
        <v>44</v>
      </c>
      <c r="E59" s="14">
        <v>2023</v>
      </c>
      <c r="F59" s="15" t="s">
        <v>137</v>
      </c>
      <c r="G59" s="6">
        <v>740</v>
      </c>
      <c r="H59" s="6">
        <v>413</v>
      </c>
      <c r="I59" s="6">
        <v>439</v>
      </c>
      <c r="J59" s="6">
        <v>319</v>
      </c>
      <c r="K59" s="6">
        <v>454</v>
      </c>
      <c r="L59" s="6">
        <v>400</v>
      </c>
      <c r="M59" s="6">
        <v>653</v>
      </c>
      <c r="N59" s="6">
        <v>740</v>
      </c>
      <c r="O59" s="6">
        <v>283</v>
      </c>
      <c r="P59" s="6">
        <v>446</v>
      </c>
      <c r="Q59" s="6">
        <v>646</v>
      </c>
      <c r="R59" s="6">
        <v>697</v>
      </c>
      <c r="S59" s="6">
        <v>792</v>
      </c>
      <c r="T59" s="6">
        <v>735</v>
      </c>
      <c r="U59" s="6">
        <v>479</v>
      </c>
      <c r="V59" s="6">
        <v>656</v>
      </c>
      <c r="W59" s="6">
        <v>774</v>
      </c>
      <c r="X59" s="6">
        <v>570</v>
      </c>
      <c r="Y59" s="6">
        <v>877</v>
      </c>
      <c r="Z59" s="6">
        <v>614</v>
      </c>
      <c r="AA59" s="6">
        <v>493</v>
      </c>
      <c r="AB59" s="6">
        <v>370</v>
      </c>
      <c r="AC59" s="6">
        <v>684</v>
      </c>
      <c r="AD59" s="6">
        <v>443</v>
      </c>
      <c r="AE59" s="6">
        <v>6230</v>
      </c>
      <c r="AF59" s="6">
        <v>7487</v>
      </c>
      <c r="AG59" s="16">
        <v>13717</v>
      </c>
      <c r="AH59" s="17">
        <v>519.16666666666663</v>
      </c>
      <c r="AI59" s="17">
        <v>623.91666666666663</v>
      </c>
      <c r="AJ59" s="17">
        <v>571.54166666666663</v>
      </c>
      <c r="AK59" s="49">
        <v>2.155039754179822E-3</v>
      </c>
      <c r="AL59" s="48">
        <v>156.71540988993306</v>
      </c>
      <c r="AM59" s="19">
        <v>166.35346840169984</v>
      </c>
      <c r="AN59" s="47">
        <v>0.25118003455044702</v>
      </c>
      <c r="AO59" s="20">
        <v>0.29106096388720543</v>
      </c>
      <c r="AP59" s="44">
        <v>0.20176565008025685</v>
      </c>
      <c r="AQ59" s="46">
        <v>15146201</v>
      </c>
      <c r="AR59" s="45">
        <v>27749491</v>
      </c>
      <c r="AS59" s="22">
        <v>1.6925924876117548E-2</v>
      </c>
      <c r="AT59" s="22">
        <v>0.54456322979699168</v>
      </c>
      <c r="AU59" s="22" t="s">
        <v>151</v>
      </c>
      <c r="AV59" s="22" t="s">
        <v>152</v>
      </c>
      <c r="AW59" s="22" t="s">
        <v>153</v>
      </c>
      <c r="AX59" s="23">
        <v>2890</v>
      </c>
      <c r="AY59" s="24">
        <v>4.6320288500066784</v>
      </c>
      <c r="AZ59" s="23">
        <v>910</v>
      </c>
      <c r="BA59" s="26">
        <v>510</v>
      </c>
      <c r="BB59" s="44" t="s">
        <v>154</v>
      </c>
      <c r="BC59" s="26">
        <v>20.797222222222221</v>
      </c>
      <c r="BD59" s="23">
        <v>30</v>
      </c>
      <c r="BE59" s="26">
        <v>1247.8333333333333</v>
      </c>
      <c r="BF59" s="26">
        <v>1871.75</v>
      </c>
      <c r="BG59" s="24"/>
      <c r="BI59" s="26"/>
      <c r="BJ59" s="23"/>
      <c r="BK59" s="26"/>
      <c r="BL59" s="27"/>
      <c r="BN59" s="13"/>
      <c r="BO59" s="43"/>
      <c r="BP59" s="42"/>
    </row>
    <row r="60" spans="1:68" s="1" customFormat="1" x14ac:dyDescent="0.3">
      <c r="A60" s="12" t="s">
        <v>719</v>
      </c>
      <c r="B60" s="12">
        <v>106017</v>
      </c>
      <c r="C60" s="13" t="s">
        <v>718</v>
      </c>
      <c r="D60" s="13" t="s">
        <v>47</v>
      </c>
      <c r="E60" s="14">
        <v>4641</v>
      </c>
      <c r="F60" s="15" t="s">
        <v>137</v>
      </c>
      <c r="G60" s="6">
        <v>198</v>
      </c>
      <c r="H60" s="6">
        <v>150</v>
      </c>
      <c r="I60" s="6">
        <v>184</v>
      </c>
      <c r="J60" s="6">
        <v>176</v>
      </c>
      <c r="K60" s="6">
        <v>192</v>
      </c>
      <c r="L60" s="6">
        <v>221</v>
      </c>
      <c r="M60" s="6">
        <v>347</v>
      </c>
      <c r="N60" s="6">
        <v>455</v>
      </c>
      <c r="O60" s="6">
        <v>279</v>
      </c>
      <c r="P60" s="6">
        <v>195</v>
      </c>
      <c r="Q60" s="6">
        <v>201</v>
      </c>
      <c r="R60" s="6">
        <v>134</v>
      </c>
      <c r="S60" s="6">
        <v>163</v>
      </c>
      <c r="T60" s="6">
        <v>148</v>
      </c>
      <c r="U60" s="6">
        <v>148</v>
      </c>
      <c r="V60" s="6">
        <v>215</v>
      </c>
      <c r="W60" s="6">
        <v>224</v>
      </c>
      <c r="X60" s="6">
        <v>164</v>
      </c>
      <c r="Y60" s="6">
        <v>230</v>
      </c>
      <c r="Z60" s="6">
        <v>310</v>
      </c>
      <c r="AA60" s="6">
        <v>167</v>
      </c>
      <c r="AB60" s="6">
        <v>311</v>
      </c>
      <c r="AC60" s="6">
        <v>151</v>
      </c>
      <c r="AD60" s="6">
        <v>160</v>
      </c>
      <c r="AE60" s="6">
        <v>2732</v>
      </c>
      <c r="AF60" s="6">
        <v>2391</v>
      </c>
      <c r="AG60" s="16">
        <v>5123</v>
      </c>
      <c r="AH60" s="17">
        <v>227.66666666666666</v>
      </c>
      <c r="AI60" s="17">
        <v>199.25</v>
      </c>
      <c r="AJ60" s="17">
        <v>213.45833333333331</v>
      </c>
      <c r="AK60" s="49">
        <v>6.8821958758434013E-4</v>
      </c>
      <c r="AL60" s="48">
        <v>59.755752861126268</v>
      </c>
      <c r="AM60" s="19">
        <v>76.90648141774507</v>
      </c>
      <c r="AN60" s="47">
        <v>0.29990340206336896</v>
      </c>
      <c r="AO60" s="20">
        <v>0.36028802538080851</v>
      </c>
      <c r="AP60" s="44">
        <v>-0.12481698389458269</v>
      </c>
      <c r="AQ60" s="46">
        <v>11096631</v>
      </c>
      <c r="AR60" s="45">
        <v>23775843</v>
      </c>
      <c r="AS60" s="22">
        <v>1.4502180688084162E-2</v>
      </c>
      <c r="AT60" s="22">
        <v>0.55906541048507585</v>
      </c>
      <c r="AU60" s="22" t="s">
        <v>151</v>
      </c>
      <c r="AV60" s="22" t="s">
        <v>152</v>
      </c>
      <c r="AW60" s="22" t="s">
        <v>153</v>
      </c>
      <c r="AX60" s="23">
        <v>404</v>
      </c>
      <c r="AY60" s="24">
        <v>2.0276035131744039</v>
      </c>
      <c r="AZ60" s="23">
        <v>385</v>
      </c>
      <c r="BA60" s="26">
        <v>220</v>
      </c>
      <c r="BB60" s="44" t="s">
        <v>154</v>
      </c>
      <c r="BC60" s="26">
        <v>6.6416666666666666</v>
      </c>
      <c r="BD60" s="23">
        <v>30</v>
      </c>
      <c r="BE60" s="26">
        <v>398.5</v>
      </c>
      <c r="BF60" s="26">
        <v>597.75</v>
      </c>
      <c r="BG60" s="24"/>
      <c r="BI60" s="26"/>
      <c r="BJ60" s="23"/>
      <c r="BK60" s="26"/>
      <c r="BL60" s="27"/>
      <c r="BN60" s="13"/>
      <c r="BO60" s="43"/>
      <c r="BP60" s="42"/>
    </row>
    <row r="61" spans="1:68" s="1" customFormat="1" x14ac:dyDescent="0.3">
      <c r="A61" s="12" t="s">
        <v>717</v>
      </c>
      <c r="B61" s="12">
        <v>101005</v>
      </c>
      <c r="C61" s="13" t="s">
        <v>716</v>
      </c>
      <c r="D61" s="13" t="s">
        <v>47</v>
      </c>
      <c r="E61" s="14">
        <v>49904</v>
      </c>
      <c r="F61" s="15" t="s">
        <v>137</v>
      </c>
      <c r="G61" s="6">
        <v>19</v>
      </c>
      <c r="H61" s="6">
        <v>17</v>
      </c>
      <c r="I61" s="6">
        <v>16</v>
      </c>
      <c r="J61" s="6">
        <v>14</v>
      </c>
      <c r="K61" s="6">
        <v>24</v>
      </c>
      <c r="L61" s="6">
        <v>18</v>
      </c>
      <c r="M61" s="6">
        <v>19</v>
      </c>
      <c r="N61" s="6">
        <v>21</v>
      </c>
      <c r="O61" s="6">
        <v>12</v>
      </c>
      <c r="P61" s="6">
        <v>19</v>
      </c>
      <c r="Q61" s="6">
        <v>16</v>
      </c>
      <c r="R61" s="6">
        <v>13</v>
      </c>
      <c r="S61" s="6">
        <v>21</v>
      </c>
      <c r="T61" s="6">
        <v>13</v>
      </c>
      <c r="U61" s="6">
        <v>7</v>
      </c>
      <c r="V61" s="6">
        <v>18</v>
      </c>
      <c r="W61" s="6">
        <v>18</v>
      </c>
      <c r="X61" s="6">
        <v>13</v>
      </c>
      <c r="Y61" s="6">
        <v>22</v>
      </c>
      <c r="Z61" s="6">
        <v>17</v>
      </c>
      <c r="AA61" s="6">
        <v>13</v>
      </c>
      <c r="AB61" s="6">
        <v>14</v>
      </c>
      <c r="AC61" s="6">
        <v>8</v>
      </c>
      <c r="AD61" s="6">
        <v>12</v>
      </c>
      <c r="AE61" s="6">
        <v>208</v>
      </c>
      <c r="AF61" s="6">
        <v>176</v>
      </c>
      <c r="AG61" s="16">
        <v>384</v>
      </c>
      <c r="AH61" s="17">
        <v>17.333333333333332</v>
      </c>
      <c r="AI61" s="17">
        <v>14.666666666666666</v>
      </c>
      <c r="AJ61" s="17">
        <v>16</v>
      </c>
      <c r="AK61" s="49">
        <v>5.0659409207379283E-5</v>
      </c>
      <c r="AL61" s="48">
        <v>4.6774766572146422</v>
      </c>
      <c r="AM61" s="19">
        <v>4.2323803560479849</v>
      </c>
      <c r="AN61" s="47">
        <v>0.31891886299190741</v>
      </c>
      <c r="AO61" s="20">
        <v>0.26452377225299906</v>
      </c>
      <c r="AP61" s="44">
        <v>-0.15384615384615383</v>
      </c>
      <c r="AQ61" s="46">
        <v>8783104</v>
      </c>
      <c r="AR61" s="45">
        <v>19163136</v>
      </c>
      <c r="AS61" s="22">
        <v>1.1688639634032341E-2</v>
      </c>
      <c r="AT61" s="22">
        <v>0.63504697779209718</v>
      </c>
      <c r="AU61" s="22" t="s">
        <v>151</v>
      </c>
      <c r="AV61" s="22" t="s">
        <v>152</v>
      </c>
      <c r="AW61" s="22" t="s">
        <v>153</v>
      </c>
      <c r="AX61" s="23">
        <v>101</v>
      </c>
      <c r="AY61" s="24">
        <v>6.8863636363636367</v>
      </c>
      <c r="AZ61" s="23">
        <v>35</v>
      </c>
      <c r="BA61" s="26">
        <v>18</v>
      </c>
      <c r="BB61" s="44" t="s">
        <v>154</v>
      </c>
      <c r="BC61" s="26">
        <v>0.48888888888888887</v>
      </c>
      <c r="BD61" s="23">
        <v>30</v>
      </c>
      <c r="BE61" s="26">
        <v>29.333333333333332</v>
      </c>
      <c r="BF61" s="26">
        <v>44</v>
      </c>
      <c r="BG61" s="24"/>
      <c r="BI61" s="26"/>
      <c r="BJ61" s="23"/>
      <c r="BK61" s="26"/>
      <c r="BL61" s="27"/>
      <c r="BN61" s="13"/>
      <c r="BO61" s="43"/>
      <c r="BP61" s="42"/>
    </row>
    <row r="62" spans="1:68" s="1" customFormat="1" x14ac:dyDescent="0.3">
      <c r="A62" s="12" t="s">
        <v>715</v>
      </c>
      <c r="B62" s="12">
        <v>104025</v>
      </c>
      <c r="C62" s="13" t="s">
        <v>714</v>
      </c>
      <c r="D62" s="13" t="s">
        <v>53</v>
      </c>
      <c r="E62" s="14">
        <v>8</v>
      </c>
      <c r="F62" s="15" t="s">
        <v>137</v>
      </c>
      <c r="G62" s="6">
        <v>63476</v>
      </c>
      <c r="H62" s="6">
        <v>59661</v>
      </c>
      <c r="I62" s="6">
        <v>173099</v>
      </c>
      <c r="J62" s="6">
        <v>63694</v>
      </c>
      <c r="K62" s="6">
        <v>72213</v>
      </c>
      <c r="L62" s="6">
        <v>67492</v>
      </c>
      <c r="M62" s="6">
        <v>69468</v>
      </c>
      <c r="N62" s="6">
        <v>73521</v>
      </c>
      <c r="O62" s="6">
        <v>61747.3</v>
      </c>
      <c r="P62" s="6">
        <v>64016</v>
      </c>
      <c r="Q62" s="6">
        <v>64875</v>
      </c>
      <c r="R62" s="6">
        <v>59422</v>
      </c>
      <c r="S62" s="6">
        <v>63265</v>
      </c>
      <c r="T62" s="6">
        <v>53353</v>
      </c>
      <c r="U62" s="6">
        <v>60711</v>
      </c>
      <c r="V62" s="6">
        <v>64861</v>
      </c>
      <c r="W62" s="6">
        <v>67770</v>
      </c>
      <c r="X62" s="6">
        <v>57827</v>
      </c>
      <c r="Y62" s="6">
        <v>68454</v>
      </c>
      <c r="Z62" s="6">
        <v>67982</v>
      </c>
      <c r="AA62" s="6">
        <v>50916</v>
      </c>
      <c r="AB62" s="6">
        <v>70010</v>
      </c>
      <c r="AC62" s="6">
        <v>55627</v>
      </c>
      <c r="AD62" s="6">
        <v>59447</v>
      </c>
      <c r="AE62" s="6">
        <v>892684.3</v>
      </c>
      <c r="AF62" s="6">
        <v>740223</v>
      </c>
      <c r="AG62" s="16">
        <v>1632907.3</v>
      </c>
      <c r="AH62" s="17">
        <v>74390.358333333337</v>
      </c>
      <c r="AI62" s="17">
        <v>61685.25</v>
      </c>
      <c r="AJ62" s="17">
        <v>68037.804166666669</v>
      </c>
      <c r="AK62" s="49">
        <v>0.21306397648701089</v>
      </c>
      <c r="AL62" s="48">
        <v>6376.9630008050362</v>
      </c>
      <c r="AM62" s="19">
        <v>23096.308564046216</v>
      </c>
      <c r="AN62" s="47">
        <v>0.10337905740521496</v>
      </c>
      <c r="AO62" s="20">
        <v>0.33946287430836347</v>
      </c>
      <c r="AP62" s="44">
        <v>-0.17078971815679972</v>
      </c>
      <c r="AQ62" s="46">
        <v>5921784</v>
      </c>
      <c r="AR62" s="45">
        <v>13063258.4</v>
      </c>
      <c r="AS62" s="22">
        <v>7.9679922891454664E-3</v>
      </c>
      <c r="AT62" s="22">
        <v>0.70741392979196382</v>
      </c>
      <c r="AU62" s="22" t="s">
        <v>151</v>
      </c>
      <c r="AV62" s="22" t="s">
        <v>152</v>
      </c>
      <c r="AW62" s="22" t="s">
        <v>153</v>
      </c>
      <c r="AX62" s="23">
        <v>185275</v>
      </c>
      <c r="AY62" s="24">
        <v>3.0035543343019602</v>
      </c>
      <c r="AZ62" s="23">
        <v>122500</v>
      </c>
      <c r="BA62" s="26">
        <v>57000</v>
      </c>
      <c r="BB62" s="44" t="s">
        <v>154</v>
      </c>
      <c r="BC62" s="26">
        <v>2056.1750000000002</v>
      </c>
      <c r="BD62" s="23">
        <v>30</v>
      </c>
      <c r="BE62" s="26">
        <v>123370.50000000001</v>
      </c>
      <c r="BF62" s="26">
        <v>185055.75000000003</v>
      </c>
      <c r="BG62" s="24"/>
      <c r="BI62" s="26"/>
      <c r="BJ62" s="23"/>
      <c r="BK62" s="26"/>
      <c r="BL62" s="27"/>
      <c r="BN62" s="13"/>
      <c r="BO62" s="43"/>
      <c r="BP62" s="42"/>
    </row>
    <row r="63" spans="1:68" s="1" customFormat="1" x14ac:dyDescent="0.3">
      <c r="A63" s="12" t="s">
        <v>713</v>
      </c>
      <c r="B63" s="12">
        <v>108023</v>
      </c>
      <c r="C63" s="13" t="s">
        <v>712</v>
      </c>
      <c r="D63" s="13" t="s">
        <v>62</v>
      </c>
      <c r="E63" s="14">
        <v>701</v>
      </c>
      <c r="F63" s="15" t="s">
        <v>137</v>
      </c>
      <c r="G63" s="6">
        <v>547</v>
      </c>
      <c r="H63" s="6">
        <v>719</v>
      </c>
      <c r="I63" s="6">
        <v>824</v>
      </c>
      <c r="J63" s="6">
        <v>503</v>
      </c>
      <c r="K63" s="6">
        <v>849</v>
      </c>
      <c r="L63" s="6">
        <v>583</v>
      </c>
      <c r="M63" s="6">
        <v>614</v>
      </c>
      <c r="N63" s="6">
        <v>689</v>
      </c>
      <c r="O63" s="6">
        <v>509</v>
      </c>
      <c r="P63" s="6">
        <v>614</v>
      </c>
      <c r="Q63" s="6">
        <v>495</v>
      </c>
      <c r="R63" s="6">
        <v>752</v>
      </c>
      <c r="S63" s="6">
        <v>746</v>
      </c>
      <c r="T63" s="6">
        <v>657</v>
      </c>
      <c r="U63" s="6">
        <v>847</v>
      </c>
      <c r="V63" s="6">
        <v>448</v>
      </c>
      <c r="W63" s="6">
        <v>342</v>
      </c>
      <c r="X63" s="6">
        <v>327</v>
      </c>
      <c r="Y63" s="6">
        <v>479</v>
      </c>
      <c r="Z63" s="6">
        <v>550</v>
      </c>
      <c r="AA63" s="6">
        <v>260</v>
      </c>
      <c r="AB63" s="6">
        <v>537</v>
      </c>
      <c r="AC63" s="6">
        <v>415</v>
      </c>
      <c r="AD63" s="6">
        <v>347</v>
      </c>
      <c r="AE63" s="6">
        <v>7698</v>
      </c>
      <c r="AF63" s="6">
        <v>5955</v>
      </c>
      <c r="AG63" s="16">
        <v>13653</v>
      </c>
      <c r="AH63" s="17">
        <v>641.5</v>
      </c>
      <c r="AI63" s="17">
        <v>496.25</v>
      </c>
      <c r="AJ63" s="17">
        <v>568.875</v>
      </c>
      <c r="AK63" s="49">
        <v>1.7140726240337707E-3</v>
      </c>
      <c r="AL63" s="48">
        <v>179.78427729820081</v>
      </c>
      <c r="AM63" s="19">
        <v>168.24317610039293</v>
      </c>
      <c r="AN63" s="47">
        <v>0.36228569732634924</v>
      </c>
      <c r="AO63" s="20">
        <v>0.29574717837906911</v>
      </c>
      <c r="AP63" s="44">
        <v>-0.22642244738893219</v>
      </c>
      <c r="AQ63" s="46">
        <v>4174455</v>
      </c>
      <c r="AR63" s="45">
        <v>9570753</v>
      </c>
      <c r="AS63" s="22">
        <v>5.8377231598906315E-3</v>
      </c>
      <c r="AT63" s="22">
        <v>0.74732952985629186</v>
      </c>
      <c r="AU63" s="22" t="s">
        <v>151</v>
      </c>
      <c r="AV63" s="22" t="s">
        <v>152</v>
      </c>
      <c r="AW63" s="22" t="s">
        <v>153</v>
      </c>
      <c r="AX63" s="23">
        <v>497</v>
      </c>
      <c r="AY63" s="24">
        <v>1.0015113350125944</v>
      </c>
      <c r="AZ63" s="23">
        <v>550</v>
      </c>
      <c r="BA63" s="26">
        <v>450</v>
      </c>
      <c r="BB63" s="44" t="s">
        <v>154</v>
      </c>
      <c r="BC63" s="26">
        <v>16.541666666666668</v>
      </c>
      <c r="BD63" s="23">
        <v>30</v>
      </c>
      <c r="BE63" s="26">
        <v>992.50000000000011</v>
      </c>
      <c r="BF63" s="26">
        <v>1488.7500000000002</v>
      </c>
      <c r="BG63" s="24"/>
      <c r="BH63" s="1" t="s">
        <v>711</v>
      </c>
      <c r="BI63" s="26">
        <v>2438.5192307692309</v>
      </c>
      <c r="BJ63" s="23">
        <v>5.0659409207379283E-5</v>
      </c>
      <c r="BK63" s="26"/>
      <c r="BL63" s="27"/>
      <c r="BN63" s="13"/>
      <c r="BO63" s="43"/>
      <c r="BP63" s="42"/>
    </row>
    <row r="64" spans="1:68" s="1" customFormat="1" x14ac:dyDescent="0.3">
      <c r="A64" s="12" t="s">
        <v>710</v>
      </c>
      <c r="B64" s="12">
        <v>102033</v>
      </c>
      <c r="C64" s="13" t="s">
        <v>709</v>
      </c>
      <c r="D64" s="13" t="s">
        <v>62</v>
      </c>
      <c r="E64" s="14">
        <v>3296</v>
      </c>
      <c r="F64" s="15" t="s">
        <v>137</v>
      </c>
      <c r="G64" s="6">
        <v>212</v>
      </c>
      <c r="H64" s="6">
        <v>107</v>
      </c>
      <c r="I64" s="6">
        <v>197</v>
      </c>
      <c r="J64" s="6">
        <v>89</v>
      </c>
      <c r="K64" s="6">
        <v>124</v>
      </c>
      <c r="L64" s="6">
        <v>166</v>
      </c>
      <c r="M64" s="6">
        <v>128</v>
      </c>
      <c r="N64" s="6">
        <v>107</v>
      </c>
      <c r="O64" s="6">
        <v>95</v>
      </c>
      <c r="P64" s="6">
        <v>190</v>
      </c>
      <c r="Q64" s="6">
        <v>177</v>
      </c>
      <c r="R64" s="6">
        <v>40</v>
      </c>
      <c r="S64" s="6">
        <v>70</v>
      </c>
      <c r="T64" s="6">
        <v>110</v>
      </c>
      <c r="U64" s="6">
        <v>67</v>
      </c>
      <c r="V64" s="6">
        <v>62</v>
      </c>
      <c r="W64" s="6">
        <v>67</v>
      </c>
      <c r="X64" s="6">
        <v>76</v>
      </c>
      <c r="Y64" s="6">
        <v>119</v>
      </c>
      <c r="Z64" s="6">
        <v>91</v>
      </c>
      <c r="AA64" s="6">
        <v>151</v>
      </c>
      <c r="AB64" s="6">
        <v>149</v>
      </c>
      <c r="AC64" s="6">
        <v>123</v>
      </c>
      <c r="AD64" s="6">
        <v>115</v>
      </c>
      <c r="AE64" s="6">
        <v>1632</v>
      </c>
      <c r="AF64" s="6">
        <v>1200</v>
      </c>
      <c r="AG64" s="16">
        <v>2832</v>
      </c>
      <c r="AH64" s="17">
        <v>136</v>
      </c>
      <c r="AI64" s="17">
        <v>100</v>
      </c>
      <c r="AJ64" s="17">
        <v>118</v>
      </c>
      <c r="AK64" s="49">
        <v>3.4540506277758604E-4</v>
      </c>
      <c r="AL64" s="48">
        <v>32.186953878862163</v>
      </c>
      <c r="AM64" s="19">
        <v>46.232869918160659</v>
      </c>
      <c r="AN64" s="47">
        <v>0.32186953878862162</v>
      </c>
      <c r="AO64" s="20">
        <v>0.39180398235729375</v>
      </c>
      <c r="AP64" s="44">
        <v>-0.26470588235294118</v>
      </c>
      <c r="AQ64" s="46">
        <v>3955200</v>
      </c>
      <c r="AR64" s="45">
        <v>9334272</v>
      </c>
      <c r="AS64" s="22">
        <v>5.6934805270931815E-3</v>
      </c>
      <c r="AT64" s="22">
        <v>0.75872051660969486</v>
      </c>
      <c r="AU64" s="22" t="s">
        <v>151</v>
      </c>
      <c r="AV64" s="22" t="s">
        <v>152</v>
      </c>
      <c r="AW64" s="22" t="s">
        <v>153</v>
      </c>
      <c r="AX64" s="23">
        <v>284</v>
      </c>
      <c r="AY64" s="24">
        <v>2.84</v>
      </c>
      <c r="AZ64" s="23">
        <v>184</v>
      </c>
      <c r="BA64" s="26">
        <v>105</v>
      </c>
      <c r="BB64" s="44" t="s">
        <v>154</v>
      </c>
      <c r="BC64" s="26">
        <v>3.3333333333333335</v>
      </c>
      <c r="BD64" s="23">
        <v>30</v>
      </c>
      <c r="BE64" s="26">
        <v>200</v>
      </c>
      <c r="BF64" s="26">
        <v>300</v>
      </c>
      <c r="BG64" s="24"/>
      <c r="BI64" s="26"/>
      <c r="BJ64" s="23"/>
      <c r="BK64" s="26"/>
      <c r="BL64" s="27"/>
      <c r="BN64" s="13"/>
      <c r="BO64" s="43"/>
      <c r="BP64" s="42"/>
    </row>
    <row r="65" spans="1:68" s="1" customFormat="1" x14ac:dyDescent="0.3">
      <c r="A65" s="12" t="s">
        <v>708</v>
      </c>
      <c r="B65" s="12">
        <v>103051</v>
      </c>
      <c r="C65" s="13" t="s">
        <v>707</v>
      </c>
      <c r="D65" s="13" t="s">
        <v>44</v>
      </c>
      <c r="E65" s="14">
        <v>4879</v>
      </c>
      <c r="F65" s="15" t="s">
        <v>137</v>
      </c>
      <c r="G65" s="6">
        <v>116</v>
      </c>
      <c r="H65" s="6">
        <v>52</v>
      </c>
      <c r="I65" s="6">
        <v>38</v>
      </c>
      <c r="J65" s="6">
        <v>58</v>
      </c>
      <c r="K65" s="6">
        <v>108</v>
      </c>
      <c r="L65" s="6">
        <v>107</v>
      </c>
      <c r="M65" s="6">
        <v>129</v>
      </c>
      <c r="N65" s="6">
        <v>133</v>
      </c>
      <c r="O65" s="6">
        <v>89</v>
      </c>
      <c r="P65" s="6">
        <v>28</v>
      </c>
      <c r="Q65" s="6">
        <v>79</v>
      </c>
      <c r="R65" s="6">
        <v>65</v>
      </c>
      <c r="S65" s="6">
        <v>127</v>
      </c>
      <c r="T65" s="6">
        <v>88</v>
      </c>
      <c r="U65" s="6">
        <v>65</v>
      </c>
      <c r="V65" s="6">
        <v>94</v>
      </c>
      <c r="W65" s="6">
        <v>130</v>
      </c>
      <c r="X65" s="6">
        <v>74</v>
      </c>
      <c r="Y65" s="6">
        <v>2</v>
      </c>
      <c r="Z65" s="6">
        <v>44</v>
      </c>
      <c r="AA65" s="6">
        <v>67</v>
      </c>
      <c r="AB65" s="6">
        <v>111</v>
      </c>
      <c r="AC65" s="6">
        <v>12</v>
      </c>
      <c r="AD65" s="6">
        <v>74</v>
      </c>
      <c r="AE65" s="6">
        <v>1002</v>
      </c>
      <c r="AF65" s="6">
        <v>888</v>
      </c>
      <c r="AG65" s="16">
        <v>1890</v>
      </c>
      <c r="AH65" s="17">
        <v>83.5</v>
      </c>
      <c r="AI65" s="17">
        <v>74</v>
      </c>
      <c r="AJ65" s="17">
        <v>78.75</v>
      </c>
      <c r="AK65" s="49">
        <v>2.5559974645541367E-4</v>
      </c>
      <c r="AL65" s="48">
        <v>40.416018426541541</v>
      </c>
      <c r="AM65" s="19">
        <v>37.546782412947415</v>
      </c>
      <c r="AN65" s="47">
        <v>0.54616241116948028</v>
      </c>
      <c r="AO65" s="20">
        <v>0.47678453857711006</v>
      </c>
      <c r="AP65" s="44">
        <v>-0.11377245508982035</v>
      </c>
      <c r="AQ65" s="46">
        <v>4332552</v>
      </c>
      <c r="AR65" s="45">
        <v>9221310</v>
      </c>
      <c r="AS65" s="22">
        <v>5.6245788551361718E-3</v>
      </c>
      <c r="AT65" s="22">
        <v>0.76434509546483098</v>
      </c>
      <c r="AU65" s="22" t="s">
        <v>151</v>
      </c>
      <c r="AV65" s="22" t="s">
        <v>152</v>
      </c>
      <c r="AW65" s="22" t="s">
        <v>153</v>
      </c>
      <c r="AX65" s="23">
        <v>242</v>
      </c>
      <c r="AY65" s="24">
        <v>3.2702702702702702</v>
      </c>
      <c r="AZ65" s="23">
        <v>133</v>
      </c>
      <c r="BA65" s="26">
        <v>76</v>
      </c>
      <c r="BB65" s="44" t="s">
        <v>154</v>
      </c>
      <c r="BC65" s="26">
        <v>2.4666666666666668</v>
      </c>
      <c r="BD65" s="23">
        <v>30</v>
      </c>
      <c r="BE65" s="26">
        <v>148</v>
      </c>
      <c r="BF65" s="26">
        <v>222</v>
      </c>
      <c r="BG65" s="24"/>
      <c r="BI65" s="26"/>
      <c r="BJ65" s="23"/>
      <c r="BK65" s="26"/>
      <c r="BL65" s="27"/>
      <c r="BN65" s="13"/>
      <c r="BO65" s="43"/>
      <c r="BP65" s="42"/>
    </row>
    <row r="66" spans="1:68" s="1" customFormat="1" x14ac:dyDescent="0.3">
      <c r="A66" s="12" t="s">
        <v>706</v>
      </c>
      <c r="B66" s="12">
        <v>103043</v>
      </c>
      <c r="C66" s="13" t="s">
        <v>705</v>
      </c>
      <c r="D66" s="13" t="s">
        <v>47</v>
      </c>
      <c r="E66" s="14">
        <v>1580</v>
      </c>
      <c r="F66" s="15" t="s">
        <v>137</v>
      </c>
      <c r="G66" s="6">
        <v>321</v>
      </c>
      <c r="H66" s="6">
        <v>91</v>
      </c>
      <c r="I66" s="6">
        <v>258</v>
      </c>
      <c r="J66" s="6">
        <v>255</v>
      </c>
      <c r="K66" s="6">
        <v>253</v>
      </c>
      <c r="L66" s="6">
        <v>147</v>
      </c>
      <c r="M66" s="6">
        <v>256</v>
      </c>
      <c r="N66" s="6">
        <v>88</v>
      </c>
      <c r="O66" s="6">
        <v>194</v>
      </c>
      <c r="P66" s="6">
        <v>265</v>
      </c>
      <c r="Q66" s="6">
        <v>359</v>
      </c>
      <c r="R66" s="6">
        <v>374</v>
      </c>
      <c r="S66" s="6">
        <v>244</v>
      </c>
      <c r="T66" s="6">
        <v>260</v>
      </c>
      <c r="U66" s="6">
        <v>164</v>
      </c>
      <c r="V66" s="6">
        <v>358</v>
      </c>
      <c r="W66" s="6">
        <v>183</v>
      </c>
      <c r="X66" s="6">
        <v>208</v>
      </c>
      <c r="Y66" s="6">
        <v>221</v>
      </c>
      <c r="Z66" s="6">
        <v>363</v>
      </c>
      <c r="AA66" s="6">
        <v>171</v>
      </c>
      <c r="AB66" s="6">
        <v>519</v>
      </c>
      <c r="AC66" s="6">
        <v>132</v>
      </c>
      <c r="AD66" s="6">
        <v>111</v>
      </c>
      <c r="AE66" s="6">
        <v>2861</v>
      </c>
      <c r="AF66" s="6">
        <v>2934</v>
      </c>
      <c r="AG66" s="16">
        <v>5795</v>
      </c>
      <c r="AH66" s="17">
        <v>238.41666666666666</v>
      </c>
      <c r="AI66" s="17">
        <v>244.5</v>
      </c>
      <c r="AJ66" s="17">
        <v>241.45833333333331</v>
      </c>
      <c r="AK66" s="49">
        <v>8.445153784911978E-4</v>
      </c>
      <c r="AL66" s="48">
        <v>116.98601314997991</v>
      </c>
      <c r="AM66" s="19">
        <v>103.6469673486866</v>
      </c>
      <c r="AN66" s="47">
        <v>0.47847040143141067</v>
      </c>
      <c r="AO66" s="20">
        <v>0.42925404941647605</v>
      </c>
      <c r="AP66" s="44">
        <v>2.5515554002097211E-2</v>
      </c>
      <c r="AQ66" s="46">
        <v>4635720</v>
      </c>
      <c r="AR66" s="45">
        <v>9156100</v>
      </c>
      <c r="AS66" s="22">
        <v>5.5848037269663753E-3</v>
      </c>
      <c r="AT66" s="22">
        <v>0.76992989919179733</v>
      </c>
      <c r="AU66" s="22" t="s">
        <v>151</v>
      </c>
      <c r="AV66" s="22" t="s">
        <v>152</v>
      </c>
      <c r="AW66" s="22" t="s">
        <v>153</v>
      </c>
      <c r="AX66" s="23">
        <v>1495</v>
      </c>
      <c r="AY66" s="24">
        <v>6.1145194274028629</v>
      </c>
      <c r="AZ66" s="23">
        <v>455</v>
      </c>
      <c r="BA66" s="26">
        <v>260</v>
      </c>
      <c r="BB66" s="44" t="s">
        <v>154</v>
      </c>
      <c r="BC66" s="26">
        <v>8.15</v>
      </c>
      <c r="BD66" s="23">
        <v>30</v>
      </c>
      <c r="BE66" s="26">
        <v>489</v>
      </c>
      <c r="BF66" s="26">
        <v>733.5</v>
      </c>
      <c r="BG66" s="24"/>
      <c r="BI66" s="26"/>
      <c r="BJ66" s="23"/>
      <c r="BK66" s="26"/>
      <c r="BL66" s="27"/>
      <c r="BN66" s="13"/>
      <c r="BO66" s="43"/>
      <c r="BP66" s="42"/>
    </row>
    <row r="67" spans="1:68" s="1" customFormat="1" x14ac:dyDescent="0.3">
      <c r="A67" s="12" t="s">
        <v>704</v>
      </c>
      <c r="B67" s="12">
        <v>104026</v>
      </c>
      <c r="C67" s="13" t="s">
        <v>703</v>
      </c>
      <c r="D67" s="13" t="s">
        <v>53</v>
      </c>
      <c r="E67" s="14">
        <v>126</v>
      </c>
      <c r="F67" s="15" t="s">
        <v>137</v>
      </c>
      <c r="G67" s="6">
        <v>730</v>
      </c>
      <c r="H67" s="6">
        <v>3109</v>
      </c>
      <c r="I67" s="6">
        <v>3732</v>
      </c>
      <c r="J67" s="6">
        <v>3369</v>
      </c>
      <c r="K67" s="6">
        <v>3835</v>
      </c>
      <c r="L67" s="6">
        <v>2705</v>
      </c>
      <c r="M67" s="6">
        <v>3115</v>
      </c>
      <c r="N67" s="6">
        <v>3292</v>
      </c>
      <c r="O67" s="6">
        <v>3553</v>
      </c>
      <c r="P67" s="6">
        <v>139</v>
      </c>
      <c r="Q67" s="6">
        <v>206</v>
      </c>
      <c r="R67" s="6">
        <v>2408</v>
      </c>
      <c r="S67" s="6">
        <v>3356</v>
      </c>
      <c r="T67" s="6">
        <v>3869</v>
      </c>
      <c r="U67" s="6">
        <v>2772</v>
      </c>
      <c r="V67" s="6">
        <v>3745</v>
      </c>
      <c r="W67" s="6">
        <v>3485</v>
      </c>
      <c r="X67" s="6">
        <v>2716</v>
      </c>
      <c r="Y67" s="6">
        <v>2919</v>
      </c>
      <c r="Z67" s="6">
        <v>2622</v>
      </c>
      <c r="AA67" s="6">
        <v>1927</v>
      </c>
      <c r="AB67" s="6">
        <v>3922</v>
      </c>
      <c r="AC67" s="6">
        <v>2869</v>
      </c>
      <c r="AD67" s="6">
        <v>2901</v>
      </c>
      <c r="AE67" s="6">
        <v>30193</v>
      </c>
      <c r="AF67" s="6">
        <v>37103</v>
      </c>
      <c r="AG67" s="16">
        <v>67296</v>
      </c>
      <c r="AH67" s="17">
        <v>2516.0833333333335</v>
      </c>
      <c r="AI67" s="17">
        <v>3091.9166666666665</v>
      </c>
      <c r="AJ67" s="17">
        <v>2804</v>
      </c>
      <c r="AK67" s="49">
        <v>1.0679636703530644E-2</v>
      </c>
      <c r="AL67" s="48">
        <v>594.00205973523146</v>
      </c>
      <c r="AM67" s="19">
        <v>1071.9376604197125</v>
      </c>
      <c r="AN67" s="47">
        <v>0.19211451140939487</v>
      </c>
      <c r="AO67" s="20">
        <v>0.38228875193285039</v>
      </c>
      <c r="AP67" s="44">
        <v>0.22886099427019493</v>
      </c>
      <c r="AQ67" s="46">
        <v>4674978</v>
      </c>
      <c r="AR67" s="45">
        <v>8479296</v>
      </c>
      <c r="AS67" s="22">
        <v>5.1719841311094325E-3</v>
      </c>
      <c r="AT67" s="22">
        <v>0.78578876552403909</v>
      </c>
      <c r="AU67" s="22" t="s">
        <v>151</v>
      </c>
      <c r="AV67" s="22" t="s">
        <v>152</v>
      </c>
      <c r="AW67" s="22" t="s">
        <v>153</v>
      </c>
      <c r="AX67" s="23">
        <v>8971</v>
      </c>
      <c r="AY67" s="24">
        <v>2.901436541519554</v>
      </c>
      <c r="AZ67" s="23">
        <v>5040</v>
      </c>
      <c r="BA67" s="26">
        <v>2880</v>
      </c>
      <c r="BB67" s="44" t="s">
        <v>154</v>
      </c>
      <c r="BC67" s="26">
        <v>103.06388888888888</v>
      </c>
      <c r="BD67" s="23">
        <v>30</v>
      </c>
      <c r="BE67" s="26">
        <v>6183.833333333333</v>
      </c>
      <c r="BF67" s="26">
        <v>9275.75</v>
      </c>
      <c r="BG67" s="24"/>
      <c r="BI67" s="26"/>
      <c r="BJ67" s="23"/>
      <c r="BK67" s="26"/>
      <c r="BL67" s="27"/>
      <c r="BN67" s="13"/>
      <c r="BO67" s="43"/>
      <c r="BP67" s="42"/>
    </row>
    <row r="68" spans="1:68" s="1" customFormat="1" x14ac:dyDescent="0.3">
      <c r="A68" s="12" t="s">
        <v>702</v>
      </c>
      <c r="B68" s="12">
        <v>105010</v>
      </c>
      <c r="C68" s="13" t="s">
        <v>701</v>
      </c>
      <c r="D68" s="13" t="s">
        <v>44</v>
      </c>
      <c r="E68" s="14">
        <v>832</v>
      </c>
      <c r="F68" s="15" t="s">
        <v>137</v>
      </c>
      <c r="G68" s="6">
        <v>316</v>
      </c>
      <c r="H68" s="6">
        <v>308</v>
      </c>
      <c r="I68" s="6">
        <v>195</v>
      </c>
      <c r="J68" s="6">
        <v>142</v>
      </c>
      <c r="K68" s="6">
        <v>305</v>
      </c>
      <c r="L68" s="6">
        <v>277</v>
      </c>
      <c r="M68" s="6">
        <v>290</v>
      </c>
      <c r="N68" s="6">
        <v>421</v>
      </c>
      <c r="O68" s="6">
        <v>357</v>
      </c>
      <c r="P68" s="6">
        <v>280</v>
      </c>
      <c r="Q68" s="6">
        <v>146</v>
      </c>
      <c r="R68" s="6">
        <v>242</v>
      </c>
      <c r="S68" s="6">
        <v>694</v>
      </c>
      <c r="T68" s="6">
        <v>252</v>
      </c>
      <c r="U68" s="6">
        <v>324</v>
      </c>
      <c r="V68" s="6">
        <v>388</v>
      </c>
      <c r="W68" s="6">
        <v>475</v>
      </c>
      <c r="X68" s="6">
        <v>210</v>
      </c>
      <c r="Y68" s="6">
        <v>526</v>
      </c>
      <c r="Z68" s="6">
        <v>256</v>
      </c>
      <c r="AA68" s="6">
        <v>212</v>
      </c>
      <c r="AB68" s="6">
        <v>230</v>
      </c>
      <c r="AC68" s="6">
        <v>313</v>
      </c>
      <c r="AD68" s="6">
        <v>312</v>
      </c>
      <c r="AE68" s="6">
        <v>3279</v>
      </c>
      <c r="AF68" s="6">
        <v>4192</v>
      </c>
      <c r="AG68" s="16">
        <v>7471</v>
      </c>
      <c r="AH68" s="17">
        <v>273.25</v>
      </c>
      <c r="AI68" s="17">
        <v>349.33333333333331</v>
      </c>
      <c r="AJ68" s="17">
        <v>311.29166666666663</v>
      </c>
      <c r="AK68" s="49">
        <v>1.2066150193030339E-3</v>
      </c>
      <c r="AL68" s="48">
        <v>148.12423123441988</v>
      </c>
      <c r="AM68" s="19">
        <v>123.32829259185905</v>
      </c>
      <c r="AN68" s="47">
        <v>0.42401974590005692</v>
      </c>
      <c r="AO68" s="20">
        <v>0.39618244173532563</v>
      </c>
      <c r="AP68" s="44">
        <v>0.27843854833790782</v>
      </c>
      <c r="AQ68" s="46">
        <v>3487744</v>
      </c>
      <c r="AR68" s="45">
        <v>6215872</v>
      </c>
      <c r="AS68" s="22">
        <v>3.7913986426476266E-3</v>
      </c>
      <c r="AT68" s="22">
        <v>0.83357740053832552</v>
      </c>
      <c r="AU68" s="22" t="s">
        <v>179</v>
      </c>
      <c r="AV68" s="22" t="s">
        <v>152</v>
      </c>
      <c r="AW68" s="22" t="s">
        <v>183</v>
      </c>
      <c r="AX68" s="23">
        <v>926</v>
      </c>
      <c r="AY68" s="24">
        <v>2.6507633587786259</v>
      </c>
      <c r="AZ68" s="23">
        <v>455</v>
      </c>
      <c r="BA68" s="26">
        <v>250</v>
      </c>
      <c r="BB68" s="44" t="s">
        <v>154</v>
      </c>
      <c r="BC68" s="26">
        <v>11.644444444444444</v>
      </c>
      <c r="BD68" s="23">
        <v>30</v>
      </c>
      <c r="BE68" s="26">
        <v>698.66666666666663</v>
      </c>
      <c r="BF68" s="26">
        <v>1048</v>
      </c>
      <c r="BG68" s="24"/>
      <c r="BI68" s="26"/>
      <c r="BJ68" s="23"/>
      <c r="BK68" s="26"/>
      <c r="BL68" s="27"/>
      <c r="BN68" s="13"/>
      <c r="BO68" s="43"/>
      <c r="BP68" s="42"/>
    </row>
    <row r="69" spans="1:68" s="1" customFormat="1" x14ac:dyDescent="0.3">
      <c r="A69" s="12" t="s">
        <v>700</v>
      </c>
      <c r="B69" s="12">
        <v>102124</v>
      </c>
      <c r="C69" s="13" t="s">
        <v>699</v>
      </c>
      <c r="D69" s="13" t="s">
        <v>55</v>
      </c>
      <c r="E69" s="14">
        <v>1348</v>
      </c>
      <c r="F69" s="15" t="s">
        <v>137</v>
      </c>
      <c r="G69" s="6">
        <v>100</v>
      </c>
      <c r="H69" s="6">
        <v>82</v>
      </c>
      <c r="I69" s="6">
        <v>110</v>
      </c>
      <c r="J69" s="6">
        <v>20</v>
      </c>
      <c r="K69" s="6">
        <v>260</v>
      </c>
      <c r="L69" s="6">
        <v>86</v>
      </c>
      <c r="M69" s="6">
        <v>102</v>
      </c>
      <c r="N69" s="6">
        <v>190</v>
      </c>
      <c r="O69" s="6">
        <v>177</v>
      </c>
      <c r="P69" s="6">
        <v>164</v>
      </c>
      <c r="Q69" s="6">
        <v>274</v>
      </c>
      <c r="R69" s="6">
        <v>77</v>
      </c>
      <c r="S69" s="6">
        <v>160</v>
      </c>
      <c r="T69" s="6">
        <v>109</v>
      </c>
      <c r="U69" s="6">
        <v>135</v>
      </c>
      <c r="V69" s="6">
        <v>171</v>
      </c>
      <c r="W69" s="6">
        <v>214</v>
      </c>
      <c r="X69" s="6">
        <v>142</v>
      </c>
      <c r="Y69" s="6">
        <v>129</v>
      </c>
      <c r="Z69" s="6">
        <v>205</v>
      </c>
      <c r="AA69" s="6">
        <v>152</v>
      </c>
      <c r="AB69" s="6">
        <v>182</v>
      </c>
      <c r="AC69" s="6">
        <v>152</v>
      </c>
      <c r="AD69" s="6">
        <v>169</v>
      </c>
      <c r="AE69" s="6">
        <v>1642</v>
      </c>
      <c r="AF69" s="6">
        <v>1920</v>
      </c>
      <c r="AG69" s="16">
        <v>3562</v>
      </c>
      <c r="AH69" s="17">
        <v>136.83333333333334</v>
      </c>
      <c r="AI69" s="17">
        <v>160</v>
      </c>
      <c r="AJ69" s="17">
        <v>148.41666666666669</v>
      </c>
      <c r="AK69" s="49">
        <v>5.5264810044413769E-4</v>
      </c>
      <c r="AL69" s="48">
        <v>30.549512717435071</v>
      </c>
      <c r="AM69" s="19">
        <v>58.517865474657796</v>
      </c>
      <c r="AN69" s="47">
        <v>0.1909344544839692</v>
      </c>
      <c r="AO69" s="20">
        <v>0.39428095771807609</v>
      </c>
      <c r="AP69" s="44">
        <v>0.16930572472594388</v>
      </c>
      <c r="AQ69" s="46">
        <v>2588160</v>
      </c>
      <c r="AR69" s="45">
        <v>4801576</v>
      </c>
      <c r="AS69" s="22">
        <v>2.9287425366818077E-3</v>
      </c>
      <c r="AT69" s="22">
        <v>0.85646198850821087</v>
      </c>
      <c r="AU69" s="22" t="s">
        <v>179</v>
      </c>
      <c r="AV69" s="22" t="s">
        <v>152</v>
      </c>
      <c r="AW69" s="22" t="s">
        <v>183</v>
      </c>
      <c r="AX69" s="23">
        <v>812</v>
      </c>
      <c r="AY69" s="24">
        <v>5.0750000000000002</v>
      </c>
      <c r="AZ69" s="23">
        <v>262</v>
      </c>
      <c r="BA69" s="26">
        <v>150</v>
      </c>
      <c r="BB69" s="44" t="s">
        <v>154</v>
      </c>
      <c r="BC69" s="26">
        <v>5.333333333333333</v>
      </c>
      <c r="BD69" s="23">
        <v>30</v>
      </c>
      <c r="BE69" s="26">
        <v>320</v>
      </c>
      <c r="BF69" s="26">
        <v>480</v>
      </c>
      <c r="BG69" s="24"/>
      <c r="BI69" s="26"/>
      <c r="BJ69" s="23"/>
      <c r="BK69" s="26"/>
      <c r="BL69" s="27"/>
      <c r="BN69" s="13"/>
      <c r="BO69" s="43"/>
      <c r="BP69" s="42"/>
    </row>
    <row r="70" spans="1:68" s="1" customFormat="1" x14ac:dyDescent="0.3">
      <c r="A70" s="12" t="s">
        <v>698</v>
      </c>
      <c r="B70" s="12">
        <v>106027</v>
      </c>
      <c r="C70" s="13" t="s">
        <v>697</v>
      </c>
      <c r="D70" s="13" t="s">
        <v>47</v>
      </c>
      <c r="E70" s="14">
        <v>2678</v>
      </c>
      <c r="F70" s="15" t="s">
        <v>137</v>
      </c>
      <c r="G70" s="6">
        <v>57</v>
      </c>
      <c r="H70" s="6">
        <v>46</v>
      </c>
      <c r="I70" s="6">
        <v>70</v>
      </c>
      <c r="J70" s="6">
        <v>89</v>
      </c>
      <c r="K70" s="6">
        <v>78</v>
      </c>
      <c r="L70" s="6">
        <v>45</v>
      </c>
      <c r="M70" s="6">
        <v>95</v>
      </c>
      <c r="N70" s="6">
        <v>69</v>
      </c>
      <c r="O70" s="6">
        <v>25</v>
      </c>
      <c r="P70" s="6">
        <v>87</v>
      </c>
      <c r="Q70" s="6">
        <v>43</v>
      </c>
      <c r="R70" s="6">
        <v>51</v>
      </c>
      <c r="S70" s="6">
        <v>63</v>
      </c>
      <c r="T70" s="6">
        <v>75</v>
      </c>
      <c r="U70" s="6">
        <v>95</v>
      </c>
      <c r="V70" s="6">
        <v>82</v>
      </c>
      <c r="W70" s="6">
        <v>64</v>
      </c>
      <c r="X70" s="6">
        <v>79</v>
      </c>
      <c r="Y70" s="6">
        <v>26</v>
      </c>
      <c r="Z70" s="6">
        <v>75</v>
      </c>
      <c r="AA70" s="6">
        <v>26</v>
      </c>
      <c r="AB70" s="6">
        <v>57</v>
      </c>
      <c r="AC70" s="6">
        <v>29</v>
      </c>
      <c r="AD70" s="6">
        <v>65</v>
      </c>
      <c r="AE70" s="6">
        <v>755</v>
      </c>
      <c r="AF70" s="6">
        <v>736</v>
      </c>
      <c r="AG70" s="16">
        <v>1491</v>
      </c>
      <c r="AH70" s="17">
        <v>62.916666666666664</v>
      </c>
      <c r="AI70" s="17">
        <v>61.333333333333336</v>
      </c>
      <c r="AJ70" s="17">
        <v>62.125</v>
      </c>
      <c r="AK70" s="49">
        <v>2.1184843850358608E-4</v>
      </c>
      <c r="AL70" s="48">
        <v>23.023045108338859</v>
      </c>
      <c r="AM70" s="19">
        <v>21.937287097938782</v>
      </c>
      <c r="AN70" s="47">
        <v>0.37537573546204661</v>
      </c>
      <c r="AO70" s="20">
        <v>0.35311528527869268</v>
      </c>
      <c r="AP70" s="44">
        <v>-2.5165562913907209E-2</v>
      </c>
      <c r="AQ70" s="46">
        <v>1971008</v>
      </c>
      <c r="AR70" s="45">
        <v>3992898</v>
      </c>
      <c r="AS70" s="22">
        <v>2.4354858107487449E-3</v>
      </c>
      <c r="AT70" s="22">
        <v>0.88591648893188368</v>
      </c>
      <c r="AU70" s="22" t="s">
        <v>179</v>
      </c>
      <c r="AV70" s="22" t="s">
        <v>152</v>
      </c>
      <c r="AW70" s="22" t="s">
        <v>183</v>
      </c>
      <c r="AX70" s="23">
        <v>189</v>
      </c>
      <c r="AY70" s="24">
        <v>3.0815217391304346</v>
      </c>
      <c r="AZ70" s="23">
        <v>75</v>
      </c>
      <c r="BA70" s="26">
        <v>45</v>
      </c>
      <c r="BB70" s="44" t="s">
        <v>154</v>
      </c>
      <c r="BC70" s="26">
        <v>2.0444444444444447</v>
      </c>
      <c r="BD70" s="23">
        <v>30</v>
      </c>
      <c r="BE70" s="26">
        <v>122.66666666666669</v>
      </c>
      <c r="BF70" s="26">
        <v>184.00000000000003</v>
      </c>
      <c r="BG70" s="24"/>
      <c r="BH70" s="1" t="s">
        <v>696</v>
      </c>
      <c r="BI70" s="26">
        <v>271.32692307692309</v>
      </c>
      <c r="BJ70" s="23">
        <v>3.8708394035274811E-2</v>
      </c>
      <c r="BK70" s="26"/>
      <c r="BL70" s="27"/>
      <c r="BN70" s="13"/>
      <c r="BO70" s="43"/>
      <c r="BP70" s="42"/>
    </row>
    <row r="71" spans="1:68" s="1" customFormat="1" x14ac:dyDescent="0.3">
      <c r="A71" s="12" t="s">
        <v>695</v>
      </c>
      <c r="B71" s="12">
        <v>104020</v>
      </c>
      <c r="C71" s="13" t="s">
        <v>694</v>
      </c>
      <c r="D71" s="13" t="s">
        <v>53</v>
      </c>
      <c r="E71" s="14">
        <v>26</v>
      </c>
      <c r="F71" s="15" t="s">
        <v>137</v>
      </c>
      <c r="G71" s="6">
        <v>4771</v>
      </c>
      <c r="H71" s="6">
        <v>4578</v>
      </c>
      <c r="I71" s="6">
        <v>6094</v>
      </c>
      <c r="J71" s="6">
        <v>6085</v>
      </c>
      <c r="K71" s="6">
        <v>8211</v>
      </c>
      <c r="L71" s="6">
        <v>7576</v>
      </c>
      <c r="M71" s="6">
        <v>7224</v>
      </c>
      <c r="N71" s="6">
        <v>6831</v>
      </c>
      <c r="O71" s="6">
        <v>6370</v>
      </c>
      <c r="P71" s="6">
        <v>7159</v>
      </c>
      <c r="Q71" s="6">
        <v>5312</v>
      </c>
      <c r="R71" s="6">
        <v>5913</v>
      </c>
      <c r="S71" s="6">
        <v>7557</v>
      </c>
      <c r="T71" s="6">
        <v>2541</v>
      </c>
      <c r="U71" s="6">
        <v>588</v>
      </c>
      <c r="V71" s="6">
        <v>6624</v>
      </c>
      <c r="W71" s="6">
        <v>5371</v>
      </c>
      <c r="X71" s="6">
        <v>5360</v>
      </c>
      <c r="Y71" s="6">
        <v>7126</v>
      </c>
      <c r="Z71" s="6">
        <v>7450</v>
      </c>
      <c r="AA71" s="6">
        <v>6524</v>
      </c>
      <c r="AB71" s="6">
        <v>8804</v>
      </c>
      <c r="AC71" s="6">
        <v>8163</v>
      </c>
      <c r="AD71" s="6">
        <v>9430</v>
      </c>
      <c r="AE71" s="6">
        <v>76124</v>
      </c>
      <c r="AF71" s="6">
        <v>75538</v>
      </c>
      <c r="AG71" s="16">
        <v>151662</v>
      </c>
      <c r="AH71" s="17">
        <v>6343.666666666667</v>
      </c>
      <c r="AI71" s="17">
        <v>6294.833333333333</v>
      </c>
      <c r="AJ71" s="17">
        <v>6319.25</v>
      </c>
      <c r="AK71" s="49">
        <v>2.1742673026744413E-2</v>
      </c>
      <c r="AL71" s="48">
        <v>2554.514856389595</v>
      </c>
      <c r="AM71" s="19">
        <v>1927.4758048444783</v>
      </c>
      <c r="AN71" s="47">
        <v>0.40581135688891873</v>
      </c>
      <c r="AO71" s="20">
        <v>0.30501654545151374</v>
      </c>
      <c r="AP71" s="44">
        <v>-7.6979664757501872E-3</v>
      </c>
      <c r="AQ71" s="46">
        <v>1963988</v>
      </c>
      <c r="AR71" s="45">
        <v>3943212</v>
      </c>
      <c r="AS71" s="22">
        <v>2.4051796151001556E-3</v>
      </c>
      <c r="AT71" s="22">
        <v>0.8883216685469838</v>
      </c>
      <c r="AU71" s="22" t="s">
        <v>179</v>
      </c>
      <c r="AV71" s="22" t="s">
        <v>152</v>
      </c>
      <c r="AW71" s="22" t="s">
        <v>183</v>
      </c>
      <c r="AX71" s="23">
        <v>4910</v>
      </c>
      <c r="AY71" s="24">
        <v>0.78000476581323308</v>
      </c>
      <c r="AZ71" s="23">
        <v>14000</v>
      </c>
      <c r="BA71" s="26">
        <v>7750</v>
      </c>
      <c r="BB71" s="44" t="s">
        <v>198</v>
      </c>
      <c r="BC71" s="26">
        <v>209.82777777777775</v>
      </c>
      <c r="BD71" s="23">
        <v>30</v>
      </c>
      <c r="BE71" s="26">
        <v>12589.666666666666</v>
      </c>
      <c r="BF71" s="26">
        <v>18884.5</v>
      </c>
      <c r="BG71" s="24"/>
      <c r="BI71" s="26"/>
      <c r="BJ71" s="23"/>
      <c r="BK71" s="26"/>
      <c r="BL71" s="27"/>
      <c r="BN71" s="13"/>
      <c r="BO71" s="43"/>
      <c r="BP71" s="42"/>
    </row>
    <row r="72" spans="1:68" s="1" customFormat="1" x14ac:dyDescent="0.3">
      <c r="A72" s="12" t="s">
        <v>693</v>
      </c>
      <c r="B72" s="12">
        <v>102012</v>
      </c>
      <c r="C72" s="13" t="s">
        <v>692</v>
      </c>
      <c r="D72" s="13" t="s">
        <v>44</v>
      </c>
      <c r="E72" s="14">
        <v>225</v>
      </c>
      <c r="F72" s="15" t="s">
        <v>137</v>
      </c>
      <c r="G72" s="6">
        <v>633</v>
      </c>
      <c r="H72" s="6">
        <v>358</v>
      </c>
      <c r="I72" s="6">
        <v>563</v>
      </c>
      <c r="J72" s="6">
        <v>423</v>
      </c>
      <c r="K72" s="6">
        <v>1166</v>
      </c>
      <c r="L72" s="6">
        <v>1050</v>
      </c>
      <c r="M72" s="6">
        <v>911</v>
      </c>
      <c r="N72" s="6">
        <v>878</v>
      </c>
      <c r="O72" s="6">
        <v>975</v>
      </c>
      <c r="P72" s="6">
        <v>698</v>
      </c>
      <c r="Q72" s="6">
        <v>683</v>
      </c>
      <c r="R72" s="6">
        <v>749</v>
      </c>
      <c r="S72" s="6">
        <v>635</v>
      </c>
      <c r="T72" s="6">
        <v>561</v>
      </c>
      <c r="U72" s="6">
        <v>419</v>
      </c>
      <c r="V72" s="6">
        <v>998</v>
      </c>
      <c r="W72" s="6">
        <v>846</v>
      </c>
      <c r="X72" s="6">
        <v>560</v>
      </c>
      <c r="Y72" s="6">
        <v>654</v>
      </c>
      <c r="Z72" s="6">
        <v>859</v>
      </c>
      <c r="AA72" s="6">
        <v>680</v>
      </c>
      <c r="AB72" s="6">
        <v>701</v>
      </c>
      <c r="AC72" s="6">
        <v>892</v>
      </c>
      <c r="AD72" s="6">
        <v>587</v>
      </c>
      <c r="AE72" s="6">
        <v>9087</v>
      </c>
      <c r="AF72" s="6">
        <v>8392</v>
      </c>
      <c r="AG72" s="16">
        <v>17479</v>
      </c>
      <c r="AH72" s="17">
        <v>757.25</v>
      </c>
      <c r="AI72" s="17">
        <v>699.33333333333337</v>
      </c>
      <c r="AJ72" s="17">
        <v>728.29166666666674</v>
      </c>
      <c r="AK72" s="49">
        <v>2.4155327390245848E-3</v>
      </c>
      <c r="AL72" s="48">
        <v>167.78033980250027</v>
      </c>
      <c r="AM72" s="19">
        <v>208.67896691301709</v>
      </c>
      <c r="AN72" s="47">
        <v>0.23991468989871342</v>
      </c>
      <c r="AO72" s="20">
        <v>0.28653213604396188</v>
      </c>
      <c r="AP72" s="44">
        <v>-7.6482887641685871E-2</v>
      </c>
      <c r="AQ72" s="46">
        <v>1888200</v>
      </c>
      <c r="AR72" s="45">
        <v>3932775</v>
      </c>
      <c r="AS72" s="22">
        <v>2.398813520747937E-3</v>
      </c>
      <c r="AT72" s="22">
        <v>0.89072048206773169</v>
      </c>
      <c r="AU72" s="22" t="s">
        <v>179</v>
      </c>
      <c r="AV72" s="22" t="s">
        <v>152</v>
      </c>
      <c r="AW72" s="22" t="s">
        <v>183</v>
      </c>
      <c r="AX72" s="23">
        <v>2714</v>
      </c>
      <c r="AY72" s="24">
        <v>3.8808388941849379</v>
      </c>
      <c r="AZ72" s="23">
        <v>0</v>
      </c>
      <c r="BA72" s="26">
        <v>0</v>
      </c>
      <c r="BB72" s="44" t="s">
        <v>154</v>
      </c>
      <c r="BC72" s="26">
        <v>23.311111111111114</v>
      </c>
      <c r="BD72" s="23">
        <v>30</v>
      </c>
      <c r="BE72" s="26">
        <v>1398.6666666666667</v>
      </c>
      <c r="BF72" s="26">
        <v>2098</v>
      </c>
      <c r="BG72" s="24"/>
      <c r="BH72" s="1" t="s">
        <v>691</v>
      </c>
      <c r="BI72" s="26">
        <v>3245.6602564102568</v>
      </c>
      <c r="BJ72" s="23">
        <v>2.1742673026744413E-2</v>
      </c>
      <c r="BK72" s="26"/>
      <c r="BL72" s="27"/>
      <c r="BN72" s="13"/>
      <c r="BO72" s="43"/>
      <c r="BP72" s="42"/>
    </row>
    <row r="73" spans="1:68" s="1" customFormat="1" x14ac:dyDescent="0.3">
      <c r="A73" s="12" t="s">
        <v>690</v>
      </c>
      <c r="B73" s="12">
        <v>101063</v>
      </c>
      <c r="C73" s="13" t="s">
        <v>689</v>
      </c>
      <c r="D73" s="13" t="s">
        <v>62</v>
      </c>
      <c r="E73" s="14">
        <v>5012</v>
      </c>
      <c r="F73" s="15" t="s">
        <v>137</v>
      </c>
      <c r="G73" s="6">
        <v>28</v>
      </c>
      <c r="H73" s="6">
        <v>36</v>
      </c>
      <c r="I73" s="6">
        <v>35</v>
      </c>
      <c r="J73" s="6">
        <v>11</v>
      </c>
      <c r="K73" s="6">
        <v>15</v>
      </c>
      <c r="L73" s="6">
        <v>27</v>
      </c>
      <c r="M73" s="6">
        <v>37</v>
      </c>
      <c r="N73" s="6">
        <v>41</v>
      </c>
      <c r="O73" s="6">
        <v>47</v>
      </c>
      <c r="P73" s="6">
        <v>52</v>
      </c>
      <c r="Q73" s="6">
        <v>35</v>
      </c>
      <c r="R73" s="6">
        <v>42</v>
      </c>
      <c r="S73" s="6">
        <v>24</v>
      </c>
      <c r="T73" s="6">
        <v>21</v>
      </c>
      <c r="U73" s="6">
        <v>26</v>
      </c>
      <c r="V73" s="6">
        <v>52</v>
      </c>
      <c r="W73" s="6">
        <v>47</v>
      </c>
      <c r="X73" s="6">
        <v>39</v>
      </c>
      <c r="Y73" s="6">
        <v>35</v>
      </c>
      <c r="Z73" s="6">
        <v>25</v>
      </c>
      <c r="AA73" s="6">
        <v>30</v>
      </c>
      <c r="AB73" s="6">
        <v>31</v>
      </c>
      <c r="AC73" s="6">
        <v>10</v>
      </c>
      <c r="AD73" s="6">
        <v>32</v>
      </c>
      <c r="AE73" s="6">
        <v>406</v>
      </c>
      <c r="AF73" s="6">
        <v>372</v>
      </c>
      <c r="AG73" s="16">
        <v>778</v>
      </c>
      <c r="AH73" s="17">
        <v>33.833333333333336</v>
      </c>
      <c r="AI73" s="17">
        <v>31</v>
      </c>
      <c r="AJ73" s="17">
        <v>32.416666666666671</v>
      </c>
      <c r="AK73" s="49">
        <v>1.0707556946105167E-4</v>
      </c>
      <c r="AL73" s="48">
        <v>11.401754250991379</v>
      </c>
      <c r="AM73" s="19">
        <v>11.560489934956555</v>
      </c>
      <c r="AN73" s="47">
        <v>0.36779852422552833</v>
      </c>
      <c r="AO73" s="20">
        <v>0.35662179747937955</v>
      </c>
      <c r="AP73" s="44">
        <v>-8.3743842364532084E-2</v>
      </c>
      <c r="AQ73" s="46">
        <v>1864464</v>
      </c>
      <c r="AR73" s="45">
        <v>3899336</v>
      </c>
      <c r="AS73" s="22">
        <v>2.3784172546711109E-3</v>
      </c>
      <c r="AT73" s="22">
        <v>0.89309889932240283</v>
      </c>
      <c r="AU73" s="22" t="s">
        <v>179</v>
      </c>
      <c r="AV73" s="22" t="s">
        <v>152</v>
      </c>
      <c r="AW73" s="22" t="s">
        <v>183</v>
      </c>
      <c r="AX73" s="23">
        <v>103</v>
      </c>
      <c r="AY73" s="24">
        <v>3.3225806451612905</v>
      </c>
      <c r="AZ73" s="23">
        <v>52</v>
      </c>
      <c r="BA73" s="26">
        <v>35</v>
      </c>
      <c r="BB73" s="44" t="s">
        <v>154</v>
      </c>
      <c r="BC73" s="26">
        <v>1.0333333333333334</v>
      </c>
      <c r="BD73" s="23">
        <v>30</v>
      </c>
      <c r="BE73" s="26">
        <v>62.000000000000007</v>
      </c>
      <c r="BF73" s="26">
        <v>93.000000000000014</v>
      </c>
      <c r="BG73" s="24"/>
      <c r="BI73" s="26"/>
      <c r="BJ73" s="23"/>
      <c r="BK73" s="26"/>
      <c r="BL73" s="27"/>
      <c r="BN73" s="13"/>
      <c r="BO73" s="43"/>
      <c r="BP73" s="42"/>
    </row>
    <row r="74" spans="1:68" s="1" customFormat="1" x14ac:dyDescent="0.3">
      <c r="A74" s="12" t="s">
        <v>688</v>
      </c>
      <c r="B74" s="12">
        <v>106043</v>
      </c>
      <c r="C74" s="13" t="s">
        <v>687</v>
      </c>
      <c r="D74" s="13" t="s">
        <v>44</v>
      </c>
      <c r="E74" s="14">
        <v>143</v>
      </c>
      <c r="F74" s="15" t="s">
        <v>137</v>
      </c>
      <c r="G74" s="6">
        <v>1239</v>
      </c>
      <c r="H74" s="6">
        <v>747</v>
      </c>
      <c r="I74" s="6">
        <v>1629</v>
      </c>
      <c r="J74" s="6">
        <v>1424</v>
      </c>
      <c r="K74" s="6">
        <v>1065</v>
      </c>
      <c r="L74" s="6">
        <v>1017</v>
      </c>
      <c r="M74" s="6">
        <v>1308</v>
      </c>
      <c r="N74" s="6">
        <v>828</v>
      </c>
      <c r="O74" s="6">
        <v>1026</v>
      </c>
      <c r="P74" s="6">
        <v>664</v>
      </c>
      <c r="Q74" s="6">
        <v>1199</v>
      </c>
      <c r="R74" s="6">
        <v>1237</v>
      </c>
      <c r="S74" s="6">
        <v>1374</v>
      </c>
      <c r="T74" s="6">
        <v>1137</v>
      </c>
      <c r="U74" s="6">
        <v>1654</v>
      </c>
      <c r="V74" s="6">
        <v>1454</v>
      </c>
      <c r="W74" s="6">
        <v>906</v>
      </c>
      <c r="X74" s="6">
        <v>628</v>
      </c>
      <c r="Y74" s="6">
        <v>1051</v>
      </c>
      <c r="Z74" s="6">
        <v>1281</v>
      </c>
      <c r="AA74" s="6">
        <v>656</v>
      </c>
      <c r="AB74" s="6">
        <v>1055</v>
      </c>
      <c r="AC74" s="6">
        <v>752</v>
      </c>
      <c r="AD74" s="6">
        <v>1071</v>
      </c>
      <c r="AE74" s="6">
        <v>13383</v>
      </c>
      <c r="AF74" s="6">
        <v>13019</v>
      </c>
      <c r="AG74" s="16">
        <v>26402</v>
      </c>
      <c r="AH74" s="17">
        <v>1115.25</v>
      </c>
      <c r="AI74" s="17">
        <v>1084.9166666666667</v>
      </c>
      <c r="AJ74" s="17">
        <v>1100.0833333333335</v>
      </c>
      <c r="AK74" s="49">
        <v>3.7473570935844937E-3</v>
      </c>
      <c r="AL74" s="48">
        <v>319.46473936409575</v>
      </c>
      <c r="AM74" s="19">
        <v>295.15035470766065</v>
      </c>
      <c r="AN74" s="47">
        <v>0.29446016378901213</v>
      </c>
      <c r="AO74" s="20">
        <v>0.26829817866009603</v>
      </c>
      <c r="AP74" s="44">
        <v>-2.719868489875208E-2</v>
      </c>
      <c r="AQ74" s="46">
        <v>1861717</v>
      </c>
      <c r="AR74" s="45">
        <v>3775486</v>
      </c>
      <c r="AS74" s="22">
        <v>2.3028743989154084E-3</v>
      </c>
      <c r="AT74" s="22">
        <v>0.90474901423484033</v>
      </c>
      <c r="AU74" s="22" t="s">
        <v>179</v>
      </c>
      <c r="AV74" s="22" t="s">
        <v>152</v>
      </c>
      <c r="AW74" s="22" t="s">
        <v>183</v>
      </c>
      <c r="AX74" s="23">
        <v>4441</v>
      </c>
      <c r="AY74" s="24">
        <v>4.0934019509946999</v>
      </c>
      <c r="AZ74" s="23">
        <v>1680</v>
      </c>
      <c r="BA74" s="26">
        <v>1330</v>
      </c>
      <c r="BB74" s="44" t="s">
        <v>154</v>
      </c>
      <c r="BC74" s="26">
        <v>36.163888888888891</v>
      </c>
      <c r="BD74" s="23">
        <v>30</v>
      </c>
      <c r="BE74" s="26">
        <v>2169.8333333333335</v>
      </c>
      <c r="BF74" s="26">
        <v>3254.75</v>
      </c>
      <c r="BG74" s="24"/>
      <c r="BI74" s="26"/>
      <c r="BJ74" s="23"/>
      <c r="BK74" s="26"/>
      <c r="BL74" s="27"/>
      <c r="BN74" s="13"/>
      <c r="BO74" s="43"/>
      <c r="BP74" s="42"/>
    </row>
    <row r="75" spans="1:68" s="1" customFormat="1" x14ac:dyDescent="0.3">
      <c r="A75" s="12" t="s">
        <v>686</v>
      </c>
      <c r="B75" s="12">
        <v>103047</v>
      </c>
      <c r="C75" s="13" t="s">
        <v>685</v>
      </c>
      <c r="D75" s="13" t="s">
        <v>53</v>
      </c>
      <c r="E75" s="14">
        <v>162</v>
      </c>
      <c r="F75" s="15" t="s">
        <v>137</v>
      </c>
      <c r="G75" s="6">
        <v>772</v>
      </c>
      <c r="H75" s="6">
        <v>710</v>
      </c>
      <c r="I75" s="6">
        <v>848</v>
      </c>
      <c r="J75" s="6">
        <v>536</v>
      </c>
      <c r="K75" s="6">
        <v>970</v>
      </c>
      <c r="L75" s="6">
        <v>643</v>
      </c>
      <c r="M75" s="6">
        <v>800</v>
      </c>
      <c r="N75" s="6">
        <v>922</v>
      </c>
      <c r="O75" s="6">
        <v>864</v>
      </c>
      <c r="P75" s="6">
        <v>807</v>
      </c>
      <c r="Q75" s="6">
        <v>765</v>
      </c>
      <c r="R75" s="6">
        <v>581</v>
      </c>
      <c r="S75" s="6">
        <v>1317</v>
      </c>
      <c r="T75" s="6">
        <v>535</v>
      </c>
      <c r="U75" s="6">
        <v>924</v>
      </c>
      <c r="V75" s="6">
        <v>1318</v>
      </c>
      <c r="W75" s="6">
        <v>627</v>
      </c>
      <c r="X75" s="6">
        <v>629</v>
      </c>
      <c r="Y75" s="6">
        <v>1205</v>
      </c>
      <c r="Z75" s="6">
        <v>1027</v>
      </c>
      <c r="AA75" s="6">
        <v>963</v>
      </c>
      <c r="AB75" s="6">
        <v>1228</v>
      </c>
      <c r="AC75" s="6">
        <v>965</v>
      </c>
      <c r="AD75" s="6">
        <v>959</v>
      </c>
      <c r="AE75" s="6">
        <v>9218</v>
      </c>
      <c r="AF75" s="6">
        <v>11697</v>
      </c>
      <c r="AG75" s="16">
        <v>20915</v>
      </c>
      <c r="AH75" s="17">
        <v>768.16666666666663</v>
      </c>
      <c r="AI75" s="17">
        <v>974.75</v>
      </c>
      <c r="AJ75" s="17">
        <v>871.45833333333326</v>
      </c>
      <c r="AK75" s="49">
        <v>3.3668358494245198E-3</v>
      </c>
      <c r="AL75" s="48">
        <v>268.28516883752974</v>
      </c>
      <c r="AM75" s="19">
        <v>232.0320403599967</v>
      </c>
      <c r="AN75" s="47">
        <v>0.27523484876894561</v>
      </c>
      <c r="AO75" s="20">
        <v>0.26625718233994367</v>
      </c>
      <c r="AP75" s="44">
        <v>0.26893035365589069</v>
      </c>
      <c r="AQ75" s="46">
        <v>1894914</v>
      </c>
      <c r="AR75" s="45">
        <v>3388230</v>
      </c>
      <c r="AS75" s="22">
        <v>2.066665887421422E-3</v>
      </c>
      <c r="AT75" s="22">
        <v>0.91315386478977456</v>
      </c>
      <c r="AU75" s="22" t="s">
        <v>179</v>
      </c>
      <c r="AV75" s="22" t="s">
        <v>152</v>
      </c>
      <c r="AW75" s="22" t="s">
        <v>183</v>
      </c>
      <c r="AX75" s="23">
        <v>1937</v>
      </c>
      <c r="AY75" s="24">
        <v>1.9871761990253911</v>
      </c>
      <c r="AZ75" s="23">
        <v>1330</v>
      </c>
      <c r="BA75" s="26">
        <v>760</v>
      </c>
      <c r="BB75" s="44" t="s">
        <v>154</v>
      </c>
      <c r="BC75" s="26">
        <v>32.491666666666667</v>
      </c>
      <c r="BD75" s="23">
        <v>30</v>
      </c>
      <c r="BE75" s="26">
        <v>1949.5</v>
      </c>
      <c r="BF75" s="26">
        <v>2924.25</v>
      </c>
      <c r="BG75" s="24"/>
      <c r="BH75" s="1" t="s">
        <v>684</v>
      </c>
      <c r="BI75" s="26">
        <v>3936.6089743589741</v>
      </c>
      <c r="BJ75" s="23">
        <v>1.0946462114526331E-3</v>
      </c>
      <c r="BK75" s="26"/>
      <c r="BL75" s="27"/>
      <c r="BN75" s="13"/>
      <c r="BO75" s="43"/>
      <c r="BP75" s="42"/>
    </row>
    <row r="76" spans="1:68" s="1" customFormat="1" x14ac:dyDescent="0.3">
      <c r="A76" s="12" t="s">
        <v>683</v>
      </c>
      <c r="B76" s="12">
        <v>101030</v>
      </c>
      <c r="C76" s="13" t="s">
        <v>682</v>
      </c>
      <c r="D76" s="13" t="s">
        <v>53</v>
      </c>
      <c r="E76" s="14">
        <v>899</v>
      </c>
      <c r="F76" s="15" t="s">
        <v>137</v>
      </c>
      <c r="G76" s="6">
        <v>18</v>
      </c>
      <c r="H76" s="6">
        <v>87</v>
      </c>
      <c r="I76" s="6">
        <v>87</v>
      </c>
      <c r="J76" s="6">
        <v>15</v>
      </c>
      <c r="K76" s="6">
        <v>108</v>
      </c>
      <c r="L76" s="6">
        <v>112</v>
      </c>
      <c r="M76" s="6">
        <v>109</v>
      </c>
      <c r="N76" s="6">
        <v>107</v>
      </c>
      <c r="O76" s="6">
        <v>101</v>
      </c>
      <c r="P76" s="6">
        <v>270</v>
      </c>
      <c r="Q76" s="6">
        <v>125</v>
      </c>
      <c r="R76" s="6">
        <v>123</v>
      </c>
      <c r="S76" s="6">
        <v>171</v>
      </c>
      <c r="T76" s="6">
        <v>44</v>
      </c>
      <c r="U76" s="6">
        <v>119</v>
      </c>
      <c r="V76" s="6">
        <v>195</v>
      </c>
      <c r="W76" s="6">
        <v>115</v>
      </c>
      <c r="X76" s="6">
        <v>136</v>
      </c>
      <c r="Y76" s="6">
        <v>172</v>
      </c>
      <c r="Z76" s="6">
        <v>269</v>
      </c>
      <c r="AA76" s="6">
        <v>213</v>
      </c>
      <c r="AB76" s="6">
        <v>201</v>
      </c>
      <c r="AC76" s="6">
        <v>174</v>
      </c>
      <c r="AD76" s="6">
        <v>150</v>
      </c>
      <c r="AE76" s="6">
        <v>1262</v>
      </c>
      <c r="AF76" s="6">
        <v>1959</v>
      </c>
      <c r="AG76" s="16">
        <v>3221</v>
      </c>
      <c r="AH76" s="17">
        <v>105.16666666666667</v>
      </c>
      <c r="AI76" s="17">
        <v>163.25</v>
      </c>
      <c r="AJ76" s="17">
        <v>134.20833333333334</v>
      </c>
      <c r="AK76" s="49">
        <v>5.6387376498440915E-4</v>
      </c>
      <c r="AL76" s="48">
        <v>57.023320588239081</v>
      </c>
      <c r="AM76" s="19">
        <v>66.059906387188121</v>
      </c>
      <c r="AN76" s="47">
        <v>0.34930058553285809</v>
      </c>
      <c r="AO76" s="20">
        <v>0.49221910999457152</v>
      </c>
      <c r="AP76" s="44">
        <v>0.55229793977812991</v>
      </c>
      <c r="AQ76" s="46">
        <v>1761141</v>
      </c>
      <c r="AR76" s="45">
        <v>2895679</v>
      </c>
      <c r="AS76" s="22">
        <v>1.766232224560486E-3</v>
      </c>
      <c r="AT76" s="22">
        <v>0.92818780801679956</v>
      </c>
      <c r="AU76" s="22" t="s">
        <v>179</v>
      </c>
      <c r="AV76" s="22" t="s">
        <v>152</v>
      </c>
      <c r="AW76" s="22" t="s">
        <v>183</v>
      </c>
      <c r="AX76" s="23">
        <v>1752</v>
      </c>
      <c r="AY76" s="24">
        <v>10.732006125574273</v>
      </c>
      <c r="AZ76" s="23">
        <v>394</v>
      </c>
      <c r="BA76" s="26">
        <v>226</v>
      </c>
      <c r="BB76" s="44" t="s">
        <v>154</v>
      </c>
      <c r="BC76" s="26">
        <v>5.4416666666666664</v>
      </c>
      <c r="BD76" s="23">
        <v>30</v>
      </c>
      <c r="BE76" s="26">
        <v>326.5</v>
      </c>
      <c r="BF76" s="26">
        <v>489.75</v>
      </c>
      <c r="BG76" s="24"/>
      <c r="BI76" s="26"/>
      <c r="BJ76" s="23"/>
      <c r="BK76" s="26"/>
      <c r="BL76" s="27"/>
      <c r="BN76" s="13"/>
      <c r="BO76" s="43"/>
      <c r="BP76" s="42"/>
    </row>
    <row r="77" spans="1:68" s="1" customFormat="1" x14ac:dyDescent="0.3">
      <c r="A77" s="12" t="s">
        <v>681</v>
      </c>
      <c r="B77" s="12">
        <v>106019</v>
      </c>
      <c r="C77" s="13" t="s">
        <v>680</v>
      </c>
      <c r="D77" s="13" t="s">
        <v>44</v>
      </c>
      <c r="E77" s="14">
        <v>583</v>
      </c>
      <c r="F77" s="15" t="s">
        <v>137</v>
      </c>
      <c r="G77" s="6">
        <v>127</v>
      </c>
      <c r="H77" s="6">
        <v>308</v>
      </c>
      <c r="I77" s="6">
        <v>306</v>
      </c>
      <c r="J77" s="6">
        <v>153</v>
      </c>
      <c r="K77" s="6">
        <v>177</v>
      </c>
      <c r="L77" s="6">
        <v>231</v>
      </c>
      <c r="M77" s="6">
        <v>200</v>
      </c>
      <c r="N77" s="6">
        <v>114</v>
      </c>
      <c r="O77" s="6">
        <v>192</v>
      </c>
      <c r="P77" s="6">
        <v>228</v>
      </c>
      <c r="Q77" s="6">
        <v>77</v>
      </c>
      <c r="R77" s="6">
        <v>198</v>
      </c>
      <c r="S77" s="6">
        <v>103</v>
      </c>
      <c r="T77" s="6">
        <v>69</v>
      </c>
      <c r="U77" s="6">
        <v>216</v>
      </c>
      <c r="V77" s="6">
        <v>279</v>
      </c>
      <c r="W77" s="6">
        <v>217</v>
      </c>
      <c r="X77" s="6">
        <v>161</v>
      </c>
      <c r="Y77" s="6">
        <v>422</v>
      </c>
      <c r="Z77" s="6">
        <v>314</v>
      </c>
      <c r="AA77" s="6">
        <v>227</v>
      </c>
      <c r="AB77" s="6">
        <v>197</v>
      </c>
      <c r="AC77" s="6">
        <v>167</v>
      </c>
      <c r="AD77" s="6">
        <v>260</v>
      </c>
      <c r="AE77" s="6">
        <v>2311</v>
      </c>
      <c r="AF77" s="6">
        <v>2632</v>
      </c>
      <c r="AG77" s="16">
        <v>4943</v>
      </c>
      <c r="AH77" s="17">
        <v>192.58333333333334</v>
      </c>
      <c r="AI77" s="17">
        <v>219.33333333333334</v>
      </c>
      <c r="AJ77" s="17">
        <v>205.95833333333334</v>
      </c>
      <c r="AK77" s="49">
        <v>7.5758843769217201E-4</v>
      </c>
      <c r="AL77" s="48">
        <v>94.435483829229156</v>
      </c>
      <c r="AM77" s="19">
        <v>82.629860465691891</v>
      </c>
      <c r="AN77" s="47">
        <v>0.4305569171545402</v>
      </c>
      <c r="AO77" s="20">
        <v>0.40119697575897334</v>
      </c>
      <c r="AP77" s="44">
        <v>0.13890090869753352</v>
      </c>
      <c r="AQ77" s="46">
        <v>1534456</v>
      </c>
      <c r="AR77" s="45">
        <v>2881769</v>
      </c>
      <c r="AS77" s="22">
        <v>1.7577477584840885E-3</v>
      </c>
      <c r="AT77" s="22">
        <v>0.92994555577528371</v>
      </c>
      <c r="AU77" s="22" t="s">
        <v>179</v>
      </c>
      <c r="AV77" s="22" t="s">
        <v>152</v>
      </c>
      <c r="AW77" s="22" t="s">
        <v>183</v>
      </c>
      <c r="AX77" s="23">
        <v>537</v>
      </c>
      <c r="AY77" s="24">
        <v>2.4483282674772036</v>
      </c>
      <c r="AZ77" s="23">
        <v>490</v>
      </c>
      <c r="BA77" s="26">
        <v>280</v>
      </c>
      <c r="BB77" s="44" t="s">
        <v>154</v>
      </c>
      <c r="BC77" s="26">
        <v>7.3111111111111118</v>
      </c>
      <c r="BD77" s="23">
        <v>30</v>
      </c>
      <c r="BE77" s="26">
        <v>438.66666666666669</v>
      </c>
      <c r="BF77" s="26">
        <v>658</v>
      </c>
      <c r="BG77" s="24"/>
      <c r="BI77" s="26"/>
      <c r="BJ77" s="23"/>
      <c r="BK77" s="26"/>
      <c r="BL77" s="27"/>
      <c r="BN77" s="13"/>
      <c r="BO77" s="43"/>
      <c r="BP77" s="42"/>
    </row>
    <row r="78" spans="1:68" s="1" customFormat="1" x14ac:dyDescent="0.3">
      <c r="A78" s="12" t="s">
        <v>679</v>
      </c>
      <c r="B78" s="12">
        <v>102154</v>
      </c>
      <c r="C78" s="13" t="s">
        <v>678</v>
      </c>
      <c r="D78" s="13" t="s">
        <v>53</v>
      </c>
      <c r="E78" s="14">
        <v>155</v>
      </c>
      <c r="F78" s="15" t="s">
        <v>137</v>
      </c>
      <c r="G78" s="6">
        <v>219</v>
      </c>
      <c r="H78" s="6">
        <v>620</v>
      </c>
      <c r="I78" s="6">
        <v>254</v>
      </c>
      <c r="J78" s="6">
        <v>387</v>
      </c>
      <c r="K78" s="6">
        <v>820</v>
      </c>
      <c r="L78" s="6">
        <v>818</v>
      </c>
      <c r="M78" s="6">
        <v>676</v>
      </c>
      <c r="N78" s="6">
        <v>1071</v>
      </c>
      <c r="O78" s="6">
        <v>1074</v>
      </c>
      <c r="P78" s="6">
        <v>1580</v>
      </c>
      <c r="Q78" s="6">
        <v>1095</v>
      </c>
      <c r="R78" s="6">
        <v>1038</v>
      </c>
      <c r="S78" s="6">
        <v>689</v>
      </c>
      <c r="T78" s="6">
        <v>180</v>
      </c>
      <c r="U78" s="6">
        <v>854</v>
      </c>
      <c r="V78" s="6">
        <v>902</v>
      </c>
      <c r="W78" s="6">
        <v>1013</v>
      </c>
      <c r="X78" s="6">
        <v>872</v>
      </c>
      <c r="Y78" s="6">
        <v>985</v>
      </c>
      <c r="Z78" s="6">
        <v>626</v>
      </c>
      <c r="AA78" s="6">
        <v>623</v>
      </c>
      <c r="AB78" s="6">
        <v>807</v>
      </c>
      <c r="AC78" s="6">
        <v>530</v>
      </c>
      <c r="AD78" s="6">
        <v>730</v>
      </c>
      <c r="AE78" s="6">
        <v>9652</v>
      </c>
      <c r="AF78" s="6">
        <v>8811</v>
      </c>
      <c r="AG78" s="16">
        <v>18463</v>
      </c>
      <c r="AH78" s="17">
        <v>804.33333333333337</v>
      </c>
      <c r="AI78" s="17">
        <v>734.25</v>
      </c>
      <c r="AJ78" s="17">
        <v>769.29166666666674</v>
      </c>
      <c r="AK78" s="49">
        <v>2.5361366734444253E-3</v>
      </c>
      <c r="AL78" s="48">
        <v>230.09805222201175</v>
      </c>
      <c r="AM78" s="19">
        <v>320.79879637184303</v>
      </c>
      <c r="AN78" s="47">
        <v>0.31337834827648858</v>
      </c>
      <c r="AO78" s="20">
        <v>0.41700542235412619</v>
      </c>
      <c r="AP78" s="44">
        <v>-8.713220058019068E-2</v>
      </c>
      <c r="AQ78" s="46">
        <v>1365705</v>
      </c>
      <c r="AR78" s="45">
        <v>2861765</v>
      </c>
      <c r="AS78" s="22">
        <v>1.7455462301309431E-3</v>
      </c>
      <c r="AT78" s="22">
        <v>0.93169110200541461</v>
      </c>
      <c r="AU78" s="22" t="s">
        <v>179</v>
      </c>
      <c r="AV78" s="22" t="s">
        <v>152</v>
      </c>
      <c r="AW78" s="22" t="s">
        <v>183</v>
      </c>
      <c r="AX78" s="23">
        <v>5025</v>
      </c>
      <c r="AY78" s="24">
        <v>6.8437180796731356</v>
      </c>
      <c r="AZ78" s="23">
        <v>1491</v>
      </c>
      <c r="BA78" s="26">
        <v>870</v>
      </c>
      <c r="BB78" s="44" t="s">
        <v>154</v>
      </c>
      <c r="BC78" s="26">
        <v>24.475000000000001</v>
      </c>
      <c r="BD78" s="23">
        <v>30</v>
      </c>
      <c r="BE78" s="26">
        <v>1468.5</v>
      </c>
      <c r="BF78" s="26">
        <v>2202.75</v>
      </c>
      <c r="BG78" s="24"/>
      <c r="BI78" s="26"/>
      <c r="BJ78" s="23"/>
      <c r="BK78" s="26"/>
      <c r="BL78" s="27"/>
      <c r="BN78" s="13"/>
      <c r="BO78" s="43"/>
      <c r="BP78" s="42"/>
    </row>
    <row r="79" spans="1:68" s="1" customFormat="1" x14ac:dyDescent="0.3">
      <c r="A79" s="12" t="s">
        <v>677</v>
      </c>
      <c r="B79" s="12">
        <v>105018</v>
      </c>
      <c r="C79" s="13" t="s">
        <v>676</v>
      </c>
      <c r="D79" s="13" t="s">
        <v>137</v>
      </c>
      <c r="E79" s="14">
        <v>5116</v>
      </c>
      <c r="F79" s="15" t="s">
        <v>137</v>
      </c>
      <c r="G79" s="6">
        <v>31</v>
      </c>
      <c r="H79" s="6">
        <v>24</v>
      </c>
      <c r="I79" s="6">
        <v>23</v>
      </c>
      <c r="J79" s="6">
        <v>31</v>
      </c>
      <c r="K79" s="6">
        <v>23</v>
      </c>
      <c r="L79" s="6">
        <v>28</v>
      </c>
      <c r="M79" s="6">
        <v>34</v>
      </c>
      <c r="N79" s="6">
        <v>11</v>
      </c>
      <c r="O79" s="6">
        <v>8</v>
      </c>
      <c r="P79" s="6">
        <v>13</v>
      </c>
      <c r="Q79" s="6">
        <v>23</v>
      </c>
      <c r="R79" s="6">
        <v>48</v>
      </c>
      <c r="S79" s="6">
        <v>6</v>
      </c>
      <c r="T79" s="6">
        <v>7</v>
      </c>
      <c r="U79" s="6">
        <v>28</v>
      </c>
      <c r="V79" s="6">
        <v>21</v>
      </c>
      <c r="W79" s="6">
        <v>32</v>
      </c>
      <c r="X79" s="6">
        <v>34</v>
      </c>
      <c r="Y79" s="6">
        <v>4</v>
      </c>
      <c r="Z79" s="6">
        <v>18</v>
      </c>
      <c r="AA79" s="6">
        <v>38</v>
      </c>
      <c r="AB79" s="6">
        <v>22</v>
      </c>
      <c r="AC79" s="6">
        <v>14</v>
      </c>
      <c r="AD79" s="6">
        <v>37</v>
      </c>
      <c r="AE79" s="6">
        <v>297</v>
      </c>
      <c r="AF79" s="6">
        <v>261</v>
      </c>
      <c r="AG79" s="16">
        <v>558</v>
      </c>
      <c r="AH79" s="17">
        <v>24.75</v>
      </c>
      <c r="AI79" s="17">
        <v>21.75</v>
      </c>
      <c r="AJ79" s="17">
        <v>23.25</v>
      </c>
      <c r="AK79" s="49">
        <v>7.5125601154124957E-5</v>
      </c>
      <c r="AL79" s="48">
        <v>12.233523241858451</v>
      </c>
      <c r="AM79" s="19">
        <v>11.482500863790802</v>
      </c>
      <c r="AN79" s="47">
        <v>0.56246083870613572</v>
      </c>
      <c r="AO79" s="20">
        <v>0.49387100489422808</v>
      </c>
      <c r="AP79" s="44">
        <v>-0.12121212121212122</v>
      </c>
      <c r="AQ79" s="46">
        <v>1335276</v>
      </c>
      <c r="AR79" s="45">
        <v>2854728</v>
      </c>
      <c r="AS79" s="22">
        <v>1.7412539808297491E-3</v>
      </c>
      <c r="AT79" s="22">
        <v>0.93343235598624441</v>
      </c>
      <c r="AU79" s="22" t="s">
        <v>179</v>
      </c>
      <c r="AV79" s="22" t="s">
        <v>152</v>
      </c>
      <c r="AW79" s="22" t="s">
        <v>183</v>
      </c>
      <c r="AX79" s="23">
        <v>70</v>
      </c>
      <c r="AY79" s="24">
        <v>3.2183908045977012</v>
      </c>
      <c r="AZ79" s="23">
        <v>25</v>
      </c>
      <c r="BA79" s="26">
        <v>15</v>
      </c>
      <c r="BB79" s="44" t="s">
        <v>154</v>
      </c>
      <c r="BC79" s="26">
        <v>0.72499999999999998</v>
      </c>
      <c r="BD79" s="23">
        <v>30</v>
      </c>
      <c r="BE79" s="26">
        <v>43.5</v>
      </c>
      <c r="BF79" s="26">
        <v>65.25</v>
      </c>
      <c r="BG79" s="24"/>
      <c r="BI79" s="26"/>
      <c r="BJ79" s="23"/>
      <c r="BK79" s="26"/>
      <c r="BL79" s="27"/>
      <c r="BN79" s="13"/>
      <c r="BO79" s="43"/>
      <c r="BP79" s="42"/>
    </row>
    <row r="80" spans="1:68" s="1" customFormat="1" x14ac:dyDescent="0.3">
      <c r="A80" s="12" t="s">
        <v>675</v>
      </c>
      <c r="B80" s="12">
        <v>103024</v>
      </c>
      <c r="C80" s="13" t="s">
        <v>674</v>
      </c>
      <c r="D80" s="13" t="s">
        <v>44</v>
      </c>
      <c r="E80" s="14">
        <v>312</v>
      </c>
      <c r="F80" s="15" t="s">
        <v>137</v>
      </c>
      <c r="G80" s="6">
        <v>516</v>
      </c>
      <c r="H80" s="6">
        <v>267</v>
      </c>
      <c r="I80" s="6">
        <v>355</v>
      </c>
      <c r="J80" s="6">
        <v>322</v>
      </c>
      <c r="K80" s="6">
        <v>171</v>
      </c>
      <c r="L80" s="6">
        <v>452</v>
      </c>
      <c r="M80" s="6">
        <v>365</v>
      </c>
      <c r="N80" s="6">
        <v>480</v>
      </c>
      <c r="O80" s="6">
        <v>266</v>
      </c>
      <c r="P80" s="6">
        <v>435</v>
      </c>
      <c r="Q80" s="6">
        <v>343</v>
      </c>
      <c r="R80" s="6">
        <v>372</v>
      </c>
      <c r="S80" s="6">
        <v>417</v>
      </c>
      <c r="T80" s="6">
        <v>352</v>
      </c>
      <c r="U80" s="6">
        <v>318</v>
      </c>
      <c r="V80" s="6">
        <v>357</v>
      </c>
      <c r="W80" s="6">
        <v>228</v>
      </c>
      <c r="X80" s="6">
        <v>207</v>
      </c>
      <c r="Y80" s="6">
        <v>430</v>
      </c>
      <c r="Z80" s="6">
        <v>273</v>
      </c>
      <c r="AA80" s="6">
        <v>282</v>
      </c>
      <c r="AB80" s="6">
        <v>422</v>
      </c>
      <c r="AC80" s="6">
        <v>130</v>
      </c>
      <c r="AD80" s="6">
        <v>285</v>
      </c>
      <c r="AE80" s="6">
        <v>4344</v>
      </c>
      <c r="AF80" s="6">
        <v>3701</v>
      </c>
      <c r="AG80" s="16">
        <v>8045</v>
      </c>
      <c r="AH80" s="17">
        <v>362</v>
      </c>
      <c r="AI80" s="17">
        <v>308.41666666666669</v>
      </c>
      <c r="AJ80" s="17">
        <v>335.20833333333337</v>
      </c>
      <c r="AK80" s="49">
        <v>1.0652867811165383E-3</v>
      </c>
      <c r="AL80" s="48">
        <v>92.888455426469221</v>
      </c>
      <c r="AM80" s="19">
        <v>97.812588843317556</v>
      </c>
      <c r="AN80" s="47">
        <v>0.30117845585453407</v>
      </c>
      <c r="AO80" s="20">
        <v>0.29179641171406107</v>
      </c>
      <c r="AP80" s="44">
        <v>-0.1480202578268876</v>
      </c>
      <c r="AQ80" s="46">
        <v>1154712</v>
      </c>
      <c r="AR80" s="45">
        <v>2510040</v>
      </c>
      <c r="AS80" s="22">
        <v>1.5310100093745896E-3</v>
      </c>
      <c r="AT80" s="22">
        <v>0.93662815730941751</v>
      </c>
      <c r="AU80" s="22" t="s">
        <v>179</v>
      </c>
      <c r="AV80" s="22" t="s">
        <v>152</v>
      </c>
      <c r="AW80" s="22" t="s">
        <v>183</v>
      </c>
      <c r="AX80" s="23">
        <v>1833</v>
      </c>
      <c r="AY80" s="24">
        <v>5.9432585787624959</v>
      </c>
      <c r="AZ80" s="23">
        <v>441</v>
      </c>
      <c r="BA80" s="26">
        <v>250</v>
      </c>
      <c r="BB80" s="44" t="s">
        <v>154</v>
      </c>
      <c r="BC80" s="26">
        <v>10.280555555555557</v>
      </c>
      <c r="BD80" s="23">
        <v>30</v>
      </c>
      <c r="BE80" s="26">
        <v>616.83333333333337</v>
      </c>
      <c r="BF80" s="26">
        <v>925.25</v>
      </c>
      <c r="BG80" s="24"/>
      <c r="BI80" s="26"/>
      <c r="BJ80" s="23"/>
      <c r="BK80" s="26"/>
      <c r="BL80" s="27"/>
      <c r="BN80" s="13"/>
      <c r="BO80" s="43"/>
      <c r="BP80" s="42"/>
    </row>
    <row r="81" spans="1:68" s="1" customFormat="1" x14ac:dyDescent="0.3">
      <c r="A81" s="12" t="s">
        <v>673</v>
      </c>
      <c r="B81" s="12">
        <v>108017</v>
      </c>
      <c r="C81" s="13" t="s">
        <v>672</v>
      </c>
      <c r="D81" s="13" t="s">
        <v>339</v>
      </c>
      <c r="E81" s="14">
        <v>643</v>
      </c>
      <c r="F81" s="15" t="s">
        <v>137</v>
      </c>
      <c r="G81" s="6">
        <v>125</v>
      </c>
      <c r="H81" s="6">
        <v>184</v>
      </c>
      <c r="I81" s="6">
        <v>165</v>
      </c>
      <c r="J81" s="6">
        <v>113</v>
      </c>
      <c r="K81" s="6">
        <v>71</v>
      </c>
      <c r="L81" s="6">
        <v>114</v>
      </c>
      <c r="M81" s="6">
        <v>257</v>
      </c>
      <c r="N81" s="6">
        <v>241</v>
      </c>
      <c r="O81" s="6">
        <v>108</v>
      </c>
      <c r="P81" s="6">
        <v>117</v>
      </c>
      <c r="Q81" s="6">
        <v>115</v>
      </c>
      <c r="R81" s="6">
        <v>121</v>
      </c>
      <c r="S81" s="6">
        <v>131</v>
      </c>
      <c r="T81" s="6">
        <v>145</v>
      </c>
      <c r="U81" s="6">
        <v>225</v>
      </c>
      <c r="V81" s="6">
        <v>290</v>
      </c>
      <c r="W81" s="6">
        <v>209</v>
      </c>
      <c r="X81" s="6">
        <v>97</v>
      </c>
      <c r="Y81" s="6">
        <v>141</v>
      </c>
      <c r="Z81" s="6">
        <v>210</v>
      </c>
      <c r="AA81" s="6">
        <v>83</v>
      </c>
      <c r="AB81" s="6">
        <v>214</v>
      </c>
      <c r="AC81" s="6">
        <v>122</v>
      </c>
      <c r="AD81" s="6">
        <v>130</v>
      </c>
      <c r="AE81" s="6">
        <v>1731</v>
      </c>
      <c r="AF81" s="6">
        <v>1997</v>
      </c>
      <c r="AG81" s="16">
        <v>3728</v>
      </c>
      <c r="AH81" s="17">
        <v>144.25</v>
      </c>
      <c r="AI81" s="17">
        <v>166.41666666666666</v>
      </c>
      <c r="AJ81" s="17">
        <v>155.33333333333331</v>
      </c>
      <c r="AK81" s="49">
        <v>5.7481159197236603E-4</v>
      </c>
      <c r="AL81" s="48">
        <v>61.877383639425219</v>
      </c>
      <c r="AM81" s="19">
        <v>59.061255354572111</v>
      </c>
      <c r="AN81" s="47">
        <v>0.37182203488888466</v>
      </c>
      <c r="AO81" s="20">
        <v>0.38022267395647286</v>
      </c>
      <c r="AP81" s="44">
        <v>0.15366839976891963</v>
      </c>
      <c r="AQ81" s="46">
        <v>1284071</v>
      </c>
      <c r="AR81" s="45">
        <v>2397104</v>
      </c>
      <c r="AS81" s="22">
        <v>1.4621241962326761E-3</v>
      </c>
      <c r="AT81" s="22">
        <v>0.93959765029139752</v>
      </c>
      <c r="AU81" s="22" t="s">
        <v>179</v>
      </c>
      <c r="AV81" s="22" t="s">
        <v>152</v>
      </c>
      <c r="AW81" s="22" t="s">
        <v>183</v>
      </c>
      <c r="AX81" s="23">
        <v>300</v>
      </c>
      <c r="AY81" s="24">
        <v>1.8027040560841263</v>
      </c>
      <c r="AZ81" s="23">
        <v>350</v>
      </c>
      <c r="BA81" s="26">
        <v>200</v>
      </c>
      <c r="BB81" s="44" t="s">
        <v>154</v>
      </c>
      <c r="BC81" s="26">
        <v>5.5472222222222216</v>
      </c>
      <c r="BD81" s="23">
        <v>30</v>
      </c>
      <c r="BE81" s="26">
        <v>332.83333333333331</v>
      </c>
      <c r="BF81" s="26">
        <v>499.25</v>
      </c>
      <c r="BG81" s="24"/>
      <c r="BI81" s="26"/>
      <c r="BJ81" s="23"/>
      <c r="BK81" s="26"/>
      <c r="BL81" s="27"/>
      <c r="BN81" s="13"/>
      <c r="BO81" s="43"/>
      <c r="BP81" s="42"/>
    </row>
    <row r="82" spans="1:68" s="1" customFormat="1" x14ac:dyDescent="0.3">
      <c r="A82" s="12" t="s">
        <v>671</v>
      </c>
      <c r="B82" s="12">
        <v>102133</v>
      </c>
      <c r="C82" s="13" t="s">
        <v>670</v>
      </c>
      <c r="D82" s="13" t="s">
        <v>62</v>
      </c>
      <c r="E82" s="14">
        <v>151</v>
      </c>
      <c r="F82" s="15" t="s">
        <v>137</v>
      </c>
      <c r="G82" s="6">
        <v>252</v>
      </c>
      <c r="H82" s="6">
        <v>210</v>
      </c>
      <c r="I82" s="6">
        <v>543</v>
      </c>
      <c r="J82" s="6">
        <v>660</v>
      </c>
      <c r="K82" s="6">
        <v>945</v>
      </c>
      <c r="L82" s="6">
        <v>1020</v>
      </c>
      <c r="M82" s="6">
        <v>630</v>
      </c>
      <c r="N82" s="6">
        <v>300</v>
      </c>
      <c r="O82" s="6">
        <v>159</v>
      </c>
      <c r="P82" s="6">
        <v>1106</v>
      </c>
      <c r="Q82" s="6">
        <v>390</v>
      </c>
      <c r="R82" s="6">
        <v>630</v>
      </c>
      <c r="S82" s="6">
        <v>540</v>
      </c>
      <c r="T82" s="6">
        <v>640</v>
      </c>
      <c r="U82" s="6">
        <v>1129</v>
      </c>
      <c r="V82" s="6">
        <v>482</v>
      </c>
      <c r="W82" s="6">
        <v>902</v>
      </c>
      <c r="X82" s="6">
        <v>570</v>
      </c>
      <c r="Y82" s="6">
        <v>803</v>
      </c>
      <c r="Z82" s="6">
        <v>672</v>
      </c>
      <c r="AA82" s="6">
        <v>645</v>
      </c>
      <c r="AB82" s="6">
        <v>675</v>
      </c>
      <c r="AC82" s="6">
        <v>874</v>
      </c>
      <c r="AD82" s="6">
        <v>1067</v>
      </c>
      <c r="AE82" s="6">
        <v>6845</v>
      </c>
      <c r="AF82" s="6">
        <v>8999</v>
      </c>
      <c r="AG82" s="16">
        <v>15844</v>
      </c>
      <c r="AH82" s="17">
        <v>570.41666666666663</v>
      </c>
      <c r="AI82" s="17">
        <v>749.91666666666663</v>
      </c>
      <c r="AJ82" s="17">
        <v>660.16666666666663</v>
      </c>
      <c r="AK82" s="49">
        <v>2.5902501332795806E-3</v>
      </c>
      <c r="AL82" s="48">
        <v>206.39259074674058</v>
      </c>
      <c r="AM82" s="19">
        <v>280.78239550083697</v>
      </c>
      <c r="AN82" s="47">
        <v>0.27522070107355118</v>
      </c>
      <c r="AO82" s="20">
        <v>0.42532046781242666</v>
      </c>
      <c r="AP82" s="44">
        <v>0.31468224981738496</v>
      </c>
      <c r="AQ82" s="46">
        <v>1358849</v>
      </c>
      <c r="AR82" s="45">
        <v>2392444</v>
      </c>
      <c r="AS82" s="22">
        <v>1.4592818086039188E-3</v>
      </c>
      <c r="AT82" s="22">
        <v>0.94105693210000141</v>
      </c>
      <c r="AU82" s="22" t="s">
        <v>179</v>
      </c>
      <c r="AV82" s="22" t="s">
        <v>152</v>
      </c>
      <c r="AW82" s="22" t="s">
        <v>183</v>
      </c>
      <c r="AX82" s="23">
        <v>3358</v>
      </c>
      <c r="AY82" s="24">
        <v>4.4778308700966774</v>
      </c>
      <c r="AZ82" s="23">
        <v>1700</v>
      </c>
      <c r="BA82" s="26">
        <v>900</v>
      </c>
      <c r="BB82" s="44" t="s">
        <v>154</v>
      </c>
      <c r="BC82" s="26">
        <v>24.99722222222222</v>
      </c>
      <c r="BD82" s="23">
        <v>30</v>
      </c>
      <c r="BE82" s="26">
        <v>1499.8333333333333</v>
      </c>
      <c r="BF82" s="26">
        <v>2249.75</v>
      </c>
      <c r="BG82" s="24"/>
      <c r="BI82" s="26"/>
      <c r="BJ82" s="23"/>
      <c r="BK82" s="26"/>
      <c r="BL82" s="27"/>
      <c r="BN82" s="13"/>
      <c r="BO82" s="43"/>
      <c r="BP82" s="42"/>
    </row>
    <row r="83" spans="1:68" s="1" customFormat="1" x14ac:dyDescent="0.3">
      <c r="A83" s="12" t="s">
        <v>669</v>
      </c>
      <c r="B83" s="12">
        <v>102156</v>
      </c>
      <c r="C83" s="13" t="s">
        <v>668</v>
      </c>
      <c r="D83" s="13" t="s">
        <v>64</v>
      </c>
      <c r="E83" s="14">
        <v>74</v>
      </c>
      <c r="F83" s="15" t="s">
        <v>137</v>
      </c>
      <c r="G83" s="6">
        <v>740</v>
      </c>
      <c r="H83" s="6">
        <v>660</v>
      </c>
      <c r="I83" s="6">
        <v>1091</v>
      </c>
      <c r="J83" s="6">
        <v>564</v>
      </c>
      <c r="K83" s="6">
        <v>530</v>
      </c>
      <c r="L83" s="6">
        <v>732</v>
      </c>
      <c r="M83" s="6">
        <v>1119</v>
      </c>
      <c r="N83" s="6">
        <v>1060</v>
      </c>
      <c r="O83" s="6">
        <v>1165</v>
      </c>
      <c r="P83" s="6">
        <v>1186</v>
      </c>
      <c r="Q83" s="6">
        <v>1173</v>
      </c>
      <c r="R83" s="6">
        <v>1477</v>
      </c>
      <c r="S83" s="6">
        <v>1109</v>
      </c>
      <c r="T83" s="6">
        <v>1692</v>
      </c>
      <c r="U83" s="6">
        <v>1455</v>
      </c>
      <c r="V83" s="6">
        <v>329</v>
      </c>
      <c r="W83" s="6">
        <v>1433</v>
      </c>
      <c r="X83" s="6">
        <v>1442</v>
      </c>
      <c r="Y83" s="6">
        <v>2396</v>
      </c>
      <c r="Z83" s="6">
        <v>2119</v>
      </c>
      <c r="AA83" s="6">
        <v>1634</v>
      </c>
      <c r="AB83" s="6">
        <v>2331</v>
      </c>
      <c r="AC83" s="6">
        <v>1909</v>
      </c>
      <c r="AD83" s="6">
        <v>2567</v>
      </c>
      <c r="AE83" s="6">
        <v>11497</v>
      </c>
      <c r="AF83" s="6">
        <v>20416</v>
      </c>
      <c r="AG83" s="16">
        <v>31913</v>
      </c>
      <c r="AH83" s="17">
        <v>958.08333333333337</v>
      </c>
      <c r="AI83" s="17">
        <v>1701.3333333333333</v>
      </c>
      <c r="AJ83" s="17">
        <v>1329.7083333333333</v>
      </c>
      <c r="AK83" s="49">
        <v>5.8764914680559969E-3</v>
      </c>
      <c r="AL83" s="48">
        <v>624.11440287721905</v>
      </c>
      <c r="AM83" s="19">
        <v>611.11042759074644</v>
      </c>
      <c r="AN83" s="47">
        <v>0.36683840294507392</v>
      </c>
      <c r="AO83" s="20">
        <v>0.45958231009864053</v>
      </c>
      <c r="AP83" s="44">
        <v>0.77576759154562047</v>
      </c>
      <c r="AQ83" s="46">
        <v>1510784</v>
      </c>
      <c r="AR83" s="45">
        <v>2361562</v>
      </c>
      <c r="AS83" s="22">
        <v>1.4404451959963485E-3</v>
      </c>
      <c r="AT83" s="22">
        <v>0.94395610282616449</v>
      </c>
      <c r="AU83" s="22" t="s">
        <v>179</v>
      </c>
      <c r="AV83" s="22" t="s">
        <v>152</v>
      </c>
      <c r="AW83" s="22" t="s">
        <v>183</v>
      </c>
      <c r="AX83" s="23">
        <v>3428</v>
      </c>
      <c r="AY83" s="24">
        <v>2.0148902821316614</v>
      </c>
      <c r="AZ83" s="23">
        <v>4380</v>
      </c>
      <c r="BA83" s="26">
        <v>2520</v>
      </c>
      <c r="BB83" s="44" t="s">
        <v>154</v>
      </c>
      <c r="BC83" s="26">
        <v>56.711111111111109</v>
      </c>
      <c r="BD83" s="23">
        <v>30</v>
      </c>
      <c r="BE83" s="26">
        <v>3402.6666666666665</v>
      </c>
      <c r="BF83" s="26">
        <v>5104</v>
      </c>
      <c r="BG83" s="24"/>
      <c r="BI83" s="26"/>
      <c r="BJ83" s="23"/>
      <c r="BK83" s="26"/>
      <c r="BL83" s="27"/>
      <c r="BN83" s="13"/>
      <c r="BO83" s="43"/>
      <c r="BP83" s="42"/>
    </row>
    <row r="84" spans="1:68" s="1" customFormat="1" x14ac:dyDescent="0.3">
      <c r="A84" s="12" t="s">
        <v>667</v>
      </c>
      <c r="B84" s="12">
        <v>102026</v>
      </c>
      <c r="C84" s="13" t="s">
        <v>666</v>
      </c>
      <c r="D84" s="13" t="s">
        <v>44</v>
      </c>
      <c r="E84" s="14">
        <v>3213</v>
      </c>
      <c r="F84" s="15" t="s">
        <v>137</v>
      </c>
      <c r="G84" s="6">
        <v>26</v>
      </c>
      <c r="H84" s="6">
        <v>28</v>
      </c>
      <c r="I84" s="6">
        <v>40</v>
      </c>
      <c r="J84" s="6">
        <v>23</v>
      </c>
      <c r="K84" s="6">
        <v>28</v>
      </c>
      <c r="L84" s="6">
        <v>12</v>
      </c>
      <c r="M84" s="6">
        <v>34</v>
      </c>
      <c r="N84" s="6">
        <v>40</v>
      </c>
      <c r="O84" s="6">
        <v>17</v>
      </c>
      <c r="P84" s="6">
        <v>26</v>
      </c>
      <c r="Q84" s="6">
        <v>23</v>
      </c>
      <c r="R84" s="6">
        <v>26</v>
      </c>
      <c r="S84" s="6">
        <v>21</v>
      </c>
      <c r="T84" s="6">
        <v>17</v>
      </c>
      <c r="U84" s="6">
        <v>18</v>
      </c>
      <c r="V84" s="6">
        <v>30</v>
      </c>
      <c r="W84" s="6">
        <v>36</v>
      </c>
      <c r="X84" s="6">
        <v>37</v>
      </c>
      <c r="Y84" s="6">
        <v>45</v>
      </c>
      <c r="Z84" s="6">
        <v>52</v>
      </c>
      <c r="AA84" s="6">
        <v>19</v>
      </c>
      <c r="AB84" s="6">
        <v>34</v>
      </c>
      <c r="AC84" s="6">
        <v>26</v>
      </c>
      <c r="AD84" s="6">
        <v>28</v>
      </c>
      <c r="AE84" s="6">
        <v>323</v>
      </c>
      <c r="AF84" s="6">
        <v>363</v>
      </c>
      <c r="AG84" s="16">
        <v>686</v>
      </c>
      <c r="AH84" s="17">
        <v>26.916666666666668</v>
      </c>
      <c r="AI84" s="17">
        <v>30.25</v>
      </c>
      <c r="AJ84" s="17">
        <v>28.583333333333336</v>
      </c>
      <c r="AK84" s="49">
        <v>1.0448503149021977E-4</v>
      </c>
      <c r="AL84" s="48">
        <v>11.054616477044577</v>
      </c>
      <c r="AM84" s="19">
        <v>9.6905003535137038</v>
      </c>
      <c r="AN84" s="47">
        <v>0.36544186700973808</v>
      </c>
      <c r="AO84" s="20">
        <v>0.33902625143488174</v>
      </c>
      <c r="AP84" s="44">
        <v>0.12383900928792564</v>
      </c>
      <c r="AQ84" s="46">
        <v>1166319</v>
      </c>
      <c r="AR84" s="45">
        <v>2204118</v>
      </c>
      <c r="AS84" s="22">
        <v>1.3444115312276704E-3</v>
      </c>
      <c r="AT84" s="22">
        <v>0.94665421671444838</v>
      </c>
      <c r="AU84" s="22" t="s">
        <v>179</v>
      </c>
      <c r="AV84" s="22" t="s">
        <v>152</v>
      </c>
      <c r="AW84" s="22" t="s">
        <v>183</v>
      </c>
      <c r="AX84" s="23">
        <v>61</v>
      </c>
      <c r="AY84" s="24">
        <v>2.0165289256198347</v>
      </c>
      <c r="AZ84" s="23">
        <v>49</v>
      </c>
      <c r="BA84" s="26">
        <v>28</v>
      </c>
      <c r="BB84" s="44" t="s">
        <v>154</v>
      </c>
      <c r="BC84" s="26">
        <v>1.0083333333333333</v>
      </c>
      <c r="BD84" s="23">
        <v>30</v>
      </c>
      <c r="BE84" s="26">
        <v>60.5</v>
      </c>
      <c r="BF84" s="26">
        <v>90.75</v>
      </c>
      <c r="BG84" s="24"/>
      <c r="BI84" s="26"/>
      <c r="BJ84" s="23"/>
      <c r="BK84" s="26"/>
      <c r="BL84" s="27"/>
      <c r="BN84" s="13"/>
      <c r="BO84" s="43"/>
      <c r="BP84" s="42"/>
    </row>
    <row r="85" spans="1:68" s="1" customFormat="1" x14ac:dyDescent="0.3">
      <c r="A85" s="12" t="s">
        <v>665</v>
      </c>
      <c r="B85" s="12">
        <v>102034</v>
      </c>
      <c r="C85" s="13" t="s">
        <v>664</v>
      </c>
      <c r="D85" s="13" t="s">
        <v>44</v>
      </c>
      <c r="E85" s="14">
        <v>226</v>
      </c>
      <c r="F85" s="15" t="s">
        <v>137</v>
      </c>
      <c r="G85" s="6">
        <v>450</v>
      </c>
      <c r="H85" s="6">
        <v>368</v>
      </c>
      <c r="I85" s="6">
        <v>415</v>
      </c>
      <c r="J85" s="6">
        <v>404</v>
      </c>
      <c r="K85" s="6">
        <v>287</v>
      </c>
      <c r="L85" s="6">
        <v>294</v>
      </c>
      <c r="M85" s="6">
        <v>782</v>
      </c>
      <c r="N85" s="6">
        <v>712</v>
      </c>
      <c r="O85" s="6">
        <v>252</v>
      </c>
      <c r="P85" s="6">
        <v>277</v>
      </c>
      <c r="Q85" s="6">
        <v>228</v>
      </c>
      <c r="R85" s="6">
        <v>229</v>
      </c>
      <c r="S85" s="6">
        <v>215</v>
      </c>
      <c r="T85" s="6">
        <v>260</v>
      </c>
      <c r="U85" s="6">
        <v>251</v>
      </c>
      <c r="V85" s="6">
        <v>298</v>
      </c>
      <c r="W85" s="6">
        <v>370</v>
      </c>
      <c r="X85" s="6">
        <v>151</v>
      </c>
      <c r="Y85" s="6">
        <v>346</v>
      </c>
      <c r="Z85" s="6">
        <v>519</v>
      </c>
      <c r="AA85" s="6">
        <v>276</v>
      </c>
      <c r="AB85" s="6">
        <v>439</v>
      </c>
      <c r="AC85" s="6">
        <v>405</v>
      </c>
      <c r="AD85" s="6">
        <v>260</v>
      </c>
      <c r="AE85" s="6">
        <v>4698</v>
      </c>
      <c r="AF85" s="6">
        <v>3790</v>
      </c>
      <c r="AG85" s="16">
        <v>8488</v>
      </c>
      <c r="AH85" s="17">
        <v>391.5</v>
      </c>
      <c r="AI85" s="17">
        <v>315.83333333333331</v>
      </c>
      <c r="AJ85" s="17">
        <v>353.66666666666663</v>
      </c>
      <c r="AK85" s="49">
        <v>1.0909043232725426E-3</v>
      </c>
      <c r="AL85" s="48">
        <v>103.53816453439534</v>
      </c>
      <c r="AM85" s="19">
        <v>150.11637997311249</v>
      </c>
      <c r="AN85" s="47">
        <v>0.3278253230640486</v>
      </c>
      <c r="AO85" s="20">
        <v>0.4244572478033341</v>
      </c>
      <c r="AP85" s="44">
        <v>-0.19327373350361862</v>
      </c>
      <c r="AQ85" s="46">
        <v>856540</v>
      </c>
      <c r="AR85" s="45">
        <v>1918288</v>
      </c>
      <c r="AS85" s="22">
        <v>1.1700682574234526E-3</v>
      </c>
      <c r="AT85" s="22">
        <v>0.95155115958548342</v>
      </c>
      <c r="AU85" s="22" t="s">
        <v>215</v>
      </c>
      <c r="AV85" s="22" t="s">
        <v>152</v>
      </c>
      <c r="AW85" s="22" t="s">
        <v>216</v>
      </c>
      <c r="AX85" s="23">
        <v>1654</v>
      </c>
      <c r="AY85" s="24">
        <v>5.2369393139841689</v>
      </c>
      <c r="AZ85" s="23">
        <v>0</v>
      </c>
      <c r="BA85" s="26">
        <v>0</v>
      </c>
      <c r="BB85" s="44" t="s">
        <v>154</v>
      </c>
      <c r="BC85" s="26">
        <v>10.527777777777777</v>
      </c>
      <c r="BD85" s="23">
        <v>30</v>
      </c>
      <c r="BE85" s="26">
        <v>631.66666666666663</v>
      </c>
      <c r="BF85" s="26">
        <v>947.5</v>
      </c>
      <c r="BG85" s="24"/>
      <c r="BI85" s="26"/>
      <c r="BJ85" s="23"/>
      <c r="BK85" s="26"/>
      <c r="BL85" s="27"/>
      <c r="BN85" s="13"/>
      <c r="BO85" s="43"/>
      <c r="BP85" s="42"/>
    </row>
    <row r="86" spans="1:68" s="1" customFormat="1" x14ac:dyDescent="0.3">
      <c r="A86" s="12" t="s">
        <v>663</v>
      </c>
      <c r="B86" s="12">
        <v>106033</v>
      </c>
      <c r="C86" s="13" t="s">
        <v>662</v>
      </c>
      <c r="D86" s="13" t="s">
        <v>44</v>
      </c>
      <c r="E86" s="14">
        <v>65</v>
      </c>
      <c r="F86" s="15" t="s">
        <v>137</v>
      </c>
      <c r="G86" s="6">
        <v>1491</v>
      </c>
      <c r="H86" s="6">
        <v>951</v>
      </c>
      <c r="I86" s="6">
        <v>812</v>
      </c>
      <c r="J86" s="6">
        <v>942</v>
      </c>
      <c r="K86" s="6">
        <v>1122</v>
      </c>
      <c r="L86" s="6">
        <v>1571</v>
      </c>
      <c r="M86" s="6">
        <v>1519</v>
      </c>
      <c r="N86" s="6">
        <v>1860</v>
      </c>
      <c r="O86" s="6">
        <v>1850</v>
      </c>
      <c r="P86" s="6">
        <v>1122</v>
      </c>
      <c r="Q86" s="6">
        <v>1049</v>
      </c>
      <c r="R86" s="6">
        <v>838</v>
      </c>
      <c r="S86" s="6">
        <v>1222</v>
      </c>
      <c r="T86" s="6">
        <v>1235</v>
      </c>
      <c r="U86" s="6">
        <v>1242</v>
      </c>
      <c r="V86" s="6">
        <v>1130</v>
      </c>
      <c r="W86" s="6">
        <v>1111</v>
      </c>
      <c r="X86" s="6">
        <v>536</v>
      </c>
      <c r="Y86" s="6">
        <v>923</v>
      </c>
      <c r="Z86" s="6">
        <v>785</v>
      </c>
      <c r="AA86" s="6">
        <v>867</v>
      </c>
      <c r="AB86" s="6">
        <v>1225</v>
      </c>
      <c r="AC86" s="6">
        <v>740</v>
      </c>
      <c r="AD86" s="6">
        <v>1270</v>
      </c>
      <c r="AE86" s="6">
        <v>15127</v>
      </c>
      <c r="AF86" s="6">
        <v>12286</v>
      </c>
      <c r="AG86" s="16">
        <v>27413</v>
      </c>
      <c r="AH86" s="17">
        <v>1260.5833333333333</v>
      </c>
      <c r="AI86" s="17">
        <v>1023.8333333333334</v>
      </c>
      <c r="AJ86" s="17">
        <v>1142.2083333333333</v>
      </c>
      <c r="AK86" s="49">
        <v>3.5363721677378517E-3</v>
      </c>
      <c r="AL86" s="48">
        <v>245.27195790251537</v>
      </c>
      <c r="AM86" s="19">
        <v>335.00849816173269</v>
      </c>
      <c r="AN86" s="47">
        <v>0.23956238766320889</v>
      </c>
      <c r="AO86" s="20">
        <v>0.29329894414626584</v>
      </c>
      <c r="AP86" s="44">
        <v>-0.18780987637998273</v>
      </c>
      <c r="AQ86" s="46">
        <v>798590</v>
      </c>
      <c r="AR86" s="45">
        <v>1781845</v>
      </c>
      <c r="AS86" s="22">
        <v>1.0868442455714115E-3</v>
      </c>
      <c r="AT86" s="22">
        <v>0.95490108724298539</v>
      </c>
      <c r="AU86" s="22" t="s">
        <v>215</v>
      </c>
      <c r="AV86" s="22" t="s">
        <v>152</v>
      </c>
      <c r="AW86" s="22" t="s">
        <v>216</v>
      </c>
      <c r="AX86" s="23">
        <v>4414</v>
      </c>
      <c r="AY86" s="24">
        <v>4.3112485756145205</v>
      </c>
      <c r="AZ86" s="23">
        <v>2275</v>
      </c>
      <c r="BA86" s="26">
        <v>1300</v>
      </c>
      <c r="BB86" s="44" t="s">
        <v>154</v>
      </c>
      <c r="BC86" s="26">
        <v>34.12777777777778</v>
      </c>
      <c r="BD86" s="23">
        <v>30</v>
      </c>
      <c r="BE86" s="26">
        <v>2047.6666666666667</v>
      </c>
      <c r="BF86" s="26">
        <v>3071.5</v>
      </c>
      <c r="BG86" s="24"/>
      <c r="BI86" s="26"/>
      <c r="BJ86" s="23"/>
      <c r="BK86" s="26"/>
      <c r="BL86" s="27"/>
      <c r="BN86" s="13"/>
      <c r="BO86" s="43"/>
      <c r="BP86" s="42"/>
    </row>
    <row r="87" spans="1:68" s="1" customFormat="1" x14ac:dyDescent="0.3">
      <c r="A87" s="12" t="s">
        <v>661</v>
      </c>
      <c r="B87" s="12">
        <v>108006</v>
      </c>
      <c r="C87" s="13" t="s">
        <v>660</v>
      </c>
      <c r="D87" s="13" t="s">
        <v>339</v>
      </c>
      <c r="E87" s="14">
        <v>696</v>
      </c>
      <c r="F87" s="15" t="s">
        <v>137</v>
      </c>
      <c r="G87" s="6">
        <v>147</v>
      </c>
      <c r="H87" s="6">
        <v>68</v>
      </c>
      <c r="I87" s="6">
        <v>106</v>
      </c>
      <c r="J87" s="6">
        <v>132</v>
      </c>
      <c r="K87" s="6">
        <v>80</v>
      </c>
      <c r="L87" s="6">
        <v>123</v>
      </c>
      <c r="M87" s="6">
        <v>162</v>
      </c>
      <c r="N87" s="6">
        <v>161</v>
      </c>
      <c r="O87" s="6">
        <v>111</v>
      </c>
      <c r="P87" s="6">
        <v>95</v>
      </c>
      <c r="Q87" s="6">
        <v>60</v>
      </c>
      <c r="R87" s="6">
        <v>40</v>
      </c>
      <c r="S87" s="6">
        <v>41</v>
      </c>
      <c r="T87" s="6">
        <v>75</v>
      </c>
      <c r="U87" s="6">
        <v>107</v>
      </c>
      <c r="V87" s="6">
        <v>116</v>
      </c>
      <c r="W87" s="6">
        <v>120</v>
      </c>
      <c r="X87" s="6">
        <v>40</v>
      </c>
      <c r="Y87" s="6">
        <v>90</v>
      </c>
      <c r="Z87" s="6">
        <v>160</v>
      </c>
      <c r="AA87" s="6">
        <v>61</v>
      </c>
      <c r="AB87" s="6">
        <v>168</v>
      </c>
      <c r="AC87" s="6">
        <v>55</v>
      </c>
      <c r="AD87" s="6">
        <v>32</v>
      </c>
      <c r="AE87" s="6">
        <v>1285</v>
      </c>
      <c r="AF87" s="6">
        <v>1065</v>
      </c>
      <c r="AG87" s="16">
        <v>2350</v>
      </c>
      <c r="AH87" s="17">
        <v>107.08333333333333</v>
      </c>
      <c r="AI87" s="17">
        <v>88.75</v>
      </c>
      <c r="AJ87" s="17">
        <v>97.916666666666657</v>
      </c>
      <c r="AK87" s="49">
        <v>3.0654699321510759E-4</v>
      </c>
      <c r="AL87" s="48">
        <v>46.108813986836914</v>
      </c>
      <c r="AM87" s="19">
        <v>43.205189570202116</v>
      </c>
      <c r="AN87" s="47">
        <v>0.51953593224604977</v>
      </c>
      <c r="AO87" s="20">
        <v>0.44124448922759613</v>
      </c>
      <c r="AP87" s="44">
        <v>-0.17120622568093383</v>
      </c>
      <c r="AQ87" s="46">
        <v>741240</v>
      </c>
      <c r="AR87" s="45">
        <v>1635600</v>
      </c>
      <c r="AS87" s="22">
        <v>9.9764146042815205E-4</v>
      </c>
      <c r="AT87" s="22">
        <v>0.95899295614575952</v>
      </c>
      <c r="AU87" s="22" t="s">
        <v>215</v>
      </c>
      <c r="AV87" s="22" t="s">
        <v>152</v>
      </c>
      <c r="AW87" s="22" t="s">
        <v>216</v>
      </c>
      <c r="AX87" s="23">
        <v>158</v>
      </c>
      <c r="AY87" s="24">
        <v>1.7802816901408451</v>
      </c>
      <c r="AZ87" s="23">
        <v>84</v>
      </c>
      <c r="BA87" s="26">
        <v>60</v>
      </c>
      <c r="BB87" s="44" t="s">
        <v>154</v>
      </c>
      <c r="BC87" s="26">
        <v>2.9583333333333335</v>
      </c>
      <c r="BD87" s="23">
        <v>30</v>
      </c>
      <c r="BE87" s="26">
        <v>177.5</v>
      </c>
      <c r="BF87" s="26">
        <v>266.25</v>
      </c>
      <c r="BG87" s="24"/>
      <c r="BI87" s="26"/>
      <c r="BJ87" s="23"/>
      <c r="BK87" s="26"/>
      <c r="BL87" s="27"/>
      <c r="BN87" s="13"/>
      <c r="BO87" s="43"/>
      <c r="BP87" s="42"/>
    </row>
    <row r="88" spans="1:68" s="1" customFormat="1" x14ac:dyDescent="0.3">
      <c r="A88" s="12" t="s">
        <v>659</v>
      </c>
      <c r="B88" s="12">
        <v>106009</v>
      </c>
      <c r="C88" s="13" t="s">
        <v>658</v>
      </c>
      <c r="D88" s="13" t="s">
        <v>44</v>
      </c>
      <c r="E88" s="14">
        <v>580</v>
      </c>
      <c r="F88" s="15" t="s">
        <v>137</v>
      </c>
      <c r="G88" s="6">
        <v>110</v>
      </c>
      <c r="H88" s="6">
        <v>128</v>
      </c>
      <c r="I88" s="6">
        <v>147</v>
      </c>
      <c r="J88" s="6">
        <v>143</v>
      </c>
      <c r="K88" s="6">
        <v>182</v>
      </c>
      <c r="L88" s="6">
        <v>101</v>
      </c>
      <c r="M88" s="6">
        <v>63</v>
      </c>
      <c r="N88" s="6">
        <v>98</v>
      </c>
      <c r="O88" s="6">
        <v>143</v>
      </c>
      <c r="P88" s="6">
        <v>129</v>
      </c>
      <c r="Q88" s="6">
        <v>194</v>
      </c>
      <c r="R88" s="6">
        <v>122</v>
      </c>
      <c r="S88" s="6">
        <v>171</v>
      </c>
      <c r="T88" s="6">
        <v>65</v>
      </c>
      <c r="U88" s="6">
        <v>123</v>
      </c>
      <c r="V88" s="6">
        <v>132</v>
      </c>
      <c r="W88" s="6">
        <v>88</v>
      </c>
      <c r="X88" s="6">
        <v>60</v>
      </c>
      <c r="Y88" s="6">
        <v>72</v>
      </c>
      <c r="Z88" s="6">
        <v>130</v>
      </c>
      <c r="AA88" s="6">
        <v>69</v>
      </c>
      <c r="AB88" s="6">
        <v>136</v>
      </c>
      <c r="AC88" s="6">
        <v>104</v>
      </c>
      <c r="AD88" s="6">
        <v>36</v>
      </c>
      <c r="AE88" s="6">
        <v>1560</v>
      </c>
      <c r="AF88" s="6">
        <v>1186</v>
      </c>
      <c r="AG88" s="16">
        <v>2746</v>
      </c>
      <c r="AH88" s="17">
        <v>130</v>
      </c>
      <c r="AI88" s="17">
        <v>98.833333333333329</v>
      </c>
      <c r="AJ88" s="17">
        <v>114.41666666666666</v>
      </c>
      <c r="AK88" s="49">
        <v>3.4137533704518087E-4</v>
      </c>
      <c r="AL88" s="48">
        <v>39.999621210327696</v>
      </c>
      <c r="AM88" s="19">
        <v>40.474271663201868</v>
      </c>
      <c r="AN88" s="47">
        <v>0.4047179211837541</v>
      </c>
      <c r="AO88" s="20">
        <v>0.35374454476214306</v>
      </c>
      <c r="AP88" s="44">
        <v>-0.23974358974358978</v>
      </c>
      <c r="AQ88" s="46">
        <v>687880</v>
      </c>
      <c r="AR88" s="45">
        <v>1592680</v>
      </c>
      <c r="AS88" s="22">
        <v>9.7146221643110121E-4</v>
      </c>
      <c r="AT88" s="22">
        <v>0.96095139781923877</v>
      </c>
      <c r="AU88" s="22" t="s">
        <v>215</v>
      </c>
      <c r="AV88" s="22" t="s">
        <v>152</v>
      </c>
      <c r="AW88" s="22" t="s">
        <v>216</v>
      </c>
      <c r="AX88" s="23">
        <v>264</v>
      </c>
      <c r="AY88" s="24">
        <v>2.6711635750421587</v>
      </c>
      <c r="AZ88" s="23">
        <v>182</v>
      </c>
      <c r="BA88" s="26">
        <v>100</v>
      </c>
      <c r="BB88" s="44" t="s">
        <v>154</v>
      </c>
      <c r="BC88" s="26">
        <v>3.2944444444444443</v>
      </c>
      <c r="BD88" s="23">
        <v>30</v>
      </c>
      <c r="BE88" s="26">
        <v>197.66666666666666</v>
      </c>
      <c r="BF88" s="26">
        <v>296.5</v>
      </c>
      <c r="BG88" s="24"/>
      <c r="BI88" s="26"/>
      <c r="BJ88" s="23"/>
      <c r="BK88" s="26"/>
      <c r="BL88" s="27"/>
      <c r="BN88" s="13"/>
      <c r="BO88" s="43"/>
      <c r="BP88" s="42"/>
    </row>
    <row r="89" spans="1:68" s="1" customFormat="1" x14ac:dyDescent="0.3">
      <c r="A89" s="12" t="s">
        <v>657</v>
      </c>
      <c r="B89" s="12">
        <v>102013</v>
      </c>
      <c r="C89" s="13" t="s">
        <v>656</v>
      </c>
      <c r="D89" s="13" t="s">
        <v>44</v>
      </c>
      <c r="E89" s="14">
        <v>184</v>
      </c>
      <c r="F89" s="15" t="s">
        <v>137</v>
      </c>
      <c r="G89" s="6">
        <v>364</v>
      </c>
      <c r="H89" s="6">
        <v>252</v>
      </c>
      <c r="I89" s="6">
        <v>187</v>
      </c>
      <c r="J89" s="6">
        <v>133</v>
      </c>
      <c r="K89" s="6">
        <v>332</v>
      </c>
      <c r="L89" s="6">
        <v>538</v>
      </c>
      <c r="M89" s="6">
        <v>448</v>
      </c>
      <c r="N89" s="6">
        <v>467</v>
      </c>
      <c r="O89" s="6">
        <v>476</v>
      </c>
      <c r="P89" s="6">
        <v>163</v>
      </c>
      <c r="Q89" s="6">
        <v>170</v>
      </c>
      <c r="R89" s="6">
        <v>543</v>
      </c>
      <c r="S89" s="6">
        <v>547</v>
      </c>
      <c r="T89" s="6">
        <v>205</v>
      </c>
      <c r="U89" s="6">
        <v>338</v>
      </c>
      <c r="V89" s="6">
        <v>494</v>
      </c>
      <c r="W89" s="6">
        <v>346</v>
      </c>
      <c r="X89" s="6">
        <v>277</v>
      </c>
      <c r="Y89" s="6">
        <v>458</v>
      </c>
      <c r="Z89" s="6">
        <v>96</v>
      </c>
      <c r="AA89" s="6">
        <v>275</v>
      </c>
      <c r="AB89" s="6">
        <v>248</v>
      </c>
      <c r="AC89" s="6">
        <v>301</v>
      </c>
      <c r="AD89" s="6">
        <v>456</v>
      </c>
      <c r="AE89" s="6">
        <v>4073</v>
      </c>
      <c r="AF89" s="6">
        <v>4041</v>
      </c>
      <c r="AG89" s="16">
        <v>8114</v>
      </c>
      <c r="AH89" s="17">
        <v>339.41666666666669</v>
      </c>
      <c r="AI89" s="17">
        <v>336.75</v>
      </c>
      <c r="AJ89" s="17">
        <v>338.08333333333337</v>
      </c>
      <c r="AK89" s="49">
        <v>1.163151548903521E-3</v>
      </c>
      <c r="AL89" s="48">
        <v>131.35595290521235</v>
      </c>
      <c r="AM89" s="19">
        <v>140.0946626133688</v>
      </c>
      <c r="AN89" s="47">
        <v>0.39006964485586443</v>
      </c>
      <c r="AO89" s="20">
        <v>0.41437908586650862</v>
      </c>
      <c r="AP89" s="44">
        <v>-7.8566167444144921E-3</v>
      </c>
      <c r="AQ89" s="46">
        <v>743544</v>
      </c>
      <c r="AR89" s="45">
        <v>1492976</v>
      </c>
      <c r="AS89" s="22">
        <v>9.1064732026423375E-4</v>
      </c>
      <c r="AT89" s="22">
        <v>0.96186204513950302</v>
      </c>
      <c r="AU89" s="22" t="s">
        <v>215</v>
      </c>
      <c r="AV89" s="22" t="s">
        <v>152</v>
      </c>
      <c r="AW89" s="22" t="s">
        <v>216</v>
      </c>
      <c r="AX89" s="23">
        <v>956</v>
      </c>
      <c r="AY89" s="24">
        <v>2.8389012620638456</v>
      </c>
      <c r="AZ89" s="23">
        <v>490</v>
      </c>
      <c r="BA89" s="26">
        <v>280</v>
      </c>
      <c r="BB89" s="44" t="s">
        <v>154</v>
      </c>
      <c r="BC89" s="26">
        <v>11.225</v>
      </c>
      <c r="BD89" s="23">
        <v>30</v>
      </c>
      <c r="BE89" s="26">
        <v>673.5</v>
      </c>
      <c r="BF89" s="26">
        <v>1010.25</v>
      </c>
      <c r="BG89" s="24"/>
      <c r="BI89" s="26"/>
      <c r="BJ89" s="23"/>
      <c r="BK89" s="26"/>
      <c r="BL89" s="27"/>
      <c r="BN89" s="13"/>
      <c r="BO89" s="43"/>
      <c r="BP89" s="42"/>
    </row>
    <row r="90" spans="1:68" s="1" customFormat="1" x14ac:dyDescent="0.3">
      <c r="A90" s="12" t="s">
        <v>655</v>
      </c>
      <c r="B90" s="12">
        <v>106031</v>
      </c>
      <c r="C90" s="13" t="s">
        <v>654</v>
      </c>
      <c r="D90" s="13" t="s">
        <v>44</v>
      </c>
      <c r="E90" s="14">
        <v>250</v>
      </c>
      <c r="F90" s="15" t="s">
        <v>137</v>
      </c>
      <c r="G90" s="6">
        <v>358</v>
      </c>
      <c r="H90" s="6">
        <v>355</v>
      </c>
      <c r="I90" s="6">
        <v>372</v>
      </c>
      <c r="J90" s="6">
        <v>226</v>
      </c>
      <c r="K90" s="6">
        <v>252</v>
      </c>
      <c r="L90" s="6">
        <v>159</v>
      </c>
      <c r="M90" s="6">
        <v>249</v>
      </c>
      <c r="N90" s="6">
        <v>310</v>
      </c>
      <c r="O90" s="6">
        <v>314</v>
      </c>
      <c r="P90" s="6">
        <v>298</v>
      </c>
      <c r="Q90" s="6">
        <v>156</v>
      </c>
      <c r="R90" s="6">
        <v>155</v>
      </c>
      <c r="S90" s="6">
        <v>356</v>
      </c>
      <c r="T90" s="6">
        <v>247</v>
      </c>
      <c r="U90" s="6">
        <v>253</v>
      </c>
      <c r="V90" s="6">
        <v>324</v>
      </c>
      <c r="W90" s="6">
        <v>222</v>
      </c>
      <c r="X90" s="6">
        <v>252</v>
      </c>
      <c r="Y90" s="6">
        <v>258</v>
      </c>
      <c r="Z90" s="6">
        <v>169</v>
      </c>
      <c r="AA90" s="6">
        <v>168</v>
      </c>
      <c r="AB90" s="6">
        <v>130</v>
      </c>
      <c r="AC90" s="6">
        <v>137</v>
      </c>
      <c r="AD90" s="6">
        <v>202</v>
      </c>
      <c r="AE90" s="6">
        <v>3204</v>
      </c>
      <c r="AF90" s="6">
        <v>2718</v>
      </c>
      <c r="AG90" s="16">
        <v>5922</v>
      </c>
      <c r="AH90" s="17">
        <v>267</v>
      </c>
      <c r="AI90" s="17">
        <v>226.5</v>
      </c>
      <c r="AJ90" s="17">
        <v>246.75</v>
      </c>
      <c r="AK90" s="49">
        <v>7.8234246719123231E-4</v>
      </c>
      <c r="AL90" s="48">
        <v>69.878465924775426</v>
      </c>
      <c r="AM90" s="19">
        <v>76.437669975636666</v>
      </c>
      <c r="AN90" s="47">
        <v>0.30851419834337934</v>
      </c>
      <c r="AO90" s="20">
        <v>0.30977779118799054</v>
      </c>
      <c r="AP90" s="44">
        <v>-0.15168539325842698</v>
      </c>
      <c r="AQ90" s="46">
        <v>679500</v>
      </c>
      <c r="AR90" s="45">
        <v>1480500</v>
      </c>
      <c r="AS90" s="22">
        <v>9.0303752883582732E-4</v>
      </c>
      <c r="AT90" s="22">
        <v>0.96276508266833882</v>
      </c>
      <c r="AU90" s="22" t="s">
        <v>215</v>
      </c>
      <c r="AV90" s="22" t="s">
        <v>152</v>
      </c>
      <c r="AW90" s="22" t="s">
        <v>216</v>
      </c>
      <c r="AX90" s="23">
        <v>1001</v>
      </c>
      <c r="AY90" s="24">
        <v>4.4194260485651213</v>
      </c>
      <c r="AZ90" s="23">
        <v>420</v>
      </c>
      <c r="BA90" s="26">
        <v>240</v>
      </c>
      <c r="BB90" s="44" t="s">
        <v>154</v>
      </c>
      <c r="BC90" s="26">
        <v>7.55</v>
      </c>
      <c r="BD90" s="23">
        <v>30</v>
      </c>
      <c r="BE90" s="26">
        <v>453</v>
      </c>
      <c r="BF90" s="26">
        <v>679.5</v>
      </c>
      <c r="BG90" s="24"/>
      <c r="BI90" s="26"/>
      <c r="BJ90" s="23"/>
      <c r="BK90" s="26"/>
      <c r="BL90" s="27"/>
      <c r="BN90" s="13"/>
      <c r="BO90" s="43"/>
      <c r="BP90" s="42"/>
    </row>
    <row r="91" spans="1:68" s="1" customFormat="1" x14ac:dyDescent="0.3">
      <c r="A91" s="12" t="s">
        <v>653</v>
      </c>
      <c r="B91" s="12">
        <v>106021</v>
      </c>
      <c r="C91" s="13" t="s">
        <v>652</v>
      </c>
      <c r="D91" s="13" t="s">
        <v>44</v>
      </c>
      <c r="E91" s="14">
        <v>500</v>
      </c>
      <c r="F91" s="15" t="s">
        <v>137</v>
      </c>
      <c r="G91" s="6">
        <v>164</v>
      </c>
      <c r="H91" s="6">
        <v>163</v>
      </c>
      <c r="I91" s="6">
        <v>135</v>
      </c>
      <c r="J91" s="6">
        <v>87</v>
      </c>
      <c r="K91" s="6">
        <v>74</v>
      </c>
      <c r="L91" s="6">
        <v>101</v>
      </c>
      <c r="M91" s="6">
        <v>153</v>
      </c>
      <c r="N91" s="6">
        <v>61</v>
      </c>
      <c r="O91" s="6">
        <v>109</v>
      </c>
      <c r="P91" s="6">
        <v>91</v>
      </c>
      <c r="Q91" s="6">
        <v>122</v>
      </c>
      <c r="R91" s="6">
        <v>84</v>
      </c>
      <c r="S91" s="6">
        <v>34</v>
      </c>
      <c r="T91" s="6">
        <v>172</v>
      </c>
      <c r="U91" s="6">
        <v>236</v>
      </c>
      <c r="V91" s="6">
        <v>102</v>
      </c>
      <c r="W91" s="6">
        <v>98</v>
      </c>
      <c r="X91" s="6">
        <v>85</v>
      </c>
      <c r="Y91" s="6">
        <v>85</v>
      </c>
      <c r="Z91" s="6">
        <v>206</v>
      </c>
      <c r="AA91" s="6">
        <v>72</v>
      </c>
      <c r="AB91" s="6">
        <v>216</v>
      </c>
      <c r="AC91" s="6">
        <v>121</v>
      </c>
      <c r="AD91" s="6">
        <v>94</v>
      </c>
      <c r="AE91" s="6">
        <v>1344</v>
      </c>
      <c r="AF91" s="6">
        <v>1521</v>
      </c>
      <c r="AG91" s="16">
        <v>2865</v>
      </c>
      <c r="AH91" s="17">
        <v>112</v>
      </c>
      <c r="AI91" s="17">
        <v>126.75</v>
      </c>
      <c r="AJ91" s="17">
        <v>119.375</v>
      </c>
      <c r="AK91" s="49">
        <v>4.3780091707059027E-4</v>
      </c>
      <c r="AL91" s="48">
        <v>64.568673800563971</v>
      </c>
      <c r="AM91" s="19">
        <v>51.417145254155805</v>
      </c>
      <c r="AN91" s="47">
        <v>0.50941754477762502</v>
      </c>
      <c r="AO91" s="20">
        <v>0.43071954139606955</v>
      </c>
      <c r="AP91" s="44">
        <v>0.13169642857142858</v>
      </c>
      <c r="AQ91" s="46">
        <v>760500</v>
      </c>
      <c r="AR91" s="45">
        <v>1432500</v>
      </c>
      <c r="AS91" s="22">
        <v>8.7375971635077513E-4</v>
      </c>
      <c r="AT91" s="22">
        <v>0.96363884238468955</v>
      </c>
      <c r="AU91" s="22" t="s">
        <v>215</v>
      </c>
      <c r="AV91" s="22" t="s">
        <v>152</v>
      </c>
      <c r="AW91" s="22" t="s">
        <v>216</v>
      </c>
      <c r="AX91" s="23">
        <v>424</v>
      </c>
      <c r="AY91" s="24">
        <v>3.3451676528599608</v>
      </c>
      <c r="AZ91" s="23">
        <v>350</v>
      </c>
      <c r="BA91" s="26">
        <v>200</v>
      </c>
      <c r="BB91" s="44" t="s">
        <v>154</v>
      </c>
      <c r="BC91" s="26">
        <v>4.2249999999999996</v>
      </c>
      <c r="BD91" s="23">
        <v>30</v>
      </c>
      <c r="BE91" s="26">
        <v>253.49999999999997</v>
      </c>
      <c r="BF91" s="26">
        <v>380.24999999999994</v>
      </c>
      <c r="BG91" s="24"/>
      <c r="BI91" s="26"/>
      <c r="BJ91" s="23"/>
      <c r="BK91" s="26"/>
      <c r="BL91" s="27"/>
      <c r="BN91" s="13"/>
      <c r="BO91" s="43"/>
      <c r="BP91" s="42"/>
    </row>
    <row r="92" spans="1:68" s="1" customFormat="1" x14ac:dyDescent="0.3">
      <c r="A92" s="12" t="s">
        <v>651</v>
      </c>
      <c r="B92" s="12">
        <v>102153</v>
      </c>
      <c r="C92" s="13" t="s">
        <v>650</v>
      </c>
      <c r="D92" s="13" t="s">
        <v>62</v>
      </c>
      <c r="E92" s="14">
        <v>25</v>
      </c>
      <c r="F92" s="15" t="s">
        <v>137</v>
      </c>
      <c r="G92" s="6">
        <v>729</v>
      </c>
      <c r="H92" s="6">
        <v>1413</v>
      </c>
      <c r="I92" s="6">
        <v>1746</v>
      </c>
      <c r="J92" s="6">
        <v>1388</v>
      </c>
      <c r="K92" s="6">
        <v>1424</v>
      </c>
      <c r="L92" s="6">
        <v>1745</v>
      </c>
      <c r="M92" s="6">
        <v>1755</v>
      </c>
      <c r="N92" s="6">
        <v>2821</v>
      </c>
      <c r="O92" s="6">
        <v>1877</v>
      </c>
      <c r="P92" s="6">
        <v>2538</v>
      </c>
      <c r="Q92" s="6">
        <v>1989</v>
      </c>
      <c r="R92" s="6">
        <v>2015</v>
      </c>
      <c r="S92" s="6">
        <v>2512</v>
      </c>
      <c r="T92" s="6">
        <v>3046</v>
      </c>
      <c r="U92" s="6">
        <v>2030</v>
      </c>
      <c r="V92" s="6">
        <v>1847</v>
      </c>
      <c r="W92" s="6">
        <v>2118</v>
      </c>
      <c r="X92" s="6">
        <v>2715</v>
      </c>
      <c r="Y92" s="6">
        <v>2686</v>
      </c>
      <c r="Z92" s="6">
        <v>3318</v>
      </c>
      <c r="AA92" s="6">
        <v>3605</v>
      </c>
      <c r="AB92" s="6">
        <v>4497</v>
      </c>
      <c r="AC92" s="6">
        <v>3396</v>
      </c>
      <c r="AD92" s="6">
        <v>3920</v>
      </c>
      <c r="AE92" s="6">
        <v>21440</v>
      </c>
      <c r="AF92" s="6">
        <v>35690</v>
      </c>
      <c r="AG92" s="16">
        <v>57130</v>
      </c>
      <c r="AH92" s="17">
        <v>1786.6666666666667</v>
      </c>
      <c r="AI92" s="17">
        <v>2974.1666666666665</v>
      </c>
      <c r="AJ92" s="17">
        <v>2380.4166666666665</v>
      </c>
      <c r="AK92" s="49">
        <v>1.0272922242110037E-2</v>
      </c>
      <c r="AL92" s="48">
        <v>807.44713683799716</v>
      </c>
      <c r="AM92" s="19">
        <v>907.00989480565363</v>
      </c>
      <c r="AN92" s="47">
        <v>0.27148684903491083</v>
      </c>
      <c r="AO92" s="20">
        <v>0.38102988754307177</v>
      </c>
      <c r="AP92" s="44">
        <v>0.66464552238805952</v>
      </c>
      <c r="AQ92" s="46">
        <v>892250</v>
      </c>
      <c r="AR92" s="45">
        <v>1428250</v>
      </c>
      <c r="AS92" s="22">
        <v>8.7116741003699443E-4</v>
      </c>
      <c r="AT92" s="22">
        <v>0.96451000979472656</v>
      </c>
      <c r="AU92" s="22" t="s">
        <v>215</v>
      </c>
      <c r="AV92" s="22" t="s">
        <v>152</v>
      </c>
      <c r="AW92" s="22" t="s">
        <v>216</v>
      </c>
      <c r="AX92" s="23">
        <v>7591</v>
      </c>
      <c r="AY92" s="24">
        <v>2.5523115718688709</v>
      </c>
      <c r="AZ92" s="23">
        <v>7000</v>
      </c>
      <c r="BA92" s="26">
        <v>2520</v>
      </c>
      <c r="BB92" s="44" t="s">
        <v>154</v>
      </c>
      <c r="BC92" s="26">
        <v>99.138888888888886</v>
      </c>
      <c r="BD92" s="23">
        <v>30</v>
      </c>
      <c r="BE92" s="26">
        <v>5948.333333333333</v>
      </c>
      <c r="BF92" s="26">
        <v>8922.5</v>
      </c>
      <c r="BG92" s="24"/>
      <c r="BI92" s="26"/>
      <c r="BJ92" s="23"/>
      <c r="BK92" s="26"/>
      <c r="BL92" s="27"/>
      <c r="BN92" s="13"/>
      <c r="BO92" s="43"/>
      <c r="BP92" s="42"/>
    </row>
    <row r="93" spans="1:68" s="1" customFormat="1" x14ac:dyDescent="0.3">
      <c r="A93" s="12" t="s">
        <v>649</v>
      </c>
      <c r="B93" s="12">
        <v>106094</v>
      </c>
      <c r="C93" s="13" t="s">
        <v>648</v>
      </c>
      <c r="D93" s="13" t="s">
        <v>44</v>
      </c>
      <c r="E93" s="14">
        <v>619</v>
      </c>
      <c r="F93" s="15" t="s">
        <v>137</v>
      </c>
      <c r="G93" s="6">
        <v>80</v>
      </c>
      <c r="H93" s="6">
        <v>46</v>
      </c>
      <c r="I93" s="6">
        <v>94</v>
      </c>
      <c r="J93" s="6">
        <v>61</v>
      </c>
      <c r="K93" s="6">
        <v>116</v>
      </c>
      <c r="L93" s="6">
        <v>82</v>
      </c>
      <c r="M93" s="6">
        <v>100</v>
      </c>
      <c r="N93" s="6">
        <v>78</v>
      </c>
      <c r="O93" s="6">
        <v>62</v>
      </c>
      <c r="P93" s="6">
        <v>74</v>
      </c>
      <c r="Q93" s="6">
        <v>66</v>
      </c>
      <c r="R93" s="6">
        <v>25</v>
      </c>
      <c r="S93" s="6">
        <v>170</v>
      </c>
      <c r="T93" s="6">
        <v>93</v>
      </c>
      <c r="U93" s="6">
        <v>135</v>
      </c>
      <c r="V93" s="6">
        <v>25</v>
      </c>
      <c r="W93" s="6">
        <v>77</v>
      </c>
      <c r="X93" s="6">
        <v>66</v>
      </c>
      <c r="Y93" s="6">
        <v>47</v>
      </c>
      <c r="Z93" s="6">
        <v>66</v>
      </c>
      <c r="AA93" s="6">
        <v>35</v>
      </c>
      <c r="AB93" s="6">
        <v>63</v>
      </c>
      <c r="AC93" s="6">
        <v>110</v>
      </c>
      <c r="AD93" s="6">
        <v>76</v>
      </c>
      <c r="AE93" s="6">
        <v>884</v>
      </c>
      <c r="AF93" s="6">
        <v>963</v>
      </c>
      <c r="AG93" s="16">
        <v>1847</v>
      </c>
      <c r="AH93" s="17">
        <v>73.666666666666671</v>
      </c>
      <c r="AI93" s="17">
        <v>80.25</v>
      </c>
      <c r="AJ93" s="17">
        <v>76.958333333333343</v>
      </c>
      <c r="AK93" s="49">
        <v>2.771875628790128E-4</v>
      </c>
      <c r="AL93" s="48">
        <v>41.602283591168408</v>
      </c>
      <c r="AM93" s="19">
        <v>33.502081916705173</v>
      </c>
      <c r="AN93" s="47">
        <v>0.51840851827001133</v>
      </c>
      <c r="AO93" s="20">
        <v>0.43532753979476124</v>
      </c>
      <c r="AP93" s="44">
        <v>8.9366515837104005E-2</v>
      </c>
      <c r="AQ93" s="46">
        <v>596097</v>
      </c>
      <c r="AR93" s="45">
        <v>1143293</v>
      </c>
      <c r="AS93" s="22">
        <v>6.9735662644734853E-4</v>
      </c>
      <c r="AT93" s="22">
        <v>0.97061686973384953</v>
      </c>
      <c r="AU93" s="22" t="s">
        <v>215</v>
      </c>
      <c r="AV93" s="22" t="s">
        <v>152</v>
      </c>
      <c r="AW93" s="22" t="s">
        <v>216</v>
      </c>
      <c r="AX93" s="23">
        <v>302</v>
      </c>
      <c r="AY93" s="24">
        <v>3.7632398753894081</v>
      </c>
      <c r="AZ93" s="23">
        <v>140</v>
      </c>
      <c r="BA93" s="26">
        <v>90</v>
      </c>
      <c r="BB93" s="44" t="s">
        <v>154</v>
      </c>
      <c r="BC93" s="26">
        <v>2.6749999999999998</v>
      </c>
      <c r="BD93" s="23">
        <v>30</v>
      </c>
      <c r="BE93" s="26">
        <v>160.5</v>
      </c>
      <c r="BF93" s="26">
        <v>240.75</v>
      </c>
      <c r="BG93" s="24"/>
      <c r="BI93" s="26"/>
      <c r="BJ93" s="23"/>
      <c r="BK93" s="26"/>
      <c r="BL93" s="27"/>
      <c r="BN93" s="13"/>
      <c r="BO93" s="43"/>
      <c r="BP93" s="42"/>
    </row>
    <row r="94" spans="1:68" s="1" customFormat="1" x14ac:dyDescent="0.3">
      <c r="A94" s="12" t="s">
        <v>647</v>
      </c>
      <c r="B94" s="12">
        <v>102007</v>
      </c>
      <c r="C94" s="13" t="s">
        <v>646</v>
      </c>
      <c r="D94" s="13" t="s">
        <v>44</v>
      </c>
      <c r="E94" s="14">
        <v>203</v>
      </c>
      <c r="F94" s="15" t="s">
        <v>137</v>
      </c>
      <c r="G94" s="6">
        <v>278</v>
      </c>
      <c r="H94" s="6">
        <v>183</v>
      </c>
      <c r="I94" s="6">
        <v>322</v>
      </c>
      <c r="J94" s="6">
        <v>228</v>
      </c>
      <c r="K94" s="6">
        <v>286</v>
      </c>
      <c r="L94" s="6">
        <v>263</v>
      </c>
      <c r="M94" s="6">
        <v>248</v>
      </c>
      <c r="N94" s="6">
        <v>292</v>
      </c>
      <c r="O94" s="6">
        <v>402</v>
      </c>
      <c r="P94" s="6">
        <v>253</v>
      </c>
      <c r="Q94" s="6">
        <v>298</v>
      </c>
      <c r="R94" s="6">
        <v>237</v>
      </c>
      <c r="S94" s="6">
        <v>338</v>
      </c>
      <c r="T94" s="6">
        <v>174</v>
      </c>
      <c r="U94" s="6">
        <v>219</v>
      </c>
      <c r="V94" s="6">
        <v>181</v>
      </c>
      <c r="W94" s="6">
        <v>125</v>
      </c>
      <c r="X94" s="6">
        <v>133</v>
      </c>
      <c r="Y94" s="6">
        <v>179</v>
      </c>
      <c r="Z94" s="6">
        <v>188</v>
      </c>
      <c r="AA94" s="6">
        <v>154</v>
      </c>
      <c r="AB94" s="6">
        <v>181</v>
      </c>
      <c r="AC94" s="6">
        <v>165</v>
      </c>
      <c r="AD94" s="6">
        <v>158</v>
      </c>
      <c r="AE94" s="6">
        <v>3290</v>
      </c>
      <c r="AF94" s="6">
        <v>2195</v>
      </c>
      <c r="AG94" s="16">
        <v>5485</v>
      </c>
      <c r="AH94" s="17">
        <v>274.16666666666669</v>
      </c>
      <c r="AI94" s="17">
        <v>182.91666666666666</v>
      </c>
      <c r="AJ94" s="17">
        <v>228.54166666666669</v>
      </c>
      <c r="AK94" s="49">
        <v>6.3180342733066782E-4</v>
      </c>
      <c r="AL94" s="48">
        <v>54.859255178938405</v>
      </c>
      <c r="AM94" s="19">
        <v>70.961091094171877</v>
      </c>
      <c r="AN94" s="47">
        <v>0.2999139235295038</v>
      </c>
      <c r="AO94" s="20">
        <v>0.31049520259984048</v>
      </c>
      <c r="AP94" s="44">
        <v>-0.3328267477203648</v>
      </c>
      <c r="AQ94" s="46">
        <v>445585</v>
      </c>
      <c r="AR94" s="45">
        <v>1113455</v>
      </c>
      <c r="AS94" s="22">
        <v>6.7915680626132798E-4</v>
      </c>
      <c r="AT94" s="22">
        <v>0.9726596479760552</v>
      </c>
      <c r="AU94" s="22" t="s">
        <v>215</v>
      </c>
      <c r="AV94" s="22" t="s">
        <v>152</v>
      </c>
      <c r="AW94" s="22" t="s">
        <v>216</v>
      </c>
      <c r="AX94" s="23">
        <v>1056</v>
      </c>
      <c r="AY94" s="24">
        <v>5.7731207289293849</v>
      </c>
      <c r="AZ94" s="23">
        <v>308</v>
      </c>
      <c r="BA94" s="26">
        <v>175</v>
      </c>
      <c r="BB94" s="44" t="s">
        <v>154</v>
      </c>
      <c r="BC94" s="26">
        <v>6.0972222222222223</v>
      </c>
      <c r="BD94" s="23">
        <v>30</v>
      </c>
      <c r="BE94" s="26">
        <v>365.83333333333331</v>
      </c>
      <c r="BF94" s="26">
        <v>548.75</v>
      </c>
      <c r="BG94" s="24"/>
      <c r="BI94" s="26"/>
      <c r="BJ94" s="23"/>
      <c r="BK94" s="26"/>
      <c r="BL94" s="27"/>
      <c r="BN94" s="13"/>
      <c r="BO94" s="43"/>
      <c r="BP94" s="42"/>
    </row>
    <row r="95" spans="1:68" s="1" customFormat="1" x14ac:dyDescent="0.3">
      <c r="A95" s="12" t="s">
        <v>645</v>
      </c>
      <c r="B95" s="12">
        <v>106028</v>
      </c>
      <c r="C95" s="13" t="s">
        <v>644</v>
      </c>
      <c r="D95" s="13" t="s">
        <v>47</v>
      </c>
      <c r="E95" s="14">
        <v>417</v>
      </c>
      <c r="F95" s="15" t="s">
        <v>137</v>
      </c>
      <c r="G95" s="6">
        <v>137</v>
      </c>
      <c r="H95" s="6">
        <v>100</v>
      </c>
      <c r="I95" s="6">
        <v>70</v>
      </c>
      <c r="J95" s="6">
        <v>35</v>
      </c>
      <c r="K95" s="6">
        <v>61</v>
      </c>
      <c r="L95" s="6">
        <v>98</v>
      </c>
      <c r="M95" s="6">
        <v>94</v>
      </c>
      <c r="N95" s="6">
        <v>92</v>
      </c>
      <c r="O95" s="6">
        <v>97</v>
      </c>
      <c r="P95" s="6">
        <v>70</v>
      </c>
      <c r="Q95" s="6">
        <v>125</v>
      </c>
      <c r="R95" s="6">
        <v>81</v>
      </c>
      <c r="S95" s="6">
        <v>61</v>
      </c>
      <c r="T95" s="6">
        <v>89</v>
      </c>
      <c r="U95" s="6">
        <v>121</v>
      </c>
      <c r="V95" s="6">
        <v>130</v>
      </c>
      <c r="W95" s="6">
        <v>73</v>
      </c>
      <c r="X95" s="6">
        <v>120</v>
      </c>
      <c r="Y95" s="6">
        <v>115</v>
      </c>
      <c r="Z95" s="6">
        <v>114</v>
      </c>
      <c r="AA95" s="6">
        <v>118</v>
      </c>
      <c r="AB95" s="6">
        <v>196</v>
      </c>
      <c r="AC95" s="6">
        <v>108</v>
      </c>
      <c r="AD95" s="6">
        <v>80</v>
      </c>
      <c r="AE95" s="6">
        <v>1060</v>
      </c>
      <c r="AF95" s="6">
        <v>1325</v>
      </c>
      <c r="AG95" s="16">
        <v>2385</v>
      </c>
      <c r="AH95" s="17">
        <v>88.333333333333329</v>
      </c>
      <c r="AI95" s="17">
        <v>110.41666666666667</v>
      </c>
      <c r="AJ95" s="17">
        <v>99.375</v>
      </c>
      <c r="AK95" s="49">
        <v>3.8138475681691791E-4</v>
      </c>
      <c r="AL95" s="48">
        <v>34.686802136032107</v>
      </c>
      <c r="AM95" s="19">
        <v>32.665381888369886</v>
      </c>
      <c r="AN95" s="47">
        <v>0.31414462311878133</v>
      </c>
      <c r="AO95" s="20">
        <v>0.32870824541755861</v>
      </c>
      <c r="AP95" s="44">
        <v>0.25000000000000011</v>
      </c>
      <c r="AQ95" s="46">
        <v>552525</v>
      </c>
      <c r="AR95" s="45">
        <v>994545</v>
      </c>
      <c r="AS95" s="22">
        <v>6.0662712537387902E-4</v>
      </c>
      <c r="AT95" s="22">
        <v>0.97454255838291282</v>
      </c>
      <c r="AU95" s="22" t="s">
        <v>215</v>
      </c>
      <c r="AV95" s="22" t="s">
        <v>152</v>
      </c>
      <c r="AW95" s="22" t="s">
        <v>216</v>
      </c>
      <c r="AX95" s="23">
        <v>281</v>
      </c>
      <c r="AY95" s="24">
        <v>2.5449056603773585</v>
      </c>
      <c r="AZ95" s="23">
        <v>196</v>
      </c>
      <c r="BA95" s="26">
        <v>110</v>
      </c>
      <c r="BB95" s="44" t="s">
        <v>154</v>
      </c>
      <c r="BC95" s="26">
        <v>3.6805555555555558</v>
      </c>
      <c r="BD95" s="23">
        <v>30</v>
      </c>
      <c r="BE95" s="26">
        <v>220.83333333333334</v>
      </c>
      <c r="BF95" s="26">
        <v>331.25</v>
      </c>
      <c r="BG95" s="24"/>
      <c r="BH95" s="1" t="s">
        <v>643</v>
      </c>
      <c r="BI95" s="26">
        <v>453.28846153846155</v>
      </c>
      <c r="BJ95" s="23">
        <v>1.5600795335454301E-4</v>
      </c>
      <c r="BK95" s="26"/>
      <c r="BL95" s="27"/>
      <c r="BN95" s="13"/>
      <c r="BO95" s="43"/>
      <c r="BP95" s="42"/>
    </row>
    <row r="96" spans="1:68" s="1" customFormat="1" x14ac:dyDescent="0.3">
      <c r="A96" s="12" t="s">
        <v>642</v>
      </c>
      <c r="B96" s="12">
        <v>102107</v>
      </c>
      <c r="C96" s="13" t="s">
        <v>641</v>
      </c>
      <c r="D96" s="13" t="s">
        <v>53</v>
      </c>
      <c r="E96" s="14">
        <v>42</v>
      </c>
      <c r="F96" s="15" t="s">
        <v>137</v>
      </c>
      <c r="G96" s="6">
        <v>768</v>
      </c>
      <c r="H96" s="6">
        <v>288</v>
      </c>
      <c r="I96" s="6">
        <v>1064</v>
      </c>
      <c r="J96" s="6">
        <v>817</v>
      </c>
      <c r="K96" s="6">
        <v>1084</v>
      </c>
      <c r="L96" s="6">
        <v>1035</v>
      </c>
      <c r="M96" s="6">
        <v>1276</v>
      </c>
      <c r="N96" s="6">
        <v>1162</v>
      </c>
      <c r="O96" s="6">
        <v>869</v>
      </c>
      <c r="P96" s="6">
        <v>987</v>
      </c>
      <c r="Q96" s="6">
        <v>943</v>
      </c>
      <c r="R96" s="6">
        <v>1214</v>
      </c>
      <c r="S96" s="6">
        <v>1567</v>
      </c>
      <c r="T96" s="6">
        <v>330</v>
      </c>
      <c r="U96" s="6">
        <v>486</v>
      </c>
      <c r="V96" s="6">
        <v>1345</v>
      </c>
      <c r="W96" s="6">
        <v>715</v>
      </c>
      <c r="X96" s="6">
        <v>766</v>
      </c>
      <c r="Y96" s="6">
        <v>1160</v>
      </c>
      <c r="Z96" s="6">
        <v>1056</v>
      </c>
      <c r="AA96" s="6">
        <v>529</v>
      </c>
      <c r="AB96" s="6">
        <v>901</v>
      </c>
      <c r="AC96" s="6">
        <v>888</v>
      </c>
      <c r="AD96" s="6">
        <v>1123</v>
      </c>
      <c r="AE96" s="6">
        <v>11507</v>
      </c>
      <c r="AF96" s="6">
        <v>10866</v>
      </c>
      <c r="AG96" s="16">
        <v>22373</v>
      </c>
      <c r="AH96" s="17">
        <v>958.91666666666663</v>
      </c>
      <c r="AI96" s="17">
        <v>905.5</v>
      </c>
      <c r="AJ96" s="17">
        <v>932.20833333333326</v>
      </c>
      <c r="AK96" s="49">
        <v>3.1276428434510416E-3</v>
      </c>
      <c r="AL96" s="48">
        <v>365.62263208246435</v>
      </c>
      <c r="AM96" s="19">
        <v>312.26897257313925</v>
      </c>
      <c r="AN96" s="47">
        <v>0.40377982560183806</v>
      </c>
      <c r="AO96" s="20">
        <v>0.33497766690901276</v>
      </c>
      <c r="AP96" s="44">
        <v>-5.570522290779522E-2</v>
      </c>
      <c r="AQ96" s="46">
        <v>456372</v>
      </c>
      <c r="AR96" s="45">
        <v>939666</v>
      </c>
      <c r="AS96" s="22">
        <v>5.7315343638706284E-4</v>
      </c>
      <c r="AT96" s="22">
        <v>0.9751157118192999</v>
      </c>
      <c r="AU96" s="22" t="s">
        <v>215</v>
      </c>
      <c r="AV96" s="22" t="s">
        <v>152</v>
      </c>
      <c r="AW96" s="22" t="s">
        <v>216</v>
      </c>
      <c r="AX96" s="23">
        <v>3248</v>
      </c>
      <c r="AY96" s="24">
        <v>3.5869685256764217</v>
      </c>
      <c r="AZ96" s="23">
        <v>1690</v>
      </c>
      <c r="BA96" s="26">
        <v>960</v>
      </c>
      <c r="BB96" s="44" t="s">
        <v>154</v>
      </c>
      <c r="BC96" s="26">
        <v>30.183333333333334</v>
      </c>
      <c r="BD96" s="23">
        <v>30</v>
      </c>
      <c r="BE96" s="26">
        <v>1811</v>
      </c>
      <c r="BF96" s="26">
        <v>2716.5</v>
      </c>
      <c r="BG96" s="24"/>
      <c r="BI96" s="26"/>
      <c r="BJ96" s="23"/>
      <c r="BK96" s="26"/>
      <c r="BL96" s="27"/>
      <c r="BN96" s="13"/>
      <c r="BO96" s="43"/>
      <c r="BP96" s="42"/>
    </row>
    <row r="97" spans="1:68" s="1" customFormat="1" x14ac:dyDescent="0.3">
      <c r="A97" s="12" t="s">
        <v>640</v>
      </c>
      <c r="B97" s="12">
        <v>104005</v>
      </c>
      <c r="C97" s="13" t="s">
        <v>639</v>
      </c>
      <c r="D97" s="13" t="s">
        <v>53</v>
      </c>
      <c r="E97" s="14">
        <v>37</v>
      </c>
      <c r="F97" s="15" t="s">
        <v>137</v>
      </c>
      <c r="G97" s="6">
        <v>809</v>
      </c>
      <c r="H97" s="6">
        <v>780</v>
      </c>
      <c r="I97" s="6">
        <v>1261</v>
      </c>
      <c r="J97" s="6">
        <v>1224</v>
      </c>
      <c r="K97" s="6">
        <v>1477</v>
      </c>
      <c r="L97" s="6">
        <v>1122</v>
      </c>
      <c r="M97" s="6">
        <v>1132</v>
      </c>
      <c r="N97" s="6">
        <v>1505</v>
      </c>
      <c r="O97" s="6">
        <v>246</v>
      </c>
      <c r="P97" s="6">
        <v>413</v>
      </c>
      <c r="Q97" s="6">
        <v>1166</v>
      </c>
      <c r="R97" s="6">
        <v>1055</v>
      </c>
      <c r="S97" s="6">
        <v>1230</v>
      </c>
      <c r="T97" s="6">
        <v>1019</v>
      </c>
      <c r="U97" s="6">
        <v>1197</v>
      </c>
      <c r="V97" s="6">
        <v>1333</v>
      </c>
      <c r="W97" s="6">
        <v>969</v>
      </c>
      <c r="X97" s="6">
        <v>650</v>
      </c>
      <c r="Y97" s="6">
        <v>1384</v>
      </c>
      <c r="Z97" s="6">
        <v>1077</v>
      </c>
      <c r="AA97" s="6">
        <v>795</v>
      </c>
      <c r="AB97" s="6">
        <v>1182</v>
      </c>
      <c r="AC97" s="6">
        <v>582</v>
      </c>
      <c r="AD97" s="6">
        <v>1068</v>
      </c>
      <c r="AE97" s="6">
        <v>12190</v>
      </c>
      <c r="AF97" s="6">
        <v>12486</v>
      </c>
      <c r="AG97" s="16">
        <v>24676</v>
      </c>
      <c r="AH97" s="17">
        <v>1015.8333333333334</v>
      </c>
      <c r="AI97" s="17">
        <v>1040.5</v>
      </c>
      <c r="AJ97" s="17">
        <v>1028.1666666666667</v>
      </c>
      <c r="AK97" s="49">
        <v>3.5939396782007824E-3</v>
      </c>
      <c r="AL97" s="48">
        <v>254.88303913042867</v>
      </c>
      <c r="AM97" s="19">
        <v>321.4753579935815</v>
      </c>
      <c r="AN97" s="47">
        <v>0.24496207508931156</v>
      </c>
      <c r="AO97" s="20">
        <v>0.31266852779404908</v>
      </c>
      <c r="AP97" s="44">
        <v>2.4282198523379782E-2</v>
      </c>
      <c r="AQ97" s="46">
        <v>461982</v>
      </c>
      <c r="AR97" s="45">
        <v>913012</v>
      </c>
      <c r="AS97" s="22">
        <v>5.5689571109588407E-4</v>
      </c>
      <c r="AT97" s="22">
        <v>0.97623762356477528</v>
      </c>
      <c r="AU97" s="22" t="s">
        <v>215</v>
      </c>
      <c r="AV97" s="22" t="s">
        <v>152</v>
      </c>
      <c r="AW97" s="22" t="s">
        <v>216</v>
      </c>
      <c r="AX97" s="23">
        <v>5249</v>
      </c>
      <c r="AY97" s="24">
        <v>5.0446900528592025</v>
      </c>
      <c r="AZ97" s="23">
        <v>2205</v>
      </c>
      <c r="BA97" s="26">
        <v>1150</v>
      </c>
      <c r="BB97" s="44" t="s">
        <v>154</v>
      </c>
      <c r="BC97" s="26">
        <v>34.68333333333333</v>
      </c>
      <c r="BD97" s="23">
        <v>30</v>
      </c>
      <c r="BE97" s="26">
        <v>2081</v>
      </c>
      <c r="BF97" s="26">
        <v>3121.5</v>
      </c>
      <c r="BG97" s="24"/>
      <c r="BI97" s="26"/>
      <c r="BJ97" s="23"/>
      <c r="BK97" s="26"/>
      <c r="BL97" s="27"/>
      <c r="BN97" s="13"/>
      <c r="BO97" s="43"/>
      <c r="BP97" s="42"/>
    </row>
    <row r="98" spans="1:68" s="1" customFormat="1" x14ac:dyDescent="0.3">
      <c r="A98" s="12" t="s">
        <v>638</v>
      </c>
      <c r="B98" s="12">
        <v>106015</v>
      </c>
      <c r="C98" s="13" t="s">
        <v>637</v>
      </c>
      <c r="D98" s="13" t="s">
        <v>44</v>
      </c>
      <c r="E98" s="14">
        <v>239</v>
      </c>
      <c r="F98" s="15" t="s">
        <v>137</v>
      </c>
      <c r="G98" s="6">
        <v>186</v>
      </c>
      <c r="H98" s="6">
        <v>174</v>
      </c>
      <c r="I98" s="6">
        <v>199</v>
      </c>
      <c r="J98" s="6">
        <v>155</v>
      </c>
      <c r="K98" s="6">
        <v>209</v>
      </c>
      <c r="L98" s="6">
        <v>205</v>
      </c>
      <c r="M98" s="6">
        <v>191</v>
      </c>
      <c r="N98" s="6">
        <v>220</v>
      </c>
      <c r="O98" s="6">
        <v>175</v>
      </c>
      <c r="P98" s="6">
        <v>181</v>
      </c>
      <c r="Q98" s="6">
        <v>188</v>
      </c>
      <c r="R98" s="6">
        <v>171</v>
      </c>
      <c r="S98" s="6">
        <v>187</v>
      </c>
      <c r="T98" s="6">
        <v>152</v>
      </c>
      <c r="U98" s="6">
        <v>151</v>
      </c>
      <c r="V98" s="6">
        <v>200</v>
      </c>
      <c r="W98" s="6">
        <v>189</v>
      </c>
      <c r="X98" s="6">
        <v>148</v>
      </c>
      <c r="Y98" s="6">
        <v>98</v>
      </c>
      <c r="Z98" s="6">
        <v>57</v>
      </c>
      <c r="AA98" s="6">
        <v>11</v>
      </c>
      <c r="AB98" s="6">
        <v>0</v>
      </c>
      <c r="AC98" s="6">
        <v>0</v>
      </c>
      <c r="AD98" s="6">
        <v>51</v>
      </c>
      <c r="AE98" s="6">
        <v>2254</v>
      </c>
      <c r="AF98" s="6">
        <v>1244</v>
      </c>
      <c r="AG98" s="16">
        <v>3498</v>
      </c>
      <c r="AH98" s="17">
        <v>187.83333333333334</v>
      </c>
      <c r="AI98" s="17">
        <v>103.66666666666667</v>
      </c>
      <c r="AJ98" s="17">
        <v>145.75</v>
      </c>
      <c r="AK98" s="49">
        <v>3.5806991507943083E-4</v>
      </c>
      <c r="AL98" s="48">
        <v>76.937203831003202</v>
      </c>
      <c r="AM98" s="19">
        <v>69.562764902421506</v>
      </c>
      <c r="AN98" s="47">
        <v>0.74215952248556138</v>
      </c>
      <c r="AO98" s="20">
        <v>0.47727454478505321</v>
      </c>
      <c r="AP98" s="44">
        <v>-0.44809228039041704</v>
      </c>
      <c r="AQ98" s="46">
        <v>297316</v>
      </c>
      <c r="AR98" s="45">
        <v>836022</v>
      </c>
      <c r="AS98" s="22">
        <v>5.0993531977871391E-4</v>
      </c>
      <c r="AT98" s="22">
        <v>0.97729563953427423</v>
      </c>
      <c r="AU98" s="22" t="s">
        <v>215</v>
      </c>
      <c r="AV98" s="22" t="s">
        <v>152</v>
      </c>
      <c r="AW98" s="22" t="s">
        <v>216</v>
      </c>
      <c r="AX98" s="23">
        <v>1158</v>
      </c>
      <c r="AY98" s="24">
        <v>11.170418006430868</v>
      </c>
      <c r="AZ98" s="23">
        <v>270</v>
      </c>
      <c r="BA98" s="26">
        <v>155</v>
      </c>
      <c r="BB98" s="44" t="s">
        <v>154</v>
      </c>
      <c r="BC98" s="26">
        <v>3.4555555555555557</v>
      </c>
      <c r="BD98" s="23">
        <v>30</v>
      </c>
      <c r="BE98" s="26">
        <v>207.33333333333334</v>
      </c>
      <c r="BF98" s="26">
        <v>311</v>
      </c>
      <c r="BG98" s="24"/>
      <c r="BI98" s="26"/>
      <c r="BJ98" s="23"/>
      <c r="BK98" s="26"/>
      <c r="BL98" s="27"/>
      <c r="BN98" s="13"/>
      <c r="BO98" s="43"/>
      <c r="BP98" s="42"/>
    </row>
    <row r="99" spans="1:68" s="1" customFormat="1" x14ac:dyDescent="0.3">
      <c r="A99" s="12" t="s">
        <v>636</v>
      </c>
      <c r="B99" s="12">
        <v>106056</v>
      </c>
      <c r="C99" s="13" t="s">
        <v>635</v>
      </c>
      <c r="D99" s="13" t="s">
        <v>47</v>
      </c>
      <c r="E99" s="14">
        <v>4986</v>
      </c>
      <c r="F99" s="15" t="s">
        <v>137</v>
      </c>
      <c r="G99" s="6">
        <v>11</v>
      </c>
      <c r="H99" s="6">
        <v>4</v>
      </c>
      <c r="I99" s="6">
        <v>9</v>
      </c>
      <c r="J99" s="6">
        <v>8</v>
      </c>
      <c r="K99" s="6">
        <v>5</v>
      </c>
      <c r="L99" s="6">
        <v>7</v>
      </c>
      <c r="M99" s="6">
        <v>8</v>
      </c>
      <c r="N99" s="6">
        <v>7</v>
      </c>
      <c r="O99" s="6">
        <v>6</v>
      </c>
      <c r="P99" s="6">
        <v>8</v>
      </c>
      <c r="Q99" s="6">
        <v>3</v>
      </c>
      <c r="R99" s="6">
        <v>3</v>
      </c>
      <c r="S99" s="6">
        <v>5</v>
      </c>
      <c r="T99" s="6">
        <v>5</v>
      </c>
      <c r="U99" s="6">
        <v>5</v>
      </c>
      <c r="V99" s="6">
        <v>5</v>
      </c>
      <c r="W99" s="6">
        <v>3</v>
      </c>
      <c r="X99" s="6">
        <v>8</v>
      </c>
      <c r="Y99" s="6">
        <v>6</v>
      </c>
      <c r="Z99" s="6">
        <v>12</v>
      </c>
      <c r="AA99" s="6">
        <v>8</v>
      </c>
      <c r="AB99" s="6">
        <v>6</v>
      </c>
      <c r="AC99" s="6">
        <v>0</v>
      </c>
      <c r="AD99" s="6">
        <v>2</v>
      </c>
      <c r="AE99" s="6">
        <v>79</v>
      </c>
      <c r="AF99" s="6">
        <v>65</v>
      </c>
      <c r="AG99" s="16">
        <v>144</v>
      </c>
      <c r="AH99" s="17">
        <v>6.583333333333333</v>
      </c>
      <c r="AI99" s="17">
        <v>5.416666666666667</v>
      </c>
      <c r="AJ99" s="17">
        <v>6</v>
      </c>
      <c r="AK99" s="49">
        <v>1.8709440900452578E-5</v>
      </c>
      <c r="AL99" s="48">
        <v>3.0883456393154556</v>
      </c>
      <c r="AM99" s="19">
        <v>2.7975144247209411</v>
      </c>
      <c r="AN99" s="47">
        <v>0.57015611802746868</v>
      </c>
      <c r="AO99" s="20">
        <v>0.46625240412015684</v>
      </c>
      <c r="AP99" s="44">
        <v>-0.17721518987341764</v>
      </c>
      <c r="AQ99" s="46">
        <v>324090</v>
      </c>
      <c r="AR99" s="45">
        <v>717984</v>
      </c>
      <c r="AS99" s="22">
        <v>4.3793751915141007E-4</v>
      </c>
      <c r="AT99" s="22">
        <v>0.98144749806487586</v>
      </c>
      <c r="AU99" s="22" t="s">
        <v>215</v>
      </c>
      <c r="AV99" s="22" t="s">
        <v>152</v>
      </c>
      <c r="AW99" s="22" t="s">
        <v>216</v>
      </c>
      <c r="AX99" s="23">
        <v>9</v>
      </c>
      <c r="AY99" s="24">
        <v>1.6615384615384614</v>
      </c>
      <c r="AZ99" s="23">
        <v>7</v>
      </c>
      <c r="BA99" s="26">
        <v>3</v>
      </c>
      <c r="BB99" s="44" t="s">
        <v>154</v>
      </c>
      <c r="BC99" s="26">
        <v>0.18055555555555555</v>
      </c>
      <c r="BD99" s="23">
        <v>30</v>
      </c>
      <c r="BE99" s="26">
        <v>10.833333333333334</v>
      </c>
      <c r="BF99" s="26">
        <v>16.25</v>
      </c>
      <c r="BG99" s="24"/>
      <c r="BI99" s="26"/>
      <c r="BJ99" s="23"/>
      <c r="BK99" s="26"/>
      <c r="BL99" s="27"/>
      <c r="BN99" s="13"/>
      <c r="BO99" s="43"/>
      <c r="BP99" s="42"/>
    </row>
    <row r="100" spans="1:68" s="1" customFormat="1" x14ac:dyDescent="0.3">
      <c r="A100" s="12" t="s">
        <v>634</v>
      </c>
      <c r="B100" s="12">
        <v>106014</v>
      </c>
      <c r="C100" s="13" t="s">
        <v>633</v>
      </c>
      <c r="D100" s="13" t="s">
        <v>44</v>
      </c>
      <c r="E100" s="14">
        <v>414</v>
      </c>
      <c r="F100" s="15" t="s">
        <v>137</v>
      </c>
      <c r="G100" s="6">
        <v>79</v>
      </c>
      <c r="H100" s="6">
        <v>92</v>
      </c>
      <c r="I100" s="6">
        <v>101</v>
      </c>
      <c r="J100" s="6">
        <v>80</v>
      </c>
      <c r="K100" s="6">
        <v>3</v>
      </c>
      <c r="L100" s="6">
        <v>75</v>
      </c>
      <c r="M100" s="6">
        <v>51</v>
      </c>
      <c r="N100" s="6">
        <v>57</v>
      </c>
      <c r="O100" s="6">
        <v>62</v>
      </c>
      <c r="P100" s="6">
        <v>100</v>
      </c>
      <c r="Q100" s="6">
        <v>176</v>
      </c>
      <c r="R100" s="6">
        <v>91</v>
      </c>
      <c r="S100" s="6">
        <v>52</v>
      </c>
      <c r="T100" s="6">
        <v>36</v>
      </c>
      <c r="U100" s="6">
        <v>62</v>
      </c>
      <c r="V100" s="6">
        <v>102</v>
      </c>
      <c r="W100" s="6">
        <v>49</v>
      </c>
      <c r="X100" s="6">
        <v>76</v>
      </c>
      <c r="Y100" s="6">
        <v>49</v>
      </c>
      <c r="Z100" s="6">
        <v>47</v>
      </c>
      <c r="AA100" s="6">
        <v>72</v>
      </c>
      <c r="AB100" s="6">
        <v>84</v>
      </c>
      <c r="AC100" s="6">
        <v>44</v>
      </c>
      <c r="AD100" s="6">
        <v>48</v>
      </c>
      <c r="AE100" s="6">
        <v>967</v>
      </c>
      <c r="AF100" s="6">
        <v>721</v>
      </c>
      <c r="AG100" s="16">
        <v>1688</v>
      </c>
      <c r="AH100" s="17">
        <v>80.583333333333329</v>
      </c>
      <c r="AI100" s="17">
        <v>60.083333333333336</v>
      </c>
      <c r="AJ100" s="17">
        <v>70.333333333333329</v>
      </c>
      <c r="AK100" s="49">
        <v>2.0753087521886628E-4</v>
      </c>
      <c r="AL100" s="48">
        <v>19.528339934722059</v>
      </c>
      <c r="AM100" s="19">
        <v>32.759554420002438</v>
      </c>
      <c r="AN100" s="47">
        <v>0.32502091430882757</v>
      </c>
      <c r="AO100" s="20">
        <v>0.4657756552606982</v>
      </c>
      <c r="AP100" s="44">
        <v>-0.25439503619441567</v>
      </c>
      <c r="AQ100" s="46">
        <v>298494</v>
      </c>
      <c r="AR100" s="45">
        <v>698832</v>
      </c>
      <c r="AS100" s="22">
        <v>4.2625567196987428E-4</v>
      </c>
      <c r="AT100" s="22">
        <v>0.98230057483656918</v>
      </c>
      <c r="AU100" s="22" t="s">
        <v>215</v>
      </c>
      <c r="AV100" s="22" t="s">
        <v>152</v>
      </c>
      <c r="AW100" s="22" t="s">
        <v>216</v>
      </c>
      <c r="AX100" s="23">
        <v>447</v>
      </c>
      <c r="AY100" s="24">
        <v>7.4396671289875167</v>
      </c>
      <c r="AZ100" s="23">
        <v>122</v>
      </c>
      <c r="BA100" s="26">
        <v>70</v>
      </c>
      <c r="BB100" s="44" t="s">
        <v>154</v>
      </c>
      <c r="BC100" s="26">
        <v>2.0027777777777778</v>
      </c>
      <c r="BD100" s="23">
        <v>30</v>
      </c>
      <c r="BE100" s="26">
        <v>120.16666666666667</v>
      </c>
      <c r="BF100" s="26">
        <v>180.25</v>
      </c>
      <c r="BG100" s="24"/>
      <c r="BI100" s="26"/>
      <c r="BJ100" s="23"/>
      <c r="BK100" s="26"/>
      <c r="BL100" s="27"/>
      <c r="BN100" s="13"/>
      <c r="BO100" s="43"/>
      <c r="BP100" s="42"/>
    </row>
    <row r="101" spans="1:68" s="1" customFormat="1" x14ac:dyDescent="0.3">
      <c r="A101" s="12" t="s">
        <v>632</v>
      </c>
      <c r="B101" s="12">
        <v>104007</v>
      </c>
      <c r="C101" s="13" t="s">
        <v>631</v>
      </c>
      <c r="D101" s="13" t="s">
        <v>53</v>
      </c>
      <c r="E101" s="14">
        <v>34</v>
      </c>
      <c r="F101" s="15" t="s">
        <v>137</v>
      </c>
      <c r="G101" s="6">
        <v>974</v>
      </c>
      <c r="H101" s="6">
        <v>560</v>
      </c>
      <c r="I101" s="6">
        <v>535</v>
      </c>
      <c r="J101" s="6">
        <v>665</v>
      </c>
      <c r="K101" s="6">
        <v>744</v>
      </c>
      <c r="L101" s="6">
        <v>835</v>
      </c>
      <c r="M101" s="6">
        <v>1023</v>
      </c>
      <c r="N101" s="6">
        <v>597</v>
      </c>
      <c r="O101" s="6">
        <v>638</v>
      </c>
      <c r="P101" s="6">
        <v>912</v>
      </c>
      <c r="Q101" s="6">
        <v>736</v>
      </c>
      <c r="R101" s="6">
        <v>609</v>
      </c>
      <c r="S101" s="6">
        <v>499</v>
      </c>
      <c r="T101" s="6">
        <v>726</v>
      </c>
      <c r="U101" s="6">
        <v>1039</v>
      </c>
      <c r="V101" s="6">
        <v>1160</v>
      </c>
      <c r="W101" s="6">
        <v>942</v>
      </c>
      <c r="X101" s="6">
        <v>986</v>
      </c>
      <c r="Y101" s="6">
        <v>990</v>
      </c>
      <c r="Z101" s="6">
        <v>1103</v>
      </c>
      <c r="AA101" s="6">
        <v>631</v>
      </c>
      <c r="AB101" s="6">
        <v>1108</v>
      </c>
      <c r="AC101" s="6">
        <v>1165</v>
      </c>
      <c r="AD101" s="6">
        <v>1086</v>
      </c>
      <c r="AE101" s="6">
        <v>8828</v>
      </c>
      <c r="AF101" s="6">
        <v>11435</v>
      </c>
      <c r="AG101" s="16">
        <v>20263</v>
      </c>
      <c r="AH101" s="17">
        <v>735.66666666666663</v>
      </c>
      <c r="AI101" s="17">
        <v>952.91666666666663</v>
      </c>
      <c r="AJ101" s="17">
        <v>844.29166666666663</v>
      </c>
      <c r="AK101" s="49">
        <v>3.2914224107180802E-3</v>
      </c>
      <c r="AL101" s="48">
        <v>218.11400619164658</v>
      </c>
      <c r="AM101" s="19">
        <v>219.4678304972926</v>
      </c>
      <c r="AN101" s="47">
        <v>0.22889095533885082</v>
      </c>
      <c r="AO101" s="20">
        <v>0.25994314424986542</v>
      </c>
      <c r="AP101" s="44">
        <v>0.29531037607612143</v>
      </c>
      <c r="AQ101" s="46">
        <v>388790</v>
      </c>
      <c r="AR101" s="45">
        <v>688942</v>
      </c>
      <c r="AS101" s="22">
        <v>4.2022322268909997E-4</v>
      </c>
      <c r="AT101" s="22">
        <v>0.98272079805925827</v>
      </c>
      <c r="AU101" s="22" t="s">
        <v>215</v>
      </c>
      <c r="AV101" s="22" t="s">
        <v>152</v>
      </c>
      <c r="AW101" s="22" t="s">
        <v>216</v>
      </c>
      <c r="AX101" s="23">
        <v>3033</v>
      </c>
      <c r="AY101" s="24">
        <v>3.1828596414516834</v>
      </c>
      <c r="AZ101" s="23">
        <v>2369</v>
      </c>
      <c r="BA101" s="26">
        <v>1500</v>
      </c>
      <c r="BB101" s="44" t="s">
        <v>154</v>
      </c>
      <c r="BC101" s="26">
        <v>31.763888888888889</v>
      </c>
      <c r="BD101" s="23">
        <v>30</v>
      </c>
      <c r="BE101" s="26">
        <v>1905.8333333333333</v>
      </c>
      <c r="BF101" s="26">
        <v>2858.75</v>
      </c>
      <c r="BG101" s="24"/>
      <c r="BI101" s="26"/>
      <c r="BJ101" s="23"/>
      <c r="BK101" s="26"/>
      <c r="BL101" s="27"/>
      <c r="BN101" s="13"/>
      <c r="BO101" s="43"/>
      <c r="BP101" s="42"/>
    </row>
    <row r="102" spans="1:68" s="1" customFormat="1" x14ac:dyDescent="0.3">
      <c r="A102" s="12" t="s">
        <v>630</v>
      </c>
      <c r="B102" s="12">
        <v>106007</v>
      </c>
      <c r="C102" s="13" t="s">
        <v>629</v>
      </c>
      <c r="D102" s="13" t="s">
        <v>44</v>
      </c>
      <c r="E102" s="14">
        <v>1035</v>
      </c>
      <c r="F102" s="15" t="s">
        <v>137</v>
      </c>
      <c r="G102" s="6">
        <v>13</v>
      </c>
      <c r="H102" s="6">
        <v>34</v>
      </c>
      <c r="I102" s="6">
        <v>25</v>
      </c>
      <c r="J102" s="6">
        <v>25</v>
      </c>
      <c r="K102" s="6">
        <v>33</v>
      </c>
      <c r="L102" s="6">
        <v>34</v>
      </c>
      <c r="M102" s="6">
        <v>23</v>
      </c>
      <c r="N102" s="6">
        <v>37</v>
      </c>
      <c r="O102" s="6">
        <v>16</v>
      </c>
      <c r="P102" s="6">
        <v>19</v>
      </c>
      <c r="Q102" s="6">
        <v>22</v>
      </c>
      <c r="R102" s="6">
        <v>46</v>
      </c>
      <c r="S102" s="6">
        <v>34</v>
      </c>
      <c r="T102" s="6">
        <v>27</v>
      </c>
      <c r="U102" s="6">
        <v>17</v>
      </c>
      <c r="V102" s="6">
        <v>8</v>
      </c>
      <c r="W102" s="6">
        <v>36</v>
      </c>
      <c r="X102" s="6">
        <v>24</v>
      </c>
      <c r="Y102" s="6">
        <v>20</v>
      </c>
      <c r="Z102" s="6">
        <v>21</v>
      </c>
      <c r="AA102" s="6">
        <v>27</v>
      </c>
      <c r="AB102" s="6">
        <v>22</v>
      </c>
      <c r="AC102" s="6">
        <v>12</v>
      </c>
      <c r="AD102" s="6">
        <v>16</v>
      </c>
      <c r="AE102" s="6">
        <v>327</v>
      </c>
      <c r="AF102" s="6">
        <v>264</v>
      </c>
      <c r="AG102" s="16">
        <v>591</v>
      </c>
      <c r="AH102" s="17">
        <v>27.25</v>
      </c>
      <c r="AI102" s="17">
        <v>22</v>
      </c>
      <c r="AJ102" s="17">
        <v>24.625</v>
      </c>
      <c r="AK102" s="49">
        <v>7.5989113811068921E-5</v>
      </c>
      <c r="AL102" s="48">
        <v>8.2901913564930894</v>
      </c>
      <c r="AM102" s="19">
        <v>9.1974122069388535</v>
      </c>
      <c r="AN102" s="47">
        <v>0.37682687984059499</v>
      </c>
      <c r="AO102" s="20">
        <v>0.37349897287061334</v>
      </c>
      <c r="AP102" s="44">
        <v>-0.19266055045871561</v>
      </c>
      <c r="AQ102" s="46">
        <v>273240</v>
      </c>
      <c r="AR102" s="45">
        <v>611685</v>
      </c>
      <c r="AS102" s="22">
        <v>3.7309997353998176E-4</v>
      </c>
      <c r="AT102" s="22">
        <v>0.98508263248292871</v>
      </c>
      <c r="AU102" s="22" t="s">
        <v>215</v>
      </c>
      <c r="AV102" s="22" t="s">
        <v>152</v>
      </c>
      <c r="AW102" s="22" t="s">
        <v>216</v>
      </c>
      <c r="AX102" s="23">
        <v>186</v>
      </c>
      <c r="AY102" s="24">
        <v>8.454545454545455</v>
      </c>
      <c r="AZ102" s="23">
        <v>44</v>
      </c>
      <c r="BA102" s="26">
        <v>25</v>
      </c>
      <c r="BB102" s="44" t="s">
        <v>154</v>
      </c>
      <c r="BC102" s="26">
        <v>0.73333333333333328</v>
      </c>
      <c r="BD102" s="23">
        <v>30</v>
      </c>
      <c r="BE102" s="26">
        <v>44</v>
      </c>
      <c r="BF102" s="26">
        <v>66</v>
      </c>
      <c r="BG102" s="24"/>
      <c r="BI102" s="26"/>
      <c r="BJ102" s="23"/>
      <c r="BK102" s="26"/>
      <c r="BL102" s="27"/>
      <c r="BN102" s="13"/>
      <c r="BO102" s="43"/>
      <c r="BP102" s="42"/>
    </row>
    <row r="103" spans="1:68" s="1" customFormat="1" x14ac:dyDescent="0.3">
      <c r="A103" s="12" t="s">
        <v>628</v>
      </c>
      <c r="B103" s="12">
        <v>102157</v>
      </c>
      <c r="C103" s="13" t="s">
        <v>627</v>
      </c>
      <c r="D103" s="13" t="s">
        <v>137</v>
      </c>
      <c r="E103" s="14">
        <v>2785</v>
      </c>
      <c r="F103" s="15" t="s">
        <v>137</v>
      </c>
      <c r="G103" s="6">
        <v>6</v>
      </c>
      <c r="H103" s="6">
        <v>4</v>
      </c>
      <c r="I103" s="6">
        <v>8</v>
      </c>
      <c r="J103" s="6">
        <v>2</v>
      </c>
      <c r="K103" s="6">
        <v>9</v>
      </c>
      <c r="L103" s="6">
        <v>13</v>
      </c>
      <c r="M103" s="6">
        <v>8</v>
      </c>
      <c r="N103" s="6">
        <v>8</v>
      </c>
      <c r="O103" s="6">
        <v>12</v>
      </c>
      <c r="P103" s="6">
        <v>13</v>
      </c>
      <c r="Q103" s="6">
        <v>8</v>
      </c>
      <c r="R103" s="6">
        <v>4</v>
      </c>
      <c r="S103" s="6">
        <v>16</v>
      </c>
      <c r="T103" s="6">
        <v>4</v>
      </c>
      <c r="U103" s="6">
        <v>6</v>
      </c>
      <c r="V103" s="6">
        <v>8</v>
      </c>
      <c r="W103" s="6">
        <v>7</v>
      </c>
      <c r="X103" s="6">
        <v>8</v>
      </c>
      <c r="Y103" s="6">
        <v>11</v>
      </c>
      <c r="Z103" s="6">
        <v>6</v>
      </c>
      <c r="AA103" s="6">
        <v>8</v>
      </c>
      <c r="AB103" s="6">
        <v>13</v>
      </c>
      <c r="AC103" s="6">
        <v>13</v>
      </c>
      <c r="AD103" s="6">
        <v>14</v>
      </c>
      <c r="AE103" s="6">
        <v>95</v>
      </c>
      <c r="AF103" s="6">
        <v>114</v>
      </c>
      <c r="AG103" s="16">
        <v>209</v>
      </c>
      <c r="AH103" s="17">
        <v>7.916666666666667</v>
      </c>
      <c r="AI103" s="17">
        <v>9.5</v>
      </c>
      <c r="AJ103" s="17">
        <v>8.7083333333333339</v>
      </c>
      <c r="AK103" s="49">
        <v>3.2813480963870672E-5</v>
      </c>
      <c r="AL103" s="48">
        <v>3.7779263191236634</v>
      </c>
      <c r="AM103" s="19">
        <v>3.6769454083834154</v>
      </c>
      <c r="AN103" s="47">
        <v>0.39767645464459617</v>
      </c>
      <c r="AO103" s="20">
        <v>0.42223296555599027</v>
      </c>
      <c r="AP103" s="44">
        <v>0.19999999999999996</v>
      </c>
      <c r="AQ103" s="46">
        <v>317490</v>
      </c>
      <c r="AR103" s="45">
        <v>582065</v>
      </c>
      <c r="AS103" s="22">
        <v>3.550331234189975E-4</v>
      </c>
      <c r="AT103" s="22">
        <v>0.98616392004367226</v>
      </c>
      <c r="AU103" s="22" t="s">
        <v>215</v>
      </c>
      <c r="AV103" s="22" t="s">
        <v>152</v>
      </c>
      <c r="AW103" s="22" t="s">
        <v>216</v>
      </c>
      <c r="AX103" s="23">
        <v>27</v>
      </c>
      <c r="AY103" s="24">
        <v>2.8421052631578947</v>
      </c>
      <c r="AZ103" s="23">
        <v>35</v>
      </c>
      <c r="BA103" s="26">
        <v>20</v>
      </c>
      <c r="BB103" s="44" t="s">
        <v>154</v>
      </c>
      <c r="BC103" s="26">
        <v>0.31666666666666665</v>
      </c>
      <c r="BD103" s="23">
        <v>30</v>
      </c>
      <c r="BE103" s="26">
        <v>19</v>
      </c>
      <c r="BF103" s="26">
        <v>28.5</v>
      </c>
      <c r="BG103" s="24"/>
      <c r="BI103" s="26"/>
      <c r="BJ103" s="23"/>
      <c r="BK103" s="26"/>
      <c r="BL103" s="27"/>
      <c r="BN103" s="13"/>
      <c r="BO103" s="43"/>
      <c r="BP103" s="42"/>
    </row>
    <row r="104" spans="1:68" s="1" customFormat="1" x14ac:dyDescent="0.3">
      <c r="A104" s="12" t="s">
        <v>626</v>
      </c>
      <c r="B104" s="12">
        <v>104027</v>
      </c>
      <c r="C104" s="13" t="s">
        <v>625</v>
      </c>
      <c r="D104" s="13" t="s">
        <v>53</v>
      </c>
      <c r="E104" s="14">
        <v>14</v>
      </c>
      <c r="F104" s="15" t="s">
        <v>137</v>
      </c>
      <c r="G104" s="6">
        <v>1429</v>
      </c>
      <c r="H104" s="6">
        <v>841</v>
      </c>
      <c r="I104" s="6">
        <v>646</v>
      </c>
      <c r="J104" s="6">
        <v>968</v>
      </c>
      <c r="K104" s="6">
        <v>913</v>
      </c>
      <c r="L104" s="6">
        <v>563</v>
      </c>
      <c r="M104" s="6">
        <v>1123</v>
      </c>
      <c r="N104" s="6">
        <v>1935</v>
      </c>
      <c r="O104" s="6">
        <v>2142</v>
      </c>
      <c r="P104" s="6">
        <v>1835</v>
      </c>
      <c r="Q104" s="6">
        <v>2263</v>
      </c>
      <c r="R104" s="6">
        <v>1932</v>
      </c>
      <c r="S104" s="6">
        <v>2398</v>
      </c>
      <c r="T104" s="6">
        <v>1813</v>
      </c>
      <c r="U104" s="6">
        <v>1400</v>
      </c>
      <c r="V104" s="6">
        <v>1026</v>
      </c>
      <c r="W104" s="6">
        <v>1378</v>
      </c>
      <c r="X104" s="6">
        <v>2417</v>
      </c>
      <c r="Y104" s="6">
        <v>1564</v>
      </c>
      <c r="Z104" s="6">
        <v>2020</v>
      </c>
      <c r="AA104" s="6">
        <v>2042</v>
      </c>
      <c r="AB104" s="6">
        <v>2157</v>
      </c>
      <c r="AC104" s="6">
        <v>2133</v>
      </c>
      <c r="AD104" s="6">
        <v>2713</v>
      </c>
      <c r="AE104" s="6">
        <v>16590</v>
      </c>
      <c r="AF104" s="6">
        <v>23061</v>
      </c>
      <c r="AG104" s="16">
        <v>39651</v>
      </c>
      <c r="AH104" s="17">
        <v>1382.5</v>
      </c>
      <c r="AI104" s="17">
        <v>1921.75</v>
      </c>
      <c r="AJ104" s="17">
        <v>1652.125</v>
      </c>
      <c r="AK104" s="49">
        <v>6.6378217939282594E-3</v>
      </c>
      <c r="AL104" s="48">
        <v>498.38942878764266</v>
      </c>
      <c r="AM104" s="19">
        <v>611.8438499642948</v>
      </c>
      <c r="AN104" s="47">
        <v>0.25934144856908686</v>
      </c>
      <c r="AO104" s="20">
        <v>0.37033750470714671</v>
      </c>
      <c r="AP104" s="44">
        <v>0.39005424954792045</v>
      </c>
      <c r="AQ104" s="46">
        <v>322854</v>
      </c>
      <c r="AR104" s="45">
        <v>555114</v>
      </c>
      <c r="AS104" s="22">
        <v>3.3859424166306749E-4</v>
      </c>
      <c r="AT104" s="22">
        <v>0.98650251428533531</v>
      </c>
      <c r="AU104" s="22" t="s">
        <v>215</v>
      </c>
      <c r="AV104" s="22" t="s">
        <v>152</v>
      </c>
      <c r="AW104" s="22" t="s">
        <v>216</v>
      </c>
      <c r="AX104" s="23">
        <v>4335</v>
      </c>
      <c r="AY104" s="24">
        <v>2.2557564719656562</v>
      </c>
      <c r="AZ104" s="23">
        <v>4310</v>
      </c>
      <c r="BA104" s="26">
        <v>2460</v>
      </c>
      <c r="BB104" s="44" t="s">
        <v>154</v>
      </c>
      <c r="BC104" s="26">
        <v>64.058333333333337</v>
      </c>
      <c r="BD104" s="23">
        <v>30</v>
      </c>
      <c r="BE104" s="26">
        <v>3843.5</v>
      </c>
      <c r="BF104" s="26">
        <v>5765.25</v>
      </c>
      <c r="BG104" s="24"/>
      <c r="BI104" s="26"/>
      <c r="BJ104" s="23"/>
      <c r="BK104" s="26"/>
      <c r="BL104" s="27"/>
      <c r="BN104" s="13"/>
      <c r="BO104" s="43"/>
      <c r="BP104" s="42"/>
    </row>
    <row r="105" spans="1:68" s="1" customFormat="1" x14ac:dyDescent="0.3">
      <c r="A105" s="12" t="s">
        <v>624</v>
      </c>
      <c r="B105" s="12">
        <v>102081</v>
      </c>
      <c r="C105" s="13" t="s">
        <v>623</v>
      </c>
      <c r="D105" s="13" t="s">
        <v>53</v>
      </c>
      <c r="E105" s="14">
        <v>71</v>
      </c>
      <c r="F105" s="15" t="s">
        <v>137</v>
      </c>
      <c r="G105" s="6">
        <v>356</v>
      </c>
      <c r="H105" s="6">
        <v>294</v>
      </c>
      <c r="I105" s="6">
        <v>261</v>
      </c>
      <c r="J105" s="6">
        <v>318</v>
      </c>
      <c r="K105" s="6">
        <v>339</v>
      </c>
      <c r="L105" s="6">
        <v>422</v>
      </c>
      <c r="M105" s="6">
        <v>468</v>
      </c>
      <c r="N105" s="6">
        <v>384</v>
      </c>
      <c r="O105" s="6">
        <v>195</v>
      </c>
      <c r="P105" s="6">
        <v>206</v>
      </c>
      <c r="Q105" s="6">
        <v>398</v>
      </c>
      <c r="R105" s="6">
        <v>268</v>
      </c>
      <c r="S105" s="6">
        <v>344</v>
      </c>
      <c r="T105" s="6">
        <v>433</v>
      </c>
      <c r="U105" s="6">
        <v>314</v>
      </c>
      <c r="V105" s="6">
        <v>437</v>
      </c>
      <c r="W105" s="6">
        <v>378</v>
      </c>
      <c r="X105" s="6">
        <v>350</v>
      </c>
      <c r="Y105" s="6">
        <v>137</v>
      </c>
      <c r="Z105" s="6">
        <v>194</v>
      </c>
      <c r="AA105" s="6">
        <v>213</v>
      </c>
      <c r="AB105" s="6">
        <v>198</v>
      </c>
      <c r="AC105" s="6">
        <v>463</v>
      </c>
      <c r="AD105" s="6">
        <v>324</v>
      </c>
      <c r="AE105" s="6">
        <v>3909</v>
      </c>
      <c r="AF105" s="6">
        <v>3785</v>
      </c>
      <c r="AG105" s="16">
        <v>7694</v>
      </c>
      <c r="AH105" s="17">
        <v>325.75</v>
      </c>
      <c r="AI105" s="17">
        <v>315.41666666666669</v>
      </c>
      <c r="AJ105" s="17">
        <v>320.58333333333337</v>
      </c>
      <c r="AK105" s="49">
        <v>1.0894651355109692E-3</v>
      </c>
      <c r="AL105" s="48">
        <v>107.55333419736323</v>
      </c>
      <c r="AM105" s="19">
        <v>94.895785706887651</v>
      </c>
      <c r="AN105" s="47">
        <v>0.34098811370366144</v>
      </c>
      <c r="AO105" s="20">
        <v>0.29600972926505115</v>
      </c>
      <c r="AP105" s="44">
        <v>-3.172166794576612E-2</v>
      </c>
      <c r="AQ105" s="46">
        <v>268735</v>
      </c>
      <c r="AR105" s="45">
        <v>546274</v>
      </c>
      <c r="AS105" s="22">
        <v>3.3320224453040374E-4</v>
      </c>
      <c r="AT105" s="22">
        <v>0.98683571652986568</v>
      </c>
      <c r="AU105" s="22" t="s">
        <v>215</v>
      </c>
      <c r="AV105" s="22" t="s">
        <v>152</v>
      </c>
      <c r="AW105" s="22" t="s">
        <v>216</v>
      </c>
      <c r="AX105" s="23">
        <v>1622</v>
      </c>
      <c r="AY105" s="24">
        <v>5.1424042272126815</v>
      </c>
      <c r="AZ105" s="23">
        <v>390</v>
      </c>
      <c r="BA105" s="26">
        <v>250</v>
      </c>
      <c r="BB105" s="44" t="s">
        <v>154</v>
      </c>
      <c r="BC105" s="26">
        <v>10.513888888888889</v>
      </c>
      <c r="BD105" s="23">
        <v>30</v>
      </c>
      <c r="BE105" s="26">
        <v>630.83333333333337</v>
      </c>
      <c r="BF105" s="26">
        <v>946.25</v>
      </c>
      <c r="BG105" s="24"/>
      <c r="BI105" s="26"/>
      <c r="BJ105" s="23"/>
      <c r="BK105" s="26"/>
      <c r="BL105" s="27"/>
      <c r="BN105" s="13"/>
      <c r="BO105" s="43"/>
      <c r="BP105" s="42"/>
    </row>
    <row r="106" spans="1:68" s="1" customFormat="1" x14ac:dyDescent="0.3">
      <c r="A106" s="12" t="s">
        <v>622</v>
      </c>
      <c r="B106" s="12">
        <v>103002</v>
      </c>
      <c r="C106" s="13" t="s">
        <v>621</v>
      </c>
      <c r="D106" s="13" t="s">
        <v>47</v>
      </c>
      <c r="E106" s="14">
        <v>250</v>
      </c>
      <c r="F106" s="15" t="s">
        <v>137</v>
      </c>
      <c r="G106" s="6">
        <v>88</v>
      </c>
      <c r="H106" s="6">
        <v>115</v>
      </c>
      <c r="I106" s="6">
        <v>99</v>
      </c>
      <c r="J106" s="6">
        <v>93</v>
      </c>
      <c r="K106" s="6">
        <v>137</v>
      </c>
      <c r="L106" s="6">
        <v>81</v>
      </c>
      <c r="M106" s="6">
        <v>125</v>
      </c>
      <c r="N106" s="6">
        <v>118</v>
      </c>
      <c r="O106" s="6">
        <v>77</v>
      </c>
      <c r="P106" s="6">
        <v>104</v>
      </c>
      <c r="Q106" s="6">
        <v>108</v>
      </c>
      <c r="R106" s="6">
        <v>59</v>
      </c>
      <c r="S106" s="6">
        <v>52</v>
      </c>
      <c r="T106" s="6">
        <v>62</v>
      </c>
      <c r="U106" s="6">
        <v>60</v>
      </c>
      <c r="V106" s="6">
        <v>164</v>
      </c>
      <c r="W106" s="6">
        <v>78</v>
      </c>
      <c r="X106" s="6">
        <v>76</v>
      </c>
      <c r="Y106" s="6">
        <v>60</v>
      </c>
      <c r="Z106" s="6">
        <v>74</v>
      </c>
      <c r="AA106" s="6">
        <v>63</v>
      </c>
      <c r="AB106" s="6">
        <v>86</v>
      </c>
      <c r="AC106" s="6">
        <v>56</v>
      </c>
      <c r="AD106" s="6">
        <v>86</v>
      </c>
      <c r="AE106" s="6">
        <v>1204</v>
      </c>
      <c r="AF106" s="6">
        <v>917</v>
      </c>
      <c r="AG106" s="16">
        <v>2121</v>
      </c>
      <c r="AH106" s="17">
        <v>100.33333333333333</v>
      </c>
      <c r="AI106" s="17">
        <v>76.416666666666671</v>
      </c>
      <c r="AJ106" s="17">
        <v>88.375</v>
      </c>
      <c r="AK106" s="49">
        <v>2.6394703547253864E-4</v>
      </c>
      <c r="AL106" s="48">
        <v>29.852541640943119</v>
      </c>
      <c r="AM106" s="19">
        <v>28.454101102744705</v>
      </c>
      <c r="AN106" s="47">
        <v>0.39065485244418474</v>
      </c>
      <c r="AO106" s="20">
        <v>0.32197002662228802</v>
      </c>
      <c r="AP106" s="44">
        <v>-0.23837209302325574</v>
      </c>
      <c r="AQ106" s="46">
        <v>229250</v>
      </c>
      <c r="AR106" s="45">
        <v>530250</v>
      </c>
      <c r="AS106" s="22">
        <v>3.2342833479581049E-4</v>
      </c>
      <c r="AT106" s="22">
        <v>0.98748832445974732</v>
      </c>
      <c r="AU106" s="22" t="s">
        <v>215</v>
      </c>
      <c r="AV106" s="22" t="s">
        <v>152</v>
      </c>
      <c r="AW106" s="22" t="s">
        <v>216</v>
      </c>
      <c r="AX106" s="23">
        <v>318</v>
      </c>
      <c r="AY106" s="24">
        <v>4.1613958560523443</v>
      </c>
      <c r="AZ106" s="23">
        <v>140</v>
      </c>
      <c r="BA106" s="26">
        <v>80</v>
      </c>
      <c r="BB106" s="44" t="s">
        <v>154</v>
      </c>
      <c r="BC106" s="26">
        <v>2.5472222222222225</v>
      </c>
      <c r="BD106" s="23">
        <v>30</v>
      </c>
      <c r="BE106" s="26">
        <v>152.83333333333334</v>
      </c>
      <c r="BF106" s="26">
        <v>229.25</v>
      </c>
      <c r="BG106" s="24"/>
      <c r="BI106" s="26"/>
      <c r="BJ106" s="23"/>
      <c r="BK106" s="26"/>
      <c r="BL106" s="27"/>
      <c r="BN106" s="13"/>
      <c r="BO106" s="43"/>
      <c r="BP106" s="42"/>
    </row>
    <row r="107" spans="1:68" s="1" customFormat="1" x14ac:dyDescent="0.3">
      <c r="A107" s="12" t="s">
        <v>620</v>
      </c>
      <c r="B107" s="12">
        <v>106026</v>
      </c>
      <c r="C107" s="13" t="s">
        <v>619</v>
      </c>
      <c r="D107" s="13" t="s">
        <v>44</v>
      </c>
      <c r="E107" s="14">
        <v>125</v>
      </c>
      <c r="F107" s="15" t="s">
        <v>137</v>
      </c>
      <c r="G107" s="6">
        <v>238</v>
      </c>
      <c r="H107" s="6">
        <v>226</v>
      </c>
      <c r="I107" s="6">
        <v>180</v>
      </c>
      <c r="J107" s="6">
        <v>294</v>
      </c>
      <c r="K107" s="6">
        <v>184</v>
      </c>
      <c r="L107" s="6">
        <v>223</v>
      </c>
      <c r="M107" s="6">
        <v>170</v>
      </c>
      <c r="N107" s="6">
        <v>110</v>
      </c>
      <c r="O107" s="6">
        <v>183</v>
      </c>
      <c r="P107" s="6">
        <v>131</v>
      </c>
      <c r="Q107" s="6">
        <v>269</v>
      </c>
      <c r="R107" s="6">
        <v>132</v>
      </c>
      <c r="S107" s="6">
        <v>210</v>
      </c>
      <c r="T107" s="6">
        <v>63</v>
      </c>
      <c r="U107" s="6">
        <v>185</v>
      </c>
      <c r="V107" s="6">
        <v>215</v>
      </c>
      <c r="W107" s="6">
        <v>223</v>
      </c>
      <c r="X107" s="6">
        <v>131</v>
      </c>
      <c r="Y107" s="6">
        <v>54</v>
      </c>
      <c r="Z107" s="6">
        <v>89</v>
      </c>
      <c r="AA107" s="6">
        <v>61</v>
      </c>
      <c r="AB107" s="6">
        <v>232</v>
      </c>
      <c r="AC107" s="6">
        <v>202</v>
      </c>
      <c r="AD107" s="6">
        <v>142</v>
      </c>
      <c r="AE107" s="6">
        <v>2340</v>
      </c>
      <c r="AF107" s="6">
        <v>1807</v>
      </c>
      <c r="AG107" s="16">
        <v>4147</v>
      </c>
      <c r="AH107" s="17">
        <v>195</v>
      </c>
      <c r="AI107" s="17">
        <v>150.58333333333334</v>
      </c>
      <c r="AJ107" s="17">
        <v>172.79166666666669</v>
      </c>
      <c r="AK107" s="49">
        <v>5.2012245703258163E-4</v>
      </c>
      <c r="AL107" s="48">
        <v>69.186780573030049</v>
      </c>
      <c r="AM107" s="19">
        <v>65.861501036953157</v>
      </c>
      <c r="AN107" s="47">
        <v>0.45945842107158857</v>
      </c>
      <c r="AO107" s="20">
        <v>0.38116132743835918</v>
      </c>
      <c r="AP107" s="44">
        <v>-0.22777777777777772</v>
      </c>
      <c r="AQ107" s="46">
        <v>225875</v>
      </c>
      <c r="AR107" s="45">
        <v>518375</v>
      </c>
      <c r="AS107" s="22">
        <v>3.1618512597789394E-4</v>
      </c>
      <c r="AT107" s="22">
        <v>0.98812552372089979</v>
      </c>
      <c r="AU107" s="22" t="s">
        <v>215</v>
      </c>
      <c r="AV107" s="22" t="s">
        <v>152</v>
      </c>
      <c r="AW107" s="22" t="s">
        <v>216</v>
      </c>
      <c r="AX107" s="23">
        <v>529</v>
      </c>
      <c r="AY107" s="24">
        <v>3.5130049806308796</v>
      </c>
      <c r="AZ107" s="23">
        <v>270</v>
      </c>
      <c r="BA107" s="26">
        <v>130</v>
      </c>
      <c r="BB107" s="44" t="s">
        <v>154</v>
      </c>
      <c r="BC107" s="26">
        <v>5.0194444444444448</v>
      </c>
      <c r="BD107" s="23">
        <v>30</v>
      </c>
      <c r="BE107" s="26">
        <v>301.16666666666669</v>
      </c>
      <c r="BF107" s="26">
        <v>451.75</v>
      </c>
      <c r="BG107" s="24"/>
      <c r="BI107" s="26"/>
      <c r="BJ107" s="23"/>
      <c r="BK107" s="26"/>
      <c r="BL107" s="27"/>
      <c r="BN107" s="13"/>
      <c r="BO107" s="43"/>
      <c r="BP107" s="42"/>
    </row>
    <row r="108" spans="1:68" s="1" customFormat="1" x14ac:dyDescent="0.3">
      <c r="A108" s="12" t="s">
        <v>618</v>
      </c>
      <c r="B108" s="12">
        <v>105007</v>
      </c>
      <c r="C108" s="13" t="s">
        <v>617</v>
      </c>
      <c r="D108" s="13" t="s">
        <v>62</v>
      </c>
      <c r="E108" s="14">
        <v>1107</v>
      </c>
      <c r="F108" s="15" t="s">
        <v>137</v>
      </c>
      <c r="G108" s="6">
        <v>29</v>
      </c>
      <c r="H108" s="6">
        <v>24</v>
      </c>
      <c r="I108" s="6">
        <v>13</v>
      </c>
      <c r="J108" s="6">
        <v>18</v>
      </c>
      <c r="K108" s="6">
        <v>20</v>
      </c>
      <c r="L108" s="6">
        <v>36</v>
      </c>
      <c r="M108" s="6">
        <v>30</v>
      </c>
      <c r="N108" s="6">
        <v>24</v>
      </c>
      <c r="O108" s="6">
        <v>18</v>
      </c>
      <c r="P108" s="6">
        <v>26</v>
      </c>
      <c r="Q108" s="6">
        <v>22</v>
      </c>
      <c r="R108" s="6">
        <v>26</v>
      </c>
      <c r="S108" s="6">
        <v>18</v>
      </c>
      <c r="T108" s="6">
        <v>9</v>
      </c>
      <c r="U108" s="6">
        <v>11</v>
      </c>
      <c r="V108" s="6">
        <v>24</v>
      </c>
      <c r="W108" s="6">
        <v>27</v>
      </c>
      <c r="X108" s="6">
        <v>18</v>
      </c>
      <c r="Y108" s="6">
        <v>15</v>
      </c>
      <c r="Z108" s="6">
        <v>17</v>
      </c>
      <c r="AA108" s="6">
        <v>20</v>
      </c>
      <c r="AB108" s="6">
        <v>13</v>
      </c>
      <c r="AC108" s="6">
        <v>2</v>
      </c>
      <c r="AD108" s="6">
        <v>7</v>
      </c>
      <c r="AE108" s="6">
        <v>286</v>
      </c>
      <c r="AF108" s="6">
        <v>181</v>
      </c>
      <c r="AG108" s="16">
        <v>467</v>
      </c>
      <c r="AH108" s="17">
        <v>23.833333333333332</v>
      </c>
      <c r="AI108" s="17">
        <v>15.083333333333334</v>
      </c>
      <c r="AJ108" s="17">
        <v>19.458333333333332</v>
      </c>
      <c r="AK108" s="49">
        <v>5.2098596968952558E-5</v>
      </c>
      <c r="AL108" s="48">
        <v>7.1408979997213393</v>
      </c>
      <c r="AM108" s="19">
        <v>7.9289188180475421</v>
      </c>
      <c r="AN108" s="47">
        <v>0.47342970163898379</v>
      </c>
      <c r="AO108" s="20">
        <v>0.40748190927867456</v>
      </c>
      <c r="AP108" s="44">
        <v>-0.36713286713286708</v>
      </c>
      <c r="AQ108" s="46">
        <v>200367</v>
      </c>
      <c r="AR108" s="45">
        <v>516969</v>
      </c>
      <c r="AS108" s="22">
        <v>3.153275300538526E-4</v>
      </c>
      <c r="AT108" s="22">
        <v>0.9884408512509536</v>
      </c>
      <c r="AU108" s="22" t="s">
        <v>215</v>
      </c>
      <c r="AV108" s="22" t="s">
        <v>152</v>
      </c>
      <c r="AW108" s="22" t="s">
        <v>216</v>
      </c>
      <c r="AX108" s="23">
        <v>150</v>
      </c>
      <c r="AY108" s="24">
        <v>9.94475138121547</v>
      </c>
      <c r="AZ108" s="23">
        <v>21</v>
      </c>
      <c r="BA108" s="26">
        <v>14</v>
      </c>
      <c r="BB108" s="44" t="s">
        <v>154</v>
      </c>
      <c r="BC108" s="26">
        <v>0.50277777777777777</v>
      </c>
      <c r="BD108" s="23">
        <v>30</v>
      </c>
      <c r="BE108" s="26">
        <v>30.166666666666664</v>
      </c>
      <c r="BF108" s="26">
        <v>45.25</v>
      </c>
      <c r="BG108" s="24"/>
      <c r="BI108" s="26"/>
      <c r="BJ108" s="23"/>
      <c r="BK108" s="26"/>
      <c r="BL108" s="27"/>
      <c r="BN108" s="13"/>
      <c r="BO108" s="43"/>
      <c r="BP108" s="42"/>
    </row>
    <row r="109" spans="1:68" s="1" customFormat="1" x14ac:dyDescent="0.3">
      <c r="A109" s="12" t="s">
        <v>616</v>
      </c>
      <c r="B109" s="12">
        <v>103008</v>
      </c>
      <c r="C109" s="13" t="s">
        <v>615</v>
      </c>
      <c r="D109" s="13" t="s">
        <v>53</v>
      </c>
      <c r="E109" s="14">
        <v>39</v>
      </c>
      <c r="F109" s="15" t="s">
        <v>137</v>
      </c>
      <c r="G109" s="6">
        <v>691</v>
      </c>
      <c r="H109" s="6">
        <v>648</v>
      </c>
      <c r="I109" s="6">
        <v>713</v>
      </c>
      <c r="J109" s="6">
        <v>420</v>
      </c>
      <c r="K109" s="6">
        <v>909</v>
      </c>
      <c r="L109" s="6">
        <v>423</v>
      </c>
      <c r="M109" s="6">
        <v>852</v>
      </c>
      <c r="N109" s="6">
        <v>591</v>
      </c>
      <c r="O109" s="6">
        <v>433</v>
      </c>
      <c r="P109" s="6">
        <v>421</v>
      </c>
      <c r="Q109" s="6">
        <v>479</v>
      </c>
      <c r="R109" s="6">
        <v>528</v>
      </c>
      <c r="S109" s="6">
        <v>972</v>
      </c>
      <c r="T109" s="6">
        <v>456</v>
      </c>
      <c r="U109" s="6">
        <v>415</v>
      </c>
      <c r="V109" s="6">
        <v>752</v>
      </c>
      <c r="W109" s="6">
        <v>315</v>
      </c>
      <c r="X109" s="6">
        <v>380</v>
      </c>
      <c r="Y109" s="6">
        <v>667</v>
      </c>
      <c r="Z109" s="6">
        <v>386</v>
      </c>
      <c r="AA109" s="6">
        <v>385</v>
      </c>
      <c r="AB109" s="6">
        <v>362</v>
      </c>
      <c r="AC109" s="6">
        <v>382</v>
      </c>
      <c r="AD109" s="6">
        <v>614</v>
      </c>
      <c r="AE109" s="6">
        <v>7108</v>
      </c>
      <c r="AF109" s="6">
        <v>6086</v>
      </c>
      <c r="AG109" s="16">
        <v>13194</v>
      </c>
      <c r="AH109" s="17">
        <v>592.33333333333337</v>
      </c>
      <c r="AI109" s="17">
        <v>507.16666666666669</v>
      </c>
      <c r="AJ109" s="17">
        <v>549.75</v>
      </c>
      <c r="AK109" s="49">
        <v>1.7517793433869905E-3</v>
      </c>
      <c r="AL109" s="48">
        <v>200.80104732311679</v>
      </c>
      <c r="AM109" s="19">
        <v>187.92349275818279</v>
      </c>
      <c r="AN109" s="47">
        <v>0.39592713898741394</v>
      </c>
      <c r="AO109" s="20">
        <v>0.34183445704080545</v>
      </c>
      <c r="AP109" s="44">
        <v>-0.14378165447383232</v>
      </c>
      <c r="AQ109" s="46">
        <v>237354</v>
      </c>
      <c r="AR109" s="45">
        <v>514566</v>
      </c>
      <c r="AS109" s="22">
        <v>3.1386180956631971E-4</v>
      </c>
      <c r="AT109" s="22">
        <v>0.98875471306051987</v>
      </c>
      <c r="AU109" s="22" t="s">
        <v>215</v>
      </c>
      <c r="AV109" s="22" t="s">
        <v>152</v>
      </c>
      <c r="AW109" s="22" t="s">
        <v>216</v>
      </c>
      <c r="AX109" s="23">
        <v>3011</v>
      </c>
      <c r="AY109" s="24">
        <v>5.9369043706868219</v>
      </c>
      <c r="AZ109" s="23">
        <v>980</v>
      </c>
      <c r="BA109" s="26">
        <v>550</v>
      </c>
      <c r="BB109" s="44" t="s">
        <v>154</v>
      </c>
      <c r="BC109" s="26">
        <v>16.905555555555555</v>
      </c>
      <c r="BD109" s="23">
        <v>30</v>
      </c>
      <c r="BE109" s="26">
        <v>1014.3333333333333</v>
      </c>
      <c r="BF109" s="26">
        <v>1521.5</v>
      </c>
      <c r="BG109" s="24"/>
      <c r="BI109" s="26"/>
      <c r="BJ109" s="23"/>
      <c r="BK109" s="26"/>
      <c r="BL109" s="27"/>
      <c r="BN109" s="13"/>
      <c r="BO109" s="43"/>
      <c r="BP109" s="42"/>
    </row>
    <row r="110" spans="1:68" s="1" customFormat="1" x14ac:dyDescent="0.3">
      <c r="A110" s="12" t="s">
        <v>614</v>
      </c>
      <c r="B110" s="12">
        <v>102069</v>
      </c>
      <c r="C110" s="13" t="s">
        <v>613</v>
      </c>
      <c r="D110" s="13" t="s">
        <v>64</v>
      </c>
      <c r="E110" s="14">
        <v>101</v>
      </c>
      <c r="F110" s="15" t="s">
        <v>137</v>
      </c>
      <c r="G110" s="6">
        <v>265</v>
      </c>
      <c r="H110" s="6">
        <v>78</v>
      </c>
      <c r="I110" s="6">
        <v>253</v>
      </c>
      <c r="J110" s="6">
        <v>116</v>
      </c>
      <c r="K110" s="6">
        <v>178</v>
      </c>
      <c r="L110" s="6">
        <v>290</v>
      </c>
      <c r="M110" s="6">
        <v>144</v>
      </c>
      <c r="N110" s="6">
        <v>315</v>
      </c>
      <c r="O110" s="6">
        <v>162</v>
      </c>
      <c r="P110" s="6">
        <v>177</v>
      </c>
      <c r="Q110" s="6">
        <v>123</v>
      </c>
      <c r="R110" s="6">
        <v>329</v>
      </c>
      <c r="S110" s="6">
        <v>237</v>
      </c>
      <c r="T110" s="6">
        <v>220</v>
      </c>
      <c r="U110" s="6">
        <v>109</v>
      </c>
      <c r="V110" s="6">
        <v>224</v>
      </c>
      <c r="W110" s="6">
        <v>249</v>
      </c>
      <c r="X110" s="6">
        <v>130</v>
      </c>
      <c r="Y110" s="6">
        <v>154</v>
      </c>
      <c r="Z110" s="6">
        <v>180</v>
      </c>
      <c r="AA110" s="6">
        <v>312</v>
      </c>
      <c r="AB110" s="6">
        <v>285</v>
      </c>
      <c r="AC110" s="6">
        <v>446</v>
      </c>
      <c r="AD110" s="6">
        <v>58</v>
      </c>
      <c r="AE110" s="6">
        <v>2430</v>
      </c>
      <c r="AF110" s="6">
        <v>2604</v>
      </c>
      <c r="AG110" s="16">
        <v>5034</v>
      </c>
      <c r="AH110" s="17">
        <v>202.5</v>
      </c>
      <c r="AI110" s="17">
        <v>217</v>
      </c>
      <c r="AJ110" s="17">
        <v>209.75</v>
      </c>
      <c r="AK110" s="49">
        <v>7.4952898622736167E-4</v>
      </c>
      <c r="AL110" s="48">
        <v>103.31945165799657</v>
      </c>
      <c r="AM110" s="19">
        <v>92.565487981306461</v>
      </c>
      <c r="AN110" s="47">
        <v>0.47612650533638973</v>
      </c>
      <c r="AO110" s="20">
        <v>0.44131341111469113</v>
      </c>
      <c r="AP110" s="44">
        <v>7.160493827160494E-2</v>
      </c>
      <c r="AQ110" s="46">
        <v>263004</v>
      </c>
      <c r="AR110" s="45">
        <v>508434</v>
      </c>
      <c r="AS110" s="22">
        <v>3.1012156902135429E-4</v>
      </c>
      <c r="AT110" s="22">
        <v>0.98969009281288078</v>
      </c>
      <c r="AU110" s="22" t="s">
        <v>215</v>
      </c>
      <c r="AV110" s="22" t="s">
        <v>152</v>
      </c>
      <c r="AW110" s="22" t="s">
        <v>216</v>
      </c>
      <c r="AX110" s="23">
        <v>725</v>
      </c>
      <c r="AY110" s="24">
        <v>3.3410138248847927</v>
      </c>
      <c r="AZ110" s="23">
        <v>580</v>
      </c>
      <c r="BA110" s="26">
        <v>330</v>
      </c>
      <c r="BB110" s="44" t="s">
        <v>154</v>
      </c>
      <c r="BC110" s="26">
        <v>7.2333333333333334</v>
      </c>
      <c r="BD110" s="23">
        <v>30</v>
      </c>
      <c r="BE110" s="26">
        <v>434</v>
      </c>
      <c r="BF110" s="26">
        <v>651</v>
      </c>
      <c r="BG110" s="24"/>
      <c r="BI110" s="26"/>
      <c r="BJ110" s="23"/>
      <c r="BK110" s="26"/>
      <c r="BL110" s="27"/>
      <c r="BN110" s="13"/>
      <c r="BO110" s="43"/>
      <c r="BP110" s="42"/>
    </row>
    <row r="111" spans="1:68" s="1" customFormat="1" x14ac:dyDescent="0.3">
      <c r="A111" s="12" t="s">
        <v>612</v>
      </c>
      <c r="B111" s="12">
        <v>102009</v>
      </c>
      <c r="C111" s="13" t="s">
        <v>611</v>
      </c>
      <c r="D111" s="13" t="s">
        <v>53</v>
      </c>
      <c r="E111" s="14">
        <v>48</v>
      </c>
      <c r="F111" s="15" t="s">
        <v>137</v>
      </c>
      <c r="G111" s="6">
        <v>570</v>
      </c>
      <c r="H111" s="6">
        <v>355</v>
      </c>
      <c r="I111" s="6">
        <v>637</v>
      </c>
      <c r="J111" s="6">
        <v>292</v>
      </c>
      <c r="K111" s="6">
        <v>546</v>
      </c>
      <c r="L111" s="6">
        <v>328</v>
      </c>
      <c r="M111" s="6">
        <v>279</v>
      </c>
      <c r="N111" s="6">
        <v>220</v>
      </c>
      <c r="O111" s="6">
        <v>276</v>
      </c>
      <c r="P111" s="6">
        <v>335</v>
      </c>
      <c r="Q111" s="6">
        <v>333</v>
      </c>
      <c r="R111" s="6">
        <v>355</v>
      </c>
      <c r="S111" s="6">
        <v>641</v>
      </c>
      <c r="T111" s="6">
        <v>336</v>
      </c>
      <c r="U111" s="6">
        <v>409</v>
      </c>
      <c r="V111" s="6">
        <v>339</v>
      </c>
      <c r="W111" s="6">
        <v>536</v>
      </c>
      <c r="X111" s="6">
        <v>289</v>
      </c>
      <c r="Y111" s="6">
        <v>633</v>
      </c>
      <c r="Z111" s="6">
        <v>521</v>
      </c>
      <c r="AA111" s="6">
        <v>496</v>
      </c>
      <c r="AB111" s="6">
        <v>571</v>
      </c>
      <c r="AC111" s="6">
        <v>435</v>
      </c>
      <c r="AD111" s="6">
        <v>376</v>
      </c>
      <c r="AE111" s="6">
        <v>4526</v>
      </c>
      <c r="AF111" s="6">
        <v>5582</v>
      </c>
      <c r="AG111" s="16">
        <v>10108</v>
      </c>
      <c r="AH111" s="17">
        <v>377.16666666666669</v>
      </c>
      <c r="AI111" s="17">
        <v>465.16666666666669</v>
      </c>
      <c r="AJ111" s="17">
        <v>421.16666666666669</v>
      </c>
      <c r="AK111" s="49">
        <v>1.6067092170204043E-3</v>
      </c>
      <c r="AL111" s="48">
        <v>118.71419715459727</v>
      </c>
      <c r="AM111" s="19">
        <v>130.82436505771244</v>
      </c>
      <c r="AN111" s="47">
        <v>0.25520787636244485</v>
      </c>
      <c r="AO111" s="20">
        <v>0.31062373974921831</v>
      </c>
      <c r="AP111" s="44">
        <v>0.23331860362350859</v>
      </c>
      <c r="AQ111" s="46">
        <v>267936</v>
      </c>
      <c r="AR111" s="45">
        <v>485184</v>
      </c>
      <c r="AS111" s="22">
        <v>2.9594012859890715E-4</v>
      </c>
      <c r="AT111" s="22">
        <v>0.99058654527372514</v>
      </c>
      <c r="AU111" s="22" t="s">
        <v>215</v>
      </c>
      <c r="AV111" s="22" t="s">
        <v>152</v>
      </c>
      <c r="AW111" s="22" t="s">
        <v>216</v>
      </c>
      <c r="AX111" s="23">
        <v>1598</v>
      </c>
      <c r="AY111" s="24">
        <v>3.4353278394840556</v>
      </c>
      <c r="AZ111" s="23">
        <v>0</v>
      </c>
      <c r="BA111" s="26">
        <v>0</v>
      </c>
      <c r="BB111" s="44" t="s">
        <v>154</v>
      </c>
      <c r="BC111" s="26">
        <v>15.505555555555556</v>
      </c>
      <c r="BD111" s="23">
        <v>30</v>
      </c>
      <c r="BE111" s="26">
        <v>930.33333333333337</v>
      </c>
      <c r="BF111" s="26">
        <v>1395.5</v>
      </c>
      <c r="BG111" s="24"/>
      <c r="BI111" s="26"/>
      <c r="BJ111" s="23"/>
      <c r="BK111" s="26"/>
      <c r="BL111" s="27"/>
      <c r="BN111" s="13"/>
      <c r="BO111" s="43"/>
      <c r="BP111" s="42"/>
    </row>
    <row r="112" spans="1:68" s="1" customFormat="1" x14ac:dyDescent="0.3">
      <c r="A112" s="12" t="s">
        <v>610</v>
      </c>
      <c r="B112" s="12">
        <v>106008</v>
      </c>
      <c r="C112" s="13" t="s">
        <v>609</v>
      </c>
      <c r="D112" s="13" t="s">
        <v>44</v>
      </c>
      <c r="E112" s="14">
        <v>238</v>
      </c>
      <c r="F112" s="15" t="s">
        <v>137</v>
      </c>
      <c r="G112" s="6">
        <v>102</v>
      </c>
      <c r="H112" s="6">
        <v>95</v>
      </c>
      <c r="I112" s="6">
        <v>64</v>
      </c>
      <c r="J112" s="6">
        <v>103</v>
      </c>
      <c r="K112" s="6">
        <v>77</v>
      </c>
      <c r="L112" s="6">
        <v>74</v>
      </c>
      <c r="M112" s="6">
        <v>117</v>
      </c>
      <c r="N112" s="6">
        <v>34</v>
      </c>
      <c r="O112" s="6">
        <v>73</v>
      </c>
      <c r="P112" s="6">
        <v>59</v>
      </c>
      <c r="Q112" s="6">
        <v>95</v>
      </c>
      <c r="R112" s="6">
        <v>46</v>
      </c>
      <c r="S112" s="6">
        <v>39</v>
      </c>
      <c r="T112" s="6">
        <v>70</v>
      </c>
      <c r="U112" s="6">
        <v>49</v>
      </c>
      <c r="V112" s="6">
        <v>82</v>
      </c>
      <c r="W112" s="6">
        <v>28</v>
      </c>
      <c r="X112" s="6">
        <v>78</v>
      </c>
      <c r="Y112" s="6">
        <v>120</v>
      </c>
      <c r="Z112" s="6">
        <v>59</v>
      </c>
      <c r="AA112" s="6">
        <v>56</v>
      </c>
      <c r="AB112" s="6">
        <v>53</v>
      </c>
      <c r="AC112" s="6">
        <v>10</v>
      </c>
      <c r="AD112" s="6">
        <v>106</v>
      </c>
      <c r="AE112" s="6">
        <v>939</v>
      </c>
      <c r="AF112" s="6">
        <v>750</v>
      </c>
      <c r="AG112" s="16">
        <v>1689</v>
      </c>
      <c r="AH112" s="17">
        <v>78.25</v>
      </c>
      <c r="AI112" s="17">
        <v>62.5</v>
      </c>
      <c r="AJ112" s="17">
        <v>70.375</v>
      </c>
      <c r="AK112" s="49">
        <v>2.1587816423599126E-4</v>
      </c>
      <c r="AL112" s="48">
        <v>31.190033373149536</v>
      </c>
      <c r="AM112" s="19">
        <v>28.7777276499666</v>
      </c>
      <c r="AN112" s="47">
        <v>0.49904053397039255</v>
      </c>
      <c r="AO112" s="20">
        <v>0.40891975346311332</v>
      </c>
      <c r="AP112" s="44">
        <v>-0.2012779552715655</v>
      </c>
      <c r="AQ112" s="46">
        <v>178500</v>
      </c>
      <c r="AR112" s="45">
        <v>401982</v>
      </c>
      <c r="AS112" s="22">
        <v>2.4519070038262988E-4</v>
      </c>
      <c r="AT112" s="22">
        <v>0.99272924868994228</v>
      </c>
      <c r="AU112" s="22" t="s">
        <v>215</v>
      </c>
      <c r="AV112" s="22" t="s">
        <v>152</v>
      </c>
      <c r="AW112" s="22" t="s">
        <v>216</v>
      </c>
      <c r="AX112" s="23">
        <v>303</v>
      </c>
      <c r="AY112" s="24">
        <v>4.8479999999999999</v>
      </c>
      <c r="AZ112" s="23">
        <v>175</v>
      </c>
      <c r="BA112" s="26">
        <v>100</v>
      </c>
      <c r="BB112" s="44" t="s">
        <v>154</v>
      </c>
      <c r="BC112" s="26">
        <v>2.0833333333333335</v>
      </c>
      <c r="BD112" s="23">
        <v>30</v>
      </c>
      <c r="BE112" s="26">
        <v>125.00000000000001</v>
      </c>
      <c r="BF112" s="26">
        <v>187.50000000000003</v>
      </c>
      <c r="BG112" s="24"/>
      <c r="BI112" s="26"/>
      <c r="BJ112" s="23"/>
      <c r="BK112" s="26"/>
      <c r="BL112" s="27"/>
      <c r="BN112" s="13"/>
      <c r="BO112" s="43"/>
      <c r="BP112" s="42"/>
    </row>
    <row r="113" spans="1:68" s="1" customFormat="1" x14ac:dyDescent="0.3">
      <c r="A113" s="12" t="s">
        <v>608</v>
      </c>
      <c r="B113" s="12">
        <v>106016</v>
      </c>
      <c r="C113" s="13" t="s">
        <v>607</v>
      </c>
      <c r="D113" s="13" t="s">
        <v>44</v>
      </c>
      <c r="E113" s="14">
        <v>238</v>
      </c>
      <c r="F113" s="15" t="s">
        <v>137</v>
      </c>
      <c r="G113" s="6">
        <v>30</v>
      </c>
      <c r="H113" s="6">
        <v>67</v>
      </c>
      <c r="I113" s="6">
        <v>36</v>
      </c>
      <c r="J113" s="6">
        <v>79</v>
      </c>
      <c r="K113" s="6">
        <v>28</v>
      </c>
      <c r="L113" s="6">
        <v>34</v>
      </c>
      <c r="M113" s="6">
        <v>80</v>
      </c>
      <c r="N113" s="6">
        <v>88</v>
      </c>
      <c r="O113" s="6">
        <v>110</v>
      </c>
      <c r="P113" s="6">
        <v>69</v>
      </c>
      <c r="Q113" s="6">
        <v>115</v>
      </c>
      <c r="R113" s="6">
        <v>54</v>
      </c>
      <c r="S113" s="6">
        <v>33</v>
      </c>
      <c r="T113" s="6">
        <v>55</v>
      </c>
      <c r="U113" s="6">
        <v>32</v>
      </c>
      <c r="V113" s="6">
        <v>117</v>
      </c>
      <c r="W113" s="6">
        <v>42</v>
      </c>
      <c r="X113" s="6">
        <v>32</v>
      </c>
      <c r="Y113" s="6">
        <v>97</v>
      </c>
      <c r="Z113" s="6">
        <v>54</v>
      </c>
      <c r="AA113" s="6">
        <v>39</v>
      </c>
      <c r="AB113" s="6">
        <v>77</v>
      </c>
      <c r="AC113" s="6">
        <v>124</v>
      </c>
      <c r="AD113" s="6">
        <v>37</v>
      </c>
      <c r="AE113" s="6">
        <v>790</v>
      </c>
      <c r="AF113" s="6">
        <v>739</v>
      </c>
      <c r="AG113" s="16">
        <v>1529</v>
      </c>
      <c r="AH113" s="17">
        <v>65.833333333333329</v>
      </c>
      <c r="AI113" s="17">
        <v>61.583333333333336</v>
      </c>
      <c r="AJ113" s="17">
        <v>63.708333333333329</v>
      </c>
      <c r="AK113" s="49">
        <v>2.1271195116053006E-4</v>
      </c>
      <c r="AL113" s="48">
        <v>33.878011998487999</v>
      </c>
      <c r="AM113" s="19">
        <v>31.44142817680363</v>
      </c>
      <c r="AN113" s="47">
        <v>0.5501165683110365</v>
      </c>
      <c r="AO113" s="20">
        <v>0.49352143639194712</v>
      </c>
      <c r="AP113" s="44">
        <v>-6.4556962025316356E-2</v>
      </c>
      <c r="AQ113" s="46">
        <v>175882</v>
      </c>
      <c r="AR113" s="45">
        <v>363902</v>
      </c>
      <c r="AS113" s="22">
        <v>2.2196363581115515E-4</v>
      </c>
      <c r="AT113" s="22">
        <v>0.99317635870376353</v>
      </c>
      <c r="AU113" s="22" t="s">
        <v>215</v>
      </c>
      <c r="AV113" s="22" t="s">
        <v>152</v>
      </c>
      <c r="AW113" s="22" t="s">
        <v>216</v>
      </c>
      <c r="AX113" s="23">
        <v>350</v>
      </c>
      <c r="AY113" s="24">
        <v>5.6833558863328824</v>
      </c>
      <c r="AZ113" s="23">
        <v>63</v>
      </c>
      <c r="BA113" s="26">
        <v>35</v>
      </c>
      <c r="BB113" s="44" t="s">
        <v>154</v>
      </c>
      <c r="BC113" s="26">
        <v>2.052777777777778</v>
      </c>
      <c r="BD113" s="23">
        <v>30</v>
      </c>
      <c r="BE113" s="26">
        <v>123.16666666666669</v>
      </c>
      <c r="BF113" s="26">
        <v>184.75000000000003</v>
      </c>
      <c r="BG113" s="24"/>
      <c r="BI113" s="26"/>
      <c r="BJ113" s="23"/>
      <c r="BK113" s="26"/>
      <c r="BL113" s="27"/>
      <c r="BN113" s="13"/>
      <c r="BO113" s="43"/>
      <c r="BP113" s="42"/>
    </row>
    <row r="114" spans="1:68" s="1" customFormat="1" x14ac:dyDescent="0.3">
      <c r="A114" s="12" t="s">
        <v>606</v>
      </c>
      <c r="B114" s="12">
        <v>104018</v>
      </c>
      <c r="C114" s="13" t="s">
        <v>605</v>
      </c>
      <c r="D114" s="13" t="s">
        <v>53</v>
      </c>
      <c r="E114" s="14">
        <v>17</v>
      </c>
      <c r="F114" s="15" t="s">
        <v>137</v>
      </c>
      <c r="G114" s="6">
        <v>802</v>
      </c>
      <c r="H114" s="6">
        <v>885</v>
      </c>
      <c r="I114" s="6">
        <v>1100</v>
      </c>
      <c r="J114" s="6">
        <v>801</v>
      </c>
      <c r="K114" s="6">
        <v>884</v>
      </c>
      <c r="L114" s="6">
        <v>1284</v>
      </c>
      <c r="M114" s="6">
        <v>873</v>
      </c>
      <c r="N114" s="6">
        <v>987</v>
      </c>
      <c r="O114" s="6">
        <v>870</v>
      </c>
      <c r="P114" s="6">
        <v>986</v>
      </c>
      <c r="Q114" s="6">
        <v>1429</v>
      </c>
      <c r="R114" s="6">
        <v>1109</v>
      </c>
      <c r="S114" s="6">
        <v>796</v>
      </c>
      <c r="T114" s="6">
        <v>551</v>
      </c>
      <c r="U114" s="6">
        <v>986</v>
      </c>
      <c r="V114" s="6">
        <v>705</v>
      </c>
      <c r="W114" s="6">
        <v>1034</v>
      </c>
      <c r="X114" s="6">
        <v>1048</v>
      </c>
      <c r="Y114" s="6">
        <v>1021</v>
      </c>
      <c r="Z114" s="6">
        <v>653</v>
      </c>
      <c r="AA114" s="6">
        <v>607</v>
      </c>
      <c r="AB114" s="6">
        <v>935</v>
      </c>
      <c r="AC114" s="6">
        <v>675</v>
      </c>
      <c r="AD114" s="6">
        <v>343</v>
      </c>
      <c r="AE114" s="6">
        <v>12010</v>
      </c>
      <c r="AF114" s="6">
        <v>9354</v>
      </c>
      <c r="AG114" s="16">
        <v>21364</v>
      </c>
      <c r="AH114" s="17">
        <v>1000.8333333333334</v>
      </c>
      <c r="AI114" s="17">
        <v>779.5</v>
      </c>
      <c r="AJ114" s="17">
        <v>890.16666666666674</v>
      </c>
      <c r="AK114" s="49">
        <v>2.6924324643512829E-3</v>
      </c>
      <c r="AL114" s="48">
        <v>227.08688765636501</v>
      </c>
      <c r="AM114" s="19">
        <v>236.51760972524832</v>
      </c>
      <c r="AN114" s="47">
        <v>0.29132378147064147</v>
      </c>
      <c r="AO114" s="20">
        <v>0.26570036666382507</v>
      </c>
      <c r="AP114" s="44">
        <v>-0.22114904246461284</v>
      </c>
      <c r="AQ114" s="46">
        <v>159018</v>
      </c>
      <c r="AR114" s="45">
        <v>363188</v>
      </c>
      <c r="AS114" s="22">
        <v>2.2152812835044E-4</v>
      </c>
      <c r="AT114" s="22">
        <v>0.99339788683211394</v>
      </c>
      <c r="AU114" s="22" t="s">
        <v>215</v>
      </c>
      <c r="AV114" s="22" t="s">
        <v>152</v>
      </c>
      <c r="AW114" s="22" t="s">
        <v>216</v>
      </c>
      <c r="AX114" s="23">
        <v>6329</v>
      </c>
      <c r="AY114" s="24">
        <v>8.1193072482360495</v>
      </c>
      <c r="AZ114" s="23">
        <v>1125</v>
      </c>
      <c r="BA114" s="26">
        <v>685</v>
      </c>
      <c r="BB114" s="44" t="s">
        <v>154</v>
      </c>
      <c r="BC114" s="26">
        <v>25.983333333333334</v>
      </c>
      <c r="BD114" s="23">
        <v>30</v>
      </c>
      <c r="BE114" s="26">
        <v>1559</v>
      </c>
      <c r="BF114" s="26">
        <v>2338.5</v>
      </c>
      <c r="BG114" s="24"/>
      <c r="BI114" s="26"/>
      <c r="BJ114" s="23"/>
      <c r="BK114" s="26"/>
      <c r="BL114" s="27"/>
      <c r="BN114" s="13"/>
      <c r="BO114" s="43"/>
      <c r="BP114" s="42"/>
    </row>
    <row r="115" spans="1:68" s="1" customFormat="1" x14ac:dyDescent="0.3">
      <c r="A115" s="12" t="s">
        <v>604</v>
      </c>
      <c r="B115" s="12">
        <v>104001</v>
      </c>
      <c r="C115" s="13" t="s">
        <v>603</v>
      </c>
      <c r="D115" s="13" t="s">
        <v>53</v>
      </c>
      <c r="E115" s="14">
        <v>22</v>
      </c>
      <c r="F115" s="15" t="s">
        <v>137</v>
      </c>
      <c r="G115" s="6">
        <v>868</v>
      </c>
      <c r="H115" s="6">
        <v>708</v>
      </c>
      <c r="I115" s="6">
        <v>878</v>
      </c>
      <c r="J115" s="6">
        <v>827</v>
      </c>
      <c r="K115" s="6">
        <v>976</v>
      </c>
      <c r="L115" s="6">
        <v>572</v>
      </c>
      <c r="M115" s="6">
        <v>553</v>
      </c>
      <c r="N115" s="6">
        <v>465</v>
      </c>
      <c r="O115" s="6">
        <v>281</v>
      </c>
      <c r="P115" s="6">
        <v>0</v>
      </c>
      <c r="Q115" s="6">
        <v>0</v>
      </c>
      <c r="R115" s="6">
        <v>771</v>
      </c>
      <c r="S115" s="6">
        <v>929</v>
      </c>
      <c r="T115" s="6">
        <v>539</v>
      </c>
      <c r="U115" s="6">
        <v>605</v>
      </c>
      <c r="V115" s="6">
        <v>657</v>
      </c>
      <c r="W115" s="6">
        <v>398</v>
      </c>
      <c r="X115" s="6">
        <v>584</v>
      </c>
      <c r="Y115" s="6">
        <v>359</v>
      </c>
      <c r="Z115" s="6">
        <v>634</v>
      </c>
      <c r="AA115" s="6">
        <v>447</v>
      </c>
      <c r="AB115" s="6">
        <v>604</v>
      </c>
      <c r="AC115" s="6">
        <v>636</v>
      </c>
      <c r="AD115" s="6">
        <v>594</v>
      </c>
      <c r="AE115" s="6">
        <v>6899</v>
      </c>
      <c r="AF115" s="6">
        <v>6986</v>
      </c>
      <c r="AG115" s="16">
        <v>13885</v>
      </c>
      <c r="AH115" s="17">
        <v>574.91666666666663</v>
      </c>
      <c r="AI115" s="17">
        <v>582.16666666666663</v>
      </c>
      <c r="AJ115" s="17">
        <v>578.54166666666663</v>
      </c>
      <c r="AK115" s="49">
        <v>2.0108331404701798E-3</v>
      </c>
      <c r="AL115" s="48">
        <v>146.6206194933238</v>
      </c>
      <c r="AM115" s="19">
        <v>251.5288866056967</v>
      </c>
      <c r="AN115" s="47">
        <v>0.25185334009732119</v>
      </c>
      <c r="AO115" s="20">
        <v>0.43476364987660937</v>
      </c>
      <c r="AP115" s="44">
        <v>1.2610523264241195E-2</v>
      </c>
      <c r="AQ115" s="46">
        <v>153692</v>
      </c>
      <c r="AR115" s="45">
        <v>305470</v>
      </c>
      <c r="AS115" s="22">
        <v>1.8632277874601835E-4</v>
      </c>
      <c r="AT115" s="22">
        <v>0.99459907435443684</v>
      </c>
      <c r="AU115" s="22" t="s">
        <v>215</v>
      </c>
      <c r="AV115" s="22" t="s">
        <v>152</v>
      </c>
      <c r="AW115" s="22" t="s">
        <v>216</v>
      </c>
      <c r="AX115" s="23">
        <v>10552</v>
      </c>
      <c r="AY115" s="24">
        <v>18.125393644431721</v>
      </c>
      <c r="AZ115" s="23">
        <v>1260</v>
      </c>
      <c r="BA115" s="26">
        <v>600</v>
      </c>
      <c r="BB115" s="44" t="s">
        <v>154</v>
      </c>
      <c r="BC115" s="26">
        <v>19.405555555555555</v>
      </c>
      <c r="BD115" s="23">
        <v>30</v>
      </c>
      <c r="BE115" s="26">
        <v>1164.3333333333333</v>
      </c>
      <c r="BF115" s="26">
        <v>1746.5</v>
      </c>
      <c r="BG115" s="24"/>
      <c r="BI115" s="26"/>
      <c r="BJ115" s="23"/>
      <c r="BK115" s="26"/>
      <c r="BL115" s="27"/>
      <c r="BN115" s="13"/>
      <c r="BO115" s="43"/>
      <c r="BP115" s="42"/>
    </row>
    <row r="116" spans="1:68" s="1" customFormat="1" x14ac:dyDescent="0.3">
      <c r="A116" s="12" t="s">
        <v>602</v>
      </c>
      <c r="B116" s="12">
        <v>104033</v>
      </c>
      <c r="C116" s="13" t="s">
        <v>601</v>
      </c>
      <c r="D116" s="13" t="s">
        <v>53</v>
      </c>
      <c r="E116" s="14">
        <v>66</v>
      </c>
      <c r="F116" s="15" t="s">
        <v>137</v>
      </c>
      <c r="G116" s="6">
        <v>132</v>
      </c>
      <c r="H116" s="6">
        <v>242</v>
      </c>
      <c r="I116" s="6">
        <v>144</v>
      </c>
      <c r="J116" s="6">
        <v>198</v>
      </c>
      <c r="K116" s="6">
        <v>274</v>
      </c>
      <c r="L116" s="6">
        <v>42</v>
      </c>
      <c r="M116" s="6">
        <v>178</v>
      </c>
      <c r="N116" s="6">
        <v>134</v>
      </c>
      <c r="O116" s="6">
        <v>140</v>
      </c>
      <c r="P116" s="6">
        <v>204</v>
      </c>
      <c r="Q116" s="6">
        <v>75</v>
      </c>
      <c r="R116" s="6">
        <v>219</v>
      </c>
      <c r="S116" s="6">
        <v>72</v>
      </c>
      <c r="T116" s="6">
        <v>207</v>
      </c>
      <c r="U116" s="6">
        <v>145</v>
      </c>
      <c r="V116" s="6">
        <v>201</v>
      </c>
      <c r="W116" s="6">
        <v>108</v>
      </c>
      <c r="X116" s="6">
        <v>191</v>
      </c>
      <c r="Y116" s="6">
        <v>196</v>
      </c>
      <c r="Z116" s="6">
        <v>138</v>
      </c>
      <c r="AA116" s="6">
        <v>145</v>
      </c>
      <c r="AB116" s="6">
        <v>127</v>
      </c>
      <c r="AC116" s="6">
        <v>54</v>
      </c>
      <c r="AD116" s="6">
        <v>60</v>
      </c>
      <c r="AE116" s="6">
        <v>1982</v>
      </c>
      <c r="AF116" s="6">
        <v>1644</v>
      </c>
      <c r="AG116" s="16">
        <v>3626</v>
      </c>
      <c r="AH116" s="17">
        <v>165.16666666666666</v>
      </c>
      <c r="AI116" s="17">
        <v>137</v>
      </c>
      <c r="AJ116" s="17">
        <v>151.08333333333331</v>
      </c>
      <c r="AK116" s="49">
        <v>4.7320493600529288E-4</v>
      </c>
      <c r="AL116" s="48">
        <v>55.190578906186516</v>
      </c>
      <c r="AM116" s="19">
        <v>61.896067632813306</v>
      </c>
      <c r="AN116" s="47">
        <v>0.40285094092106949</v>
      </c>
      <c r="AO116" s="20">
        <v>0.40968163904785426</v>
      </c>
      <c r="AP116" s="44">
        <v>-0.17053481331987885</v>
      </c>
      <c r="AQ116" s="46">
        <v>108504</v>
      </c>
      <c r="AR116" s="45">
        <v>239316</v>
      </c>
      <c r="AS116" s="22">
        <v>1.4597185359734876E-4</v>
      </c>
      <c r="AT116" s="22">
        <v>0.99642394942745072</v>
      </c>
      <c r="AU116" s="22" t="s">
        <v>215</v>
      </c>
      <c r="AV116" s="22" t="s">
        <v>152</v>
      </c>
      <c r="AW116" s="22" t="s">
        <v>216</v>
      </c>
      <c r="AX116" s="23">
        <v>1784</v>
      </c>
      <c r="AY116" s="24">
        <v>13.021897810218977</v>
      </c>
      <c r="AZ116" s="23">
        <v>126</v>
      </c>
      <c r="BA116" s="26">
        <v>70</v>
      </c>
      <c r="BB116" s="44" t="s">
        <v>154</v>
      </c>
      <c r="BC116" s="26">
        <v>4.5666666666666664</v>
      </c>
      <c r="BD116" s="23">
        <v>30</v>
      </c>
      <c r="BE116" s="26">
        <v>274</v>
      </c>
      <c r="BF116" s="26">
        <v>411</v>
      </c>
      <c r="BG116" s="24"/>
      <c r="BI116" s="26"/>
      <c r="BJ116" s="23"/>
      <c r="BK116" s="26"/>
      <c r="BL116" s="27"/>
      <c r="BN116" s="13"/>
      <c r="BO116" s="43"/>
      <c r="BP116" s="42"/>
    </row>
    <row r="117" spans="1:68" s="1" customFormat="1" x14ac:dyDescent="0.3">
      <c r="A117" s="12" t="s">
        <v>600</v>
      </c>
      <c r="B117" s="12">
        <v>104016</v>
      </c>
      <c r="C117" s="13" t="s">
        <v>599</v>
      </c>
      <c r="D117" s="13" t="s">
        <v>53</v>
      </c>
      <c r="E117" s="14">
        <v>14</v>
      </c>
      <c r="F117" s="15" t="s">
        <v>137</v>
      </c>
      <c r="G117" s="6">
        <v>992</v>
      </c>
      <c r="H117" s="6">
        <v>784</v>
      </c>
      <c r="I117" s="6">
        <v>1116</v>
      </c>
      <c r="J117" s="6">
        <v>800</v>
      </c>
      <c r="K117" s="6">
        <v>809</v>
      </c>
      <c r="L117" s="6">
        <v>635</v>
      </c>
      <c r="M117" s="6">
        <v>349</v>
      </c>
      <c r="N117" s="6">
        <v>832</v>
      </c>
      <c r="O117" s="6">
        <v>342</v>
      </c>
      <c r="P117" s="6">
        <v>732</v>
      </c>
      <c r="Q117" s="6">
        <v>638</v>
      </c>
      <c r="R117" s="6">
        <v>755</v>
      </c>
      <c r="S117" s="6">
        <v>691</v>
      </c>
      <c r="T117" s="6">
        <v>438</v>
      </c>
      <c r="U117" s="6">
        <v>398</v>
      </c>
      <c r="V117" s="6">
        <v>492</v>
      </c>
      <c r="W117" s="6">
        <v>475</v>
      </c>
      <c r="X117" s="6">
        <v>694</v>
      </c>
      <c r="Y117" s="6">
        <v>379</v>
      </c>
      <c r="Z117" s="6">
        <v>1044</v>
      </c>
      <c r="AA117" s="6">
        <v>551</v>
      </c>
      <c r="AB117" s="6">
        <v>636</v>
      </c>
      <c r="AC117" s="6">
        <v>676</v>
      </c>
      <c r="AD117" s="6">
        <v>622</v>
      </c>
      <c r="AE117" s="6">
        <v>8784</v>
      </c>
      <c r="AF117" s="6">
        <v>7096</v>
      </c>
      <c r="AG117" s="16">
        <v>15880</v>
      </c>
      <c r="AH117" s="17">
        <v>732</v>
      </c>
      <c r="AI117" s="17">
        <v>591.33333333333337</v>
      </c>
      <c r="AJ117" s="17">
        <v>661.66666666666674</v>
      </c>
      <c r="AK117" s="49">
        <v>2.0424952712247923E-3</v>
      </c>
      <c r="AL117" s="48">
        <v>182.52936667005045</v>
      </c>
      <c r="AM117" s="19">
        <v>212.75474074658115</v>
      </c>
      <c r="AN117" s="47">
        <v>0.30867423901361407</v>
      </c>
      <c r="AO117" s="20">
        <v>0.32154368878576495</v>
      </c>
      <c r="AP117" s="44">
        <v>-0.19216757741347901</v>
      </c>
      <c r="AQ117" s="46">
        <v>99344</v>
      </c>
      <c r="AR117" s="45">
        <v>222320</v>
      </c>
      <c r="AS117" s="22">
        <v>1.3560506815993322E-4</v>
      </c>
      <c r="AT117" s="22">
        <v>0.99669746519150371</v>
      </c>
      <c r="AU117" s="22" t="s">
        <v>215</v>
      </c>
      <c r="AV117" s="22" t="s">
        <v>152</v>
      </c>
      <c r="AW117" s="22" t="s">
        <v>216</v>
      </c>
      <c r="AX117" s="23">
        <v>6212</v>
      </c>
      <c r="AY117" s="24">
        <v>10.505073280721533</v>
      </c>
      <c r="AZ117" s="23">
        <v>1050</v>
      </c>
      <c r="BA117" s="26">
        <v>600</v>
      </c>
      <c r="BB117" s="44" t="s">
        <v>154</v>
      </c>
      <c r="BC117" s="26">
        <v>19.711111111111112</v>
      </c>
      <c r="BD117" s="23">
        <v>30</v>
      </c>
      <c r="BE117" s="26">
        <v>1182.6666666666667</v>
      </c>
      <c r="BF117" s="26">
        <v>1774</v>
      </c>
      <c r="BG117" s="24"/>
      <c r="BI117" s="26"/>
      <c r="BJ117" s="23"/>
      <c r="BK117" s="26"/>
      <c r="BL117" s="27"/>
      <c r="BN117" s="13"/>
      <c r="BO117" s="43"/>
      <c r="BP117" s="42"/>
    </row>
    <row r="118" spans="1:68" s="1" customFormat="1" x14ac:dyDescent="0.3">
      <c r="A118" s="12" t="s">
        <v>598</v>
      </c>
      <c r="B118" s="12">
        <v>102155</v>
      </c>
      <c r="C118" s="13" t="s">
        <v>597</v>
      </c>
      <c r="D118" s="13" t="s">
        <v>53</v>
      </c>
      <c r="E118" s="14">
        <v>26</v>
      </c>
      <c r="F118" s="15" t="s">
        <v>137</v>
      </c>
      <c r="G118" s="6">
        <v>412</v>
      </c>
      <c r="H118" s="6">
        <v>57</v>
      </c>
      <c r="I118" s="6">
        <v>108</v>
      </c>
      <c r="J118" s="6">
        <v>152</v>
      </c>
      <c r="K118" s="6">
        <v>232</v>
      </c>
      <c r="L118" s="6">
        <v>321</v>
      </c>
      <c r="M118" s="6">
        <v>290</v>
      </c>
      <c r="N118" s="6">
        <v>344</v>
      </c>
      <c r="O118" s="6">
        <v>214</v>
      </c>
      <c r="P118" s="6">
        <v>346</v>
      </c>
      <c r="Q118" s="6">
        <v>232</v>
      </c>
      <c r="R118" s="6">
        <v>311</v>
      </c>
      <c r="S118" s="6">
        <v>343</v>
      </c>
      <c r="T118" s="6">
        <v>341</v>
      </c>
      <c r="U118" s="6">
        <v>277</v>
      </c>
      <c r="V118" s="6">
        <v>256</v>
      </c>
      <c r="W118" s="6">
        <v>422</v>
      </c>
      <c r="X118" s="6">
        <v>365</v>
      </c>
      <c r="Y118" s="6">
        <v>563</v>
      </c>
      <c r="Z118" s="6">
        <v>468</v>
      </c>
      <c r="AA118" s="6">
        <v>406</v>
      </c>
      <c r="AB118" s="6">
        <v>512</v>
      </c>
      <c r="AC118" s="6">
        <v>348</v>
      </c>
      <c r="AD118" s="6">
        <v>468</v>
      </c>
      <c r="AE118" s="6">
        <v>3019</v>
      </c>
      <c r="AF118" s="6">
        <v>4769</v>
      </c>
      <c r="AG118" s="16">
        <v>7788</v>
      </c>
      <c r="AH118" s="17">
        <v>251.58333333333334</v>
      </c>
      <c r="AI118" s="17">
        <v>397.41666666666669</v>
      </c>
      <c r="AJ118" s="17">
        <v>324.5</v>
      </c>
      <c r="AK118" s="49">
        <v>1.3726972869885898E-3</v>
      </c>
      <c r="AL118" s="48">
        <v>93.090824011561537</v>
      </c>
      <c r="AM118" s="19">
        <v>122.74363527287271</v>
      </c>
      <c r="AN118" s="47">
        <v>0.23423985911904768</v>
      </c>
      <c r="AO118" s="20">
        <v>0.37825465415369092</v>
      </c>
      <c r="AP118" s="44">
        <v>0.57966213978138459</v>
      </c>
      <c r="AQ118" s="46">
        <v>123994</v>
      </c>
      <c r="AR118" s="45">
        <v>202488</v>
      </c>
      <c r="AS118" s="22">
        <v>1.2350845196819251E-4</v>
      </c>
      <c r="AT118" s="22">
        <v>0.99733723602051949</v>
      </c>
      <c r="AU118" s="22" t="s">
        <v>215</v>
      </c>
      <c r="AV118" s="22" t="s">
        <v>152</v>
      </c>
      <c r="AW118" s="22" t="s">
        <v>216</v>
      </c>
      <c r="AX118" s="23">
        <v>2501</v>
      </c>
      <c r="AY118" s="24">
        <v>6.2931432166072545</v>
      </c>
      <c r="AZ118" s="23">
        <v>875</v>
      </c>
      <c r="BA118" s="26">
        <v>500</v>
      </c>
      <c r="BB118" s="44" t="s">
        <v>154</v>
      </c>
      <c r="BC118" s="26">
        <v>13.247222222222224</v>
      </c>
      <c r="BD118" s="23">
        <v>30</v>
      </c>
      <c r="BE118" s="26">
        <v>794.83333333333337</v>
      </c>
      <c r="BF118" s="26">
        <v>1192.25</v>
      </c>
      <c r="BG118" s="24"/>
      <c r="BI118" s="26"/>
      <c r="BJ118" s="23"/>
      <c r="BK118" s="26"/>
      <c r="BL118" s="27"/>
      <c r="BN118" s="13"/>
      <c r="BO118" s="43"/>
      <c r="BP118" s="42"/>
    </row>
    <row r="119" spans="1:68" s="1" customFormat="1" x14ac:dyDescent="0.3">
      <c r="A119" s="12" t="s">
        <v>596</v>
      </c>
      <c r="B119" s="12">
        <v>104004</v>
      </c>
      <c r="C119" s="13" t="s">
        <v>595</v>
      </c>
      <c r="D119" s="13" t="s">
        <v>53</v>
      </c>
      <c r="E119" s="14">
        <v>29</v>
      </c>
      <c r="F119" s="15" t="s">
        <v>137</v>
      </c>
      <c r="G119" s="6">
        <v>331</v>
      </c>
      <c r="H119" s="6">
        <v>241</v>
      </c>
      <c r="I119" s="6">
        <v>405</v>
      </c>
      <c r="J119" s="6">
        <v>109</v>
      </c>
      <c r="K119" s="6">
        <v>306</v>
      </c>
      <c r="L119" s="6">
        <v>199</v>
      </c>
      <c r="M119" s="6">
        <v>205</v>
      </c>
      <c r="N119" s="6">
        <v>254</v>
      </c>
      <c r="O119" s="6">
        <v>227</v>
      </c>
      <c r="P119" s="6">
        <v>507</v>
      </c>
      <c r="Q119" s="6">
        <v>317</v>
      </c>
      <c r="R119" s="6">
        <v>204</v>
      </c>
      <c r="S119" s="6">
        <v>355</v>
      </c>
      <c r="T119" s="6">
        <v>43</v>
      </c>
      <c r="U119" s="6">
        <v>202</v>
      </c>
      <c r="V119" s="6">
        <v>358</v>
      </c>
      <c r="W119" s="6">
        <v>180</v>
      </c>
      <c r="X119" s="6">
        <v>240</v>
      </c>
      <c r="Y119" s="6">
        <v>185</v>
      </c>
      <c r="Z119" s="6">
        <v>345</v>
      </c>
      <c r="AA119" s="6">
        <v>249</v>
      </c>
      <c r="AB119" s="6">
        <v>340</v>
      </c>
      <c r="AC119" s="6">
        <v>360</v>
      </c>
      <c r="AD119" s="6">
        <v>300</v>
      </c>
      <c r="AE119" s="6">
        <v>3305</v>
      </c>
      <c r="AF119" s="6">
        <v>3157</v>
      </c>
      <c r="AG119" s="16">
        <v>6462</v>
      </c>
      <c r="AH119" s="17">
        <v>275.41666666666669</v>
      </c>
      <c r="AI119" s="17">
        <v>263.08333333333331</v>
      </c>
      <c r="AJ119" s="17">
        <v>269.25</v>
      </c>
      <c r="AK119" s="49">
        <v>9.0870315265736588E-4</v>
      </c>
      <c r="AL119" s="48">
        <v>98.506537238844587</v>
      </c>
      <c r="AM119" s="19">
        <v>100.30572830319703</v>
      </c>
      <c r="AN119" s="47">
        <v>0.37443093027118629</v>
      </c>
      <c r="AO119" s="20">
        <v>0.3725375238744551</v>
      </c>
      <c r="AP119" s="44">
        <v>-4.4780635400907848E-2</v>
      </c>
      <c r="AQ119" s="46">
        <v>91553</v>
      </c>
      <c r="AR119" s="45">
        <v>187398</v>
      </c>
      <c r="AS119" s="22">
        <v>1.1430423966820422E-4</v>
      </c>
      <c r="AT119" s="22">
        <v>0.99792983419407766</v>
      </c>
      <c r="AU119" s="22" t="s">
        <v>215</v>
      </c>
      <c r="AV119" s="22" t="s">
        <v>152</v>
      </c>
      <c r="AW119" s="22" t="s">
        <v>216</v>
      </c>
      <c r="AX119" s="23">
        <v>5638</v>
      </c>
      <c r="AY119" s="24">
        <v>21.430471967057333</v>
      </c>
      <c r="AZ119" s="23">
        <v>480</v>
      </c>
      <c r="BA119" s="26">
        <v>230</v>
      </c>
      <c r="BB119" s="44" t="s">
        <v>154</v>
      </c>
      <c r="BC119" s="26">
        <v>8.7694444444444439</v>
      </c>
      <c r="BD119" s="23">
        <v>30</v>
      </c>
      <c r="BE119" s="26">
        <v>526.16666666666663</v>
      </c>
      <c r="BF119" s="26">
        <v>789.25</v>
      </c>
      <c r="BG119" s="24"/>
      <c r="BI119" s="26"/>
      <c r="BJ119" s="23"/>
      <c r="BK119" s="26"/>
      <c r="BL119" s="27"/>
      <c r="BN119" s="13"/>
      <c r="BO119" s="43"/>
      <c r="BP119" s="42"/>
    </row>
    <row r="120" spans="1:68" s="1" customFormat="1" x14ac:dyDescent="0.3">
      <c r="A120" s="12" t="s">
        <v>594</v>
      </c>
      <c r="B120" s="12">
        <v>106024</v>
      </c>
      <c r="C120" s="13" t="s">
        <v>593</v>
      </c>
      <c r="D120" s="13" t="s">
        <v>44</v>
      </c>
      <c r="E120" s="14">
        <v>74</v>
      </c>
      <c r="F120" s="15" t="s">
        <v>137</v>
      </c>
      <c r="G120" s="6">
        <v>125</v>
      </c>
      <c r="H120" s="6">
        <v>123</v>
      </c>
      <c r="I120" s="6">
        <v>121</v>
      </c>
      <c r="J120" s="6">
        <v>130</v>
      </c>
      <c r="K120" s="6">
        <v>167</v>
      </c>
      <c r="L120" s="6">
        <v>111</v>
      </c>
      <c r="M120" s="6">
        <v>175</v>
      </c>
      <c r="N120" s="6">
        <v>97</v>
      </c>
      <c r="O120" s="6">
        <v>39</v>
      </c>
      <c r="P120" s="6">
        <v>134</v>
      </c>
      <c r="Q120" s="6">
        <v>64</v>
      </c>
      <c r="R120" s="6">
        <v>50</v>
      </c>
      <c r="S120" s="6">
        <v>46</v>
      </c>
      <c r="T120" s="6">
        <v>62</v>
      </c>
      <c r="U120" s="6">
        <v>106</v>
      </c>
      <c r="V120" s="6">
        <v>132</v>
      </c>
      <c r="W120" s="6">
        <v>20</v>
      </c>
      <c r="X120" s="6">
        <v>41</v>
      </c>
      <c r="Y120" s="6">
        <v>175</v>
      </c>
      <c r="Z120" s="6">
        <v>74</v>
      </c>
      <c r="AA120" s="6">
        <v>97</v>
      </c>
      <c r="AB120" s="6">
        <v>84</v>
      </c>
      <c r="AC120" s="6">
        <v>20</v>
      </c>
      <c r="AD120" s="6">
        <v>90</v>
      </c>
      <c r="AE120" s="6">
        <v>1336</v>
      </c>
      <c r="AF120" s="6">
        <v>947</v>
      </c>
      <c r="AG120" s="16">
        <v>2283</v>
      </c>
      <c r="AH120" s="17">
        <v>111.33333333333333</v>
      </c>
      <c r="AI120" s="17">
        <v>78.916666666666671</v>
      </c>
      <c r="AJ120" s="17">
        <v>95.125</v>
      </c>
      <c r="AK120" s="49">
        <v>2.7258216204197831E-4</v>
      </c>
      <c r="AL120" s="48">
        <v>45.759168645764483</v>
      </c>
      <c r="AM120" s="19">
        <v>46.254788236274614</v>
      </c>
      <c r="AN120" s="47">
        <v>0.57984163014696277</v>
      </c>
      <c r="AO120" s="20">
        <v>0.4862527015639907</v>
      </c>
      <c r="AP120" s="44">
        <v>-0.29116766467065863</v>
      </c>
      <c r="AQ120" s="46">
        <v>70078</v>
      </c>
      <c r="AR120" s="45">
        <v>168942</v>
      </c>
      <c r="AS120" s="22">
        <v>1.0304692076770168E-4</v>
      </c>
      <c r="AT120" s="22">
        <v>0.9982487732642924</v>
      </c>
      <c r="AU120" s="22" t="s">
        <v>215</v>
      </c>
      <c r="AV120" s="22" t="s">
        <v>152</v>
      </c>
      <c r="AW120" s="22" t="s">
        <v>216</v>
      </c>
      <c r="AX120" s="23">
        <v>542</v>
      </c>
      <c r="AY120" s="24">
        <v>6.868004223864836</v>
      </c>
      <c r="AZ120" s="23">
        <v>245</v>
      </c>
      <c r="BA120" s="26">
        <v>135</v>
      </c>
      <c r="BB120" s="44" t="s">
        <v>154</v>
      </c>
      <c r="BC120" s="26">
        <v>2.6305555555555555</v>
      </c>
      <c r="BD120" s="23">
        <v>30</v>
      </c>
      <c r="BE120" s="26">
        <v>157.83333333333334</v>
      </c>
      <c r="BF120" s="26">
        <v>236.75</v>
      </c>
      <c r="BG120" s="24"/>
      <c r="BI120" s="26"/>
      <c r="BJ120" s="23"/>
      <c r="BK120" s="26"/>
      <c r="BL120" s="27"/>
      <c r="BN120" s="13"/>
      <c r="BO120" s="43"/>
      <c r="BP120" s="42"/>
    </row>
    <row r="121" spans="1:68" s="1" customFormat="1" x14ac:dyDescent="0.3">
      <c r="A121" s="12" t="s">
        <v>592</v>
      </c>
      <c r="B121" s="12">
        <v>102067</v>
      </c>
      <c r="C121" s="13" t="s">
        <v>591</v>
      </c>
      <c r="D121" s="13" t="s">
        <v>64</v>
      </c>
      <c r="E121" s="14">
        <v>23</v>
      </c>
      <c r="F121" s="15" t="s">
        <v>137</v>
      </c>
      <c r="G121" s="6">
        <v>215</v>
      </c>
      <c r="H121" s="6">
        <v>141</v>
      </c>
      <c r="I121" s="6">
        <v>289</v>
      </c>
      <c r="J121" s="6">
        <v>499</v>
      </c>
      <c r="K121" s="6">
        <v>432</v>
      </c>
      <c r="L121" s="6">
        <v>211</v>
      </c>
      <c r="M121" s="6">
        <v>292</v>
      </c>
      <c r="N121" s="6">
        <v>282</v>
      </c>
      <c r="O121" s="6">
        <v>87</v>
      </c>
      <c r="P121" s="6">
        <v>247</v>
      </c>
      <c r="Q121" s="6">
        <v>142</v>
      </c>
      <c r="R121" s="6">
        <v>254</v>
      </c>
      <c r="S121" s="6">
        <v>191</v>
      </c>
      <c r="T121" s="6">
        <v>184</v>
      </c>
      <c r="U121" s="6">
        <v>172</v>
      </c>
      <c r="V121" s="6">
        <v>293</v>
      </c>
      <c r="W121" s="6">
        <v>375</v>
      </c>
      <c r="X121" s="6">
        <v>156</v>
      </c>
      <c r="Y121" s="6">
        <v>591</v>
      </c>
      <c r="Z121" s="6">
        <v>332</v>
      </c>
      <c r="AA121" s="6">
        <v>151</v>
      </c>
      <c r="AB121" s="6">
        <v>176</v>
      </c>
      <c r="AC121" s="6">
        <v>436</v>
      </c>
      <c r="AD121" s="6">
        <v>220</v>
      </c>
      <c r="AE121" s="6">
        <v>3091</v>
      </c>
      <c r="AF121" s="6">
        <v>3277</v>
      </c>
      <c r="AG121" s="16">
        <v>6368</v>
      </c>
      <c r="AH121" s="17">
        <v>257.58333333333331</v>
      </c>
      <c r="AI121" s="17">
        <v>273.08333333333331</v>
      </c>
      <c r="AJ121" s="17">
        <v>265.33333333333331</v>
      </c>
      <c r="AK121" s="49">
        <v>9.4324365893512453E-4</v>
      </c>
      <c r="AL121" s="48">
        <v>137.3829805082614</v>
      </c>
      <c r="AM121" s="19">
        <v>125.22767671123165</v>
      </c>
      <c r="AN121" s="47">
        <v>0.50308079526980065</v>
      </c>
      <c r="AO121" s="20">
        <v>0.4719636056955967</v>
      </c>
      <c r="AP121" s="44">
        <v>6.0174700744095769E-2</v>
      </c>
      <c r="AQ121" s="46">
        <v>75371</v>
      </c>
      <c r="AR121" s="45">
        <v>146464</v>
      </c>
      <c r="AS121" s="22">
        <v>8.9336365162722461E-5</v>
      </c>
      <c r="AT121" s="22">
        <v>0.99842745819370637</v>
      </c>
      <c r="AU121" s="22" t="s">
        <v>215</v>
      </c>
      <c r="AV121" s="22" t="s">
        <v>152</v>
      </c>
      <c r="AW121" s="22" t="s">
        <v>216</v>
      </c>
      <c r="AX121" s="23">
        <v>2514</v>
      </c>
      <c r="AY121" s="24">
        <v>9.2059810802563327</v>
      </c>
      <c r="AZ121" s="23">
        <v>280</v>
      </c>
      <c r="BA121" s="26">
        <v>155</v>
      </c>
      <c r="BB121" s="44" t="s">
        <v>154</v>
      </c>
      <c r="BC121" s="26">
        <v>9.1027777777777779</v>
      </c>
      <c r="BD121" s="23">
        <v>30</v>
      </c>
      <c r="BE121" s="26">
        <v>546.16666666666663</v>
      </c>
      <c r="BF121" s="26">
        <v>819.25</v>
      </c>
      <c r="BG121" s="24"/>
      <c r="BI121" s="26"/>
      <c r="BJ121" s="23"/>
      <c r="BK121" s="26"/>
      <c r="BL121" s="27"/>
      <c r="BN121" s="13"/>
      <c r="BO121" s="43"/>
      <c r="BP121" s="42"/>
    </row>
    <row r="122" spans="1:68" s="1" customFormat="1" x14ac:dyDescent="0.3">
      <c r="A122" s="12" t="s">
        <v>590</v>
      </c>
      <c r="B122" s="12">
        <v>104055</v>
      </c>
      <c r="C122" s="13" t="s">
        <v>589</v>
      </c>
      <c r="D122" s="13" t="s">
        <v>53</v>
      </c>
      <c r="E122" s="14">
        <v>17</v>
      </c>
      <c r="F122" s="15" t="s">
        <v>137</v>
      </c>
      <c r="G122" s="6">
        <v>266</v>
      </c>
      <c r="H122" s="6">
        <v>403</v>
      </c>
      <c r="I122" s="6">
        <v>465</v>
      </c>
      <c r="J122" s="6">
        <v>74</v>
      </c>
      <c r="K122" s="6">
        <v>540</v>
      </c>
      <c r="L122" s="6">
        <v>413</v>
      </c>
      <c r="M122" s="6">
        <v>338</v>
      </c>
      <c r="N122" s="6">
        <v>198</v>
      </c>
      <c r="O122" s="6">
        <v>379</v>
      </c>
      <c r="P122" s="6">
        <v>284</v>
      </c>
      <c r="Q122" s="6">
        <v>273</v>
      </c>
      <c r="R122" s="6">
        <v>210</v>
      </c>
      <c r="S122" s="6">
        <v>312</v>
      </c>
      <c r="T122" s="6">
        <v>346</v>
      </c>
      <c r="U122" s="6">
        <v>472</v>
      </c>
      <c r="V122" s="6">
        <v>537</v>
      </c>
      <c r="W122" s="6">
        <v>394</v>
      </c>
      <c r="X122" s="6">
        <v>380</v>
      </c>
      <c r="Y122" s="6">
        <v>261</v>
      </c>
      <c r="Z122" s="6">
        <v>395</v>
      </c>
      <c r="AA122" s="6">
        <v>391</v>
      </c>
      <c r="AB122" s="6">
        <v>405</v>
      </c>
      <c r="AC122" s="6">
        <v>480</v>
      </c>
      <c r="AD122" s="6">
        <v>248</v>
      </c>
      <c r="AE122" s="6">
        <v>3843</v>
      </c>
      <c r="AF122" s="6">
        <v>4621</v>
      </c>
      <c r="AG122" s="16">
        <v>8464</v>
      </c>
      <c r="AH122" s="17">
        <v>320.25</v>
      </c>
      <c r="AI122" s="17">
        <v>385.08333333333331</v>
      </c>
      <c r="AJ122" s="17">
        <v>352.66666666666663</v>
      </c>
      <c r="AK122" s="49">
        <v>1.3300973292460208E-3</v>
      </c>
      <c r="AL122" s="48">
        <v>85.988855867102572</v>
      </c>
      <c r="AM122" s="19">
        <v>112.14186150340684</v>
      </c>
      <c r="AN122" s="47">
        <v>0.22329934438546439</v>
      </c>
      <c r="AO122" s="20">
        <v>0.31798259405502888</v>
      </c>
      <c r="AP122" s="44">
        <v>0.20244600572469418</v>
      </c>
      <c r="AQ122" s="46">
        <v>78557</v>
      </c>
      <c r="AR122" s="45">
        <v>143888</v>
      </c>
      <c r="AS122" s="22">
        <v>8.7765122559357991E-5</v>
      </c>
      <c r="AT122" s="22">
        <v>0.99860317203510751</v>
      </c>
      <c r="AU122" s="22" t="s">
        <v>215</v>
      </c>
      <c r="AV122" s="22" t="s">
        <v>152</v>
      </c>
      <c r="AW122" s="22" t="s">
        <v>216</v>
      </c>
      <c r="AX122" s="23">
        <v>3959</v>
      </c>
      <c r="AY122" s="24">
        <v>10.280891581908678</v>
      </c>
      <c r="AZ122" s="23">
        <v>693</v>
      </c>
      <c r="BA122" s="26">
        <v>330</v>
      </c>
      <c r="BB122" s="44" t="s">
        <v>154</v>
      </c>
      <c r="BC122" s="26">
        <v>12.83611111111111</v>
      </c>
      <c r="BD122" s="23">
        <v>30</v>
      </c>
      <c r="BE122" s="26">
        <v>770.16666666666663</v>
      </c>
      <c r="BF122" s="26">
        <v>1155.25</v>
      </c>
      <c r="BG122" s="24"/>
      <c r="BI122" s="26"/>
      <c r="BJ122" s="23"/>
      <c r="BK122" s="26"/>
      <c r="BL122" s="27"/>
      <c r="BN122" s="13"/>
      <c r="BO122" s="43"/>
      <c r="BP122" s="42"/>
    </row>
    <row r="123" spans="1:68" s="1" customFormat="1" x14ac:dyDescent="0.3">
      <c r="A123" s="12" t="s">
        <v>588</v>
      </c>
      <c r="B123" s="12">
        <v>102148</v>
      </c>
      <c r="C123" s="13" t="s">
        <v>587</v>
      </c>
      <c r="D123" s="13" t="s">
        <v>62</v>
      </c>
      <c r="E123" s="14">
        <v>19</v>
      </c>
      <c r="F123" s="15" t="s">
        <v>137</v>
      </c>
      <c r="G123" s="6">
        <v>249</v>
      </c>
      <c r="H123" s="6">
        <v>148</v>
      </c>
      <c r="I123" s="6">
        <v>275</v>
      </c>
      <c r="J123" s="6">
        <v>221</v>
      </c>
      <c r="K123" s="6">
        <v>152</v>
      </c>
      <c r="L123" s="6">
        <v>114</v>
      </c>
      <c r="M123" s="6">
        <v>78</v>
      </c>
      <c r="N123" s="6">
        <v>108</v>
      </c>
      <c r="O123" s="6">
        <v>139</v>
      </c>
      <c r="P123" s="6">
        <v>290</v>
      </c>
      <c r="Q123" s="6">
        <v>243</v>
      </c>
      <c r="R123" s="6">
        <v>236</v>
      </c>
      <c r="S123" s="6">
        <v>116</v>
      </c>
      <c r="T123" s="6">
        <v>158</v>
      </c>
      <c r="U123" s="6">
        <v>331</v>
      </c>
      <c r="V123" s="6">
        <v>199</v>
      </c>
      <c r="W123" s="6">
        <v>308</v>
      </c>
      <c r="X123" s="6">
        <v>208</v>
      </c>
      <c r="Y123" s="6">
        <v>195</v>
      </c>
      <c r="Z123" s="6">
        <v>212</v>
      </c>
      <c r="AA123" s="6">
        <v>178</v>
      </c>
      <c r="AB123" s="6">
        <v>149</v>
      </c>
      <c r="AC123" s="6">
        <v>245</v>
      </c>
      <c r="AD123" s="6">
        <v>26</v>
      </c>
      <c r="AE123" s="6">
        <v>2253</v>
      </c>
      <c r="AF123" s="6">
        <v>2325</v>
      </c>
      <c r="AG123" s="16">
        <v>4578</v>
      </c>
      <c r="AH123" s="17">
        <v>187.75</v>
      </c>
      <c r="AI123" s="17">
        <v>193.75</v>
      </c>
      <c r="AJ123" s="17">
        <v>190.75</v>
      </c>
      <c r="AK123" s="49">
        <v>6.692223091315729E-4</v>
      </c>
      <c r="AL123" s="48">
        <v>81.350113147376192</v>
      </c>
      <c r="AM123" s="19">
        <v>75.295504802599339</v>
      </c>
      <c r="AN123" s="47">
        <v>0.41987155172839324</v>
      </c>
      <c r="AO123" s="20">
        <v>0.3947339701315824</v>
      </c>
      <c r="AP123" s="44">
        <v>3.1957390146471372E-2</v>
      </c>
      <c r="AQ123" s="46">
        <v>44175</v>
      </c>
      <c r="AR123" s="45">
        <v>86982</v>
      </c>
      <c r="AS123" s="22">
        <v>5.3055055949475128E-5</v>
      </c>
      <c r="AT123" s="22">
        <v>0.99927433477865168</v>
      </c>
      <c r="AU123" s="22" t="s">
        <v>215</v>
      </c>
      <c r="AV123" s="22" t="s">
        <v>152</v>
      </c>
      <c r="AW123" s="22" t="s">
        <v>216</v>
      </c>
      <c r="AX123" s="23">
        <v>1512</v>
      </c>
      <c r="AY123" s="24">
        <v>7.8038709677419353</v>
      </c>
      <c r="AZ123" s="23">
        <v>420</v>
      </c>
      <c r="BA123" s="26">
        <v>240</v>
      </c>
      <c r="BB123" s="44" t="s">
        <v>154</v>
      </c>
      <c r="BC123" s="26">
        <v>6.458333333333333</v>
      </c>
      <c r="BD123" s="23">
        <v>30</v>
      </c>
      <c r="BE123" s="26">
        <v>387.5</v>
      </c>
      <c r="BF123" s="26">
        <v>581.25</v>
      </c>
      <c r="BG123" s="24"/>
      <c r="BI123" s="26"/>
      <c r="BJ123" s="23"/>
      <c r="BK123" s="26"/>
      <c r="BL123" s="27"/>
      <c r="BN123" s="13"/>
      <c r="BO123" s="43"/>
      <c r="BP123" s="42"/>
    </row>
    <row r="124" spans="1:68" s="1" customFormat="1" x14ac:dyDescent="0.3">
      <c r="A124" s="12" t="s">
        <v>586</v>
      </c>
      <c r="B124" s="12">
        <v>102061</v>
      </c>
      <c r="C124" s="13" t="s">
        <v>585</v>
      </c>
      <c r="D124" s="13" t="s">
        <v>53</v>
      </c>
      <c r="E124" s="14">
        <v>9</v>
      </c>
      <c r="F124" s="15" t="s">
        <v>137</v>
      </c>
      <c r="G124" s="6">
        <v>260</v>
      </c>
      <c r="H124" s="6">
        <v>345</v>
      </c>
      <c r="I124" s="6">
        <v>417</v>
      </c>
      <c r="J124" s="6">
        <v>173</v>
      </c>
      <c r="K124" s="6">
        <v>380</v>
      </c>
      <c r="L124" s="6">
        <v>344</v>
      </c>
      <c r="M124" s="6">
        <v>424</v>
      </c>
      <c r="N124" s="6">
        <v>598</v>
      </c>
      <c r="O124" s="6">
        <v>589</v>
      </c>
      <c r="P124" s="6">
        <v>466</v>
      </c>
      <c r="Q124" s="6">
        <v>282</v>
      </c>
      <c r="R124" s="6">
        <v>318</v>
      </c>
      <c r="S124" s="6">
        <v>354</v>
      </c>
      <c r="T124" s="6">
        <v>340</v>
      </c>
      <c r="U124" s="6">
        <v>224</v>
      </c>
      <c r="V124" s="6">
        <v>300</v>
      </c>
      <c r="W124" s="6">
        <v>364</v>
      </c>
      <c r="X124" s="6">
        <v>240</v>
      </c>
      <c r="Y124" s="6">
        <v>364</v>
      </c>
      <c r="Z124" s="6">
        <v>224</v>
      </c>
      <c r="AA124" s="6">
        <v>401</v>
      </c>
      <c r="AB124" s="6">
        <v>408</v>
      </c>
      <c r="AC124" s="6">
        <v>516</v>
      </c>
      <c r="AD124" s="6">
        <v>345</v>
      </c>
      <c r="AE124" s="6">
        <v>4596</v>
      </c>
      <c r="AF124" s="6">
        <v>4080</v>
      </c>
      <c r="AG124" s="16">
        <v>8676</v>
      </c>
      <c r="AH124" s="17">
        <v>383</v>
      </c>
      <c r="AI124" s="17">
        <v>340</v>
      </c>
      <c r="AJ124" s="17">
        <v>361.5</v>
      </c>
      <c r="AK124" s="49">
        <v>1.1743772134437925E-3</v>
      </c>
      <c r="AL124" s="48">
        <v>84.856027803247159</v>
      </c>
      <c r="AM124" s="19">
        <v>107.40334380674359</v>
      </c>
      <c r="AN124" s="47">
        <v>0.24957655236249165</v>
      </c>
      <c r="AO124" s="20">
        <v>0.29710468549583291</v>
      </c>
      <c r="AP124" s="44">
        <v>-0.1122715404699739</v>
      </c>
      <c r="AQ124" s="46">
        <v>36720</v>
      </c>
      <c r="AR124" s="45">
        <v>78084</v>
      </c>
      <c r="AS124" s="22">
        <v>4.7627681460058586E-5</v>
      </c>
      <c r="AT124" s="22">
        <v>0.99942220725024289</v>
      </c>
      <c r="AU124" s="22" t="s">
        <v>215</v>
      </c>
      <c r="AV124" s="22" t="s">
        <v>152</v>
      </c>
      <c r="AW124" s="22" t="s">
        <v>216</v>
      </c>
      <c r="AX124" s="23">
        <v>1439</v>
      </c>
      <c r="AY124" s="24">
        <v>4.2323529411764707</v>
      </c>
      <c r="AZ124" s="23">
        <v>686</v>
      </c>
      <c r="BA124" s="26">
        <v>390</v>
      </c>
      <c r="BB124" s="44" t="s">
        <v>154</v>
      </c>
      <c r="BC124" s="26">
        <v>11.333333333333334</v>
      </c>
      <c r="BD124" s="23">
        <v>30</v>
      </c>
      <c r="BE124" s="26">
        <v>680</v>
      </c>
      <c r="BF124" s="26">
        <v>1020</v>
      </c>
      <c r="BG124" s="24"/>
      <c r="BI124" s="26"/>
      <c r="BJ124" s="23"/>
      <c r="BK124" s="26"/>
      <c r="BL124" s="27"/>
      <c r="BN124" s="13"/>
      <c r="BO124" s="43"/>
      <c r="BP124" s="42"/>
    </row>
    <row r="125" spans="1:68" s="1" customFormat="1" x14ac:dyDescent="0.3">
      <c r="A125" s="12" t="s">
        <v>584</v>
      </c>
      <c r="B125" s="12">
        <v>109007</v>
      </c>
      <c r="C125" s="13" t="s">
        <v>583</v>
      </c>
      <c r="D125" s="13" t="s">
        <v>53</v>
      </c>
      <c r="E125" s="14">
        <v>20</v>
      </c>
      <c r="F125" s="15" t="s">
        <v>137</v>
      </c>
      <c r="G125" s="6">
        <v>140</v>
      </c>
      <c r="H125" s="6">
        <v>37</v>
      </c>
      <c r="I125" s="6">
        <v>85</v>
      </c>
      <c r="J125" s="6">
        <v>132</v>
      </c>
      <c r="K125" s="6">
        <v>60</v>
      </c>
      <c r="L125" s="6">
        <v>178</v>
      </c>
      <c r="M125" s="6">
        <v>124</v>
      </c>
      <c r="N125" s="6">
        <v>167</v>
      </c>
      <c r="O125" s="6">
        <v>73</v>
      </c>
      <c r="P125" s="6">
        <v>153</v>
      </c>
      <c r="Q125" s="6">
        <v>154</v>
      </c>
      <c r="R125" s="6">
        <v>134</v>
      </c>
      <c r="S125" s="6">
        <v>94</v>
      </c>
      <c r="T125" s="6">
        <v>151</v>
      </c>
      <c r="U125" s="6">
        <v>206</v>
      </c>
      <c r="V125" s="6">
        <v>101</v>
      </c>
      <c r="W125" s="6">
        <v>141</v>
      </c>
      <c r="X125" s="6">
        <v>85</v>
      </c>
      <c r="Y125" s="6">
        <v>19</v>
      </c>
      <c r="Z125" s="6">
        <v>84</v>
      </c>
      <c r="AA125" s="6">
        <v>54</v>
      </c>
      <c r="AB125" s="6">
        <v>258</v>
      </c>
      <c r="AC125" s="6">
        <v>107</v>
      </c>
      <c r="AD125" s="6">
        <v>34</v>
      </c>
      <c r="AE125" s="6">
        <v>1437</v>
      </c>
      <c r="AF125" s="6">
        <v>1334</v>
      </c>
      <c r="AG125" s="16">
        <v>2771</v>
      </c>
      <c r="AH125" s="17">
        <v>119.75</v>
      </c>
      <c r="AI125" s="17">
        <v>111.16666666666667</v>
      </c>
      <c r="AJ125" s="17">
        <v>115.45833333333334</v>
      </c>
      <c r="AK125" s="49">
        <v>3.8397529478774982E-4</v>
      </c>
      <c r="AL125" s="48">
        <v>69.141269524902071</v>
      </c>
      <c r="AM125" s="19">
        <v>57.30314443657381</v>
      </c>
      <c r="AN125" s="47">
        <v>0.62196044550136798</v>
      </c>
      <c r="AO125" s="20">
        <v>0.49631016473394851</v>
      </c>
      <c r="AP125" s="44">
        <v>-7.1677105080027795E-2</v>
      </c>
      <c r="AQ125" s="46">
        <v>26680</v>
      </c>
      <c r="AR125" s="45">
        <v>55420</v>
      </c>
      <c r="AS125" s="22">
        <v>3.3803674331699795E-5</v>
      </c>
      <c r="AT125" s="22">
        <v>0.999663055075107</v>
      </c>
      <c r="AU125" s="22" t="s">
        <v>215</v>
      </c>
      <c r="AV125" s="22" t="s">
        <v>152</v>
      </c>
      <c r="AW125" s="22" t="s">
        <v>216</v>
      </c>
      <c r="AX125" s="23">
        <v>1039</v>
      </c>
      <c r="AY125" s="24">
        <v>9.3463268365817083</v>
      </c>
      <c r="AZ125" s="23">
        <v>60</v>
      </c>
      <c r="BA125" s="26">
        <v>30</v>
      </c>
      <c r="BB125" s="44" t="s">
        <v>154</v>
      </c>
      <c r="BC125" s="26">
        <v>3.7055555555555557</v>
      </c>
      <c r="BD125" s="23">
        <v>30</v>
      </c>
      <c r="BE125" s="26">
        <v>222.33333333333334</v>
      </c>
      <c r="BF125" s="26">
        <v>333.5</v>
      </c>
      <c r="BG125" s="24"/>
      <c r="BI125" s="26"/>
      <c r="BJ125" s="23"/>
      <c r="BK125" s="26"/>
      <c r="BL125" s="27"/>
      <c r="BN125" s="13"/>
      <c r="BO125" s="43"/>
      <c r="BP125" s="42"/>
    </row>
    <row r="126" spans="1:68" s="1" customFormat="1" x14ac:dyDescent="0.3">
      <c r="A126" s="12" t="s">
        <v>582</v>
      </c>
      <c r="B126" s="12">
        <v>102105</v>
      </c>
      <c r="C126" s="13" t="s">
        <v>581</v>
      </c>
      <c r="D126" s="13" t="s">
        <v>62</v>
      </c>
      <c r="E126" s="14">
        <v>30345</v>
      </c>
      <c r="F126" s="15" t="s">
        <v>137</v>
      </c>
      <c r="G126" s="6">
        <v>458</v>
      </c>
      <c r="H126" s="6">
        <v>401</v>
      </c>
      <c r="I126" s="6">
        <v>132</v>
      </c>
      <c r="J126" s="6">
        <v>0</v>
      </c>
      <c r="K126" s="6">
        <v>141</v>
      </c>
      <c r="L126" s="6">
        <v>77</v>
      </c>
      <c r="M126" s="6">
        <v>0</v>
      </c>
      <c r="N126" s="6">
        <v>367</v>
      </c>
      <c r="O126" s="6">
        <v>427</v>
      </c>
      <c r="P126" s="6">
        <v>62</v>
      </c>
      <c r="Q126" s="6">
        <v>0</v>
      </c>
      <c r="R126" s="6">
        <v>4</v>
      </c>
      <c r="S126" s="6">
        <v>0</v>
      </c>
      <c r="T126" s="6">
        <v>0</v>
      </c>
      <c r="U126" s="6">
        <v>0</v>
      </c>
      <c r="V126" s="6">
        <v>5</v>
      </c>
      <c r="W126" s="6">
        <v>391</v>
      </c>
      <c r="X126" s="6">
        <v>207</v>
      </c>
      <c r="Y126" s="6">
        <v>295</v>
      </c>
      <c r="Z126" s="6">
        <v>475</v>
      </c>
      <c r="AA126" s="6">
        <v>396</v>
      </c>
      <c r="AB126" s="6">
        <v>121</v>
      </c>
      <c r="AC126" s="6">
        <v>172</v>
      </c>
      <c r="AD126" s="6">
        <v>271</v>
      </c>
      <c r="AE126" s="6">
        <v>2069</v>
      </c>
      <c r="AF126" s="6">
        <v>2333</v>
      </c>
      <c r="AG126" s="16">
        <v>4402</v>
      </c>
      <c r="AH126" s="17">
        <v>172.41666666666666</v>
      </c>
      <c r="AI126" s="17">
        <v>194.41666666666666</v>
      </c>
      <c r="AJ126" s="17">
        <v>183.41666666666666</v>
      </c>
      <c r="AK126" s="49">
        <v>6.7152500955009018E-4</v>
      </c>
      <c r="AL126" s="48">
        <v>173.02467419067108</v>
      </c>
      <c r="AM126" s="19">
        <v>175.71763828881009</v>
      </c>
      <c r="AN126" s="47">
        <v>0.88996831988343461</v>
      </c>
      <c r="AO126" s="20">
        <v>0.95802437958460751</v>
      </c>
      <c r="AP126" s="44">
        <v>0.1275978733687772</v>
      </c>
      <c r="AQ126" s="46">
        <v>70794885</v>
      </c>
      <c r="AR126" s="45">
        <v>133578690</v>
      </c>
      <c r="AS126" s="22">
        <v>8.1476913287893971E-2</v>
      </c>
      <c r="AT126" s="22">
        <v>8.1476913287893971E-2</v>
      </c>
      <c r="AU126" s="22" t="s">
        <v>151</v>
      </c>
      <c r="AV126" s="22" t="s">
        <v>166</v>
      </c>
      <c r="AW126" s="22" t="s">
        <v>167</v>
      </c>
      <c r="AX126" s="23">
        <v>320</v>
      </c>
      <c r="AY126" s="24">
        <v>1.6459494213459067</v>
      </c>
      <c r="AZ126" s="23">
        <v>600</v>
      </c>
      <c r="BA126" s="26">
        <v>360</v>
      </c>
      <c r="BB126" s="44" t="s">
        <v>198</v>
      </c>
      <c r="BC126" s="26">
        <v>6.4805555555555552</v>
      </c>
      <c r="BD126" s="23">
        <v>30</v>
      </c>
      <c r="BE126" s="26">
        <v>388.83333333333331</v>
      </c>
      <c r="BF126" s="26">
        <v>583.25</v>
      </c>
      <c r="BG126" s="24"/>
      <c r="BI126" s="26"/>
      <c r="BJ126" s="23"/>
      <c r="BK126" s="26"/>
      <c r="BL126" s="27"/>
      <c r="BN126" s="13"/>
      <c r="BO126" s="43"/>
      <c r="BP126" s="42"/>
    </row>
    <row r="127" spans="1:68" s="1" customFormat="1" x14ac:dyDescent="0.3">
      <c r="A127" s="12" t="s">
        <v>580</v>
      </c>
      <c r="B127" s="12">
        <v>109046</v>
      </c>
      <c r="C127" s="13" t="s">
        <v>579</v>
      </c>
      <c r="D127" s="13" t="s">
        <v>137</v>
      </c>
      <c r="E127" s="14">
        <v>22134</v>
      </c>
      <c r="F127" s="15" t="s">
        <v>137</v>
      </c>
      <c r="G127" s="6">
        <v>69</v>
      </c>
      <c r="H127" s="6">
        <v>0</v>
      </c>
      <c r="I127" s="6">
        <v>0</v>
      </c>
      <c r="J127" s="6">
        <v>149</v>
      </c>
      <c r="K127" s="6">
        <v>251</v>
      </c>
      <c r="L127" s="6">
        <v>0</v>
      </c>
      <c r="M127" s="6">
        <v>0</v>
      </c>
      <c r="N127" s="6">
        <v>0</v>
      </c>
      <c r="O127" s="6">
        <v>0</v>
      </c>
      <c r="P127" s="6">
        <v>210</v>
      </c>
      <c r="Q127" s="6">
        <v>744</v>
      </c>
      <c r="R127" s="6">
        <v>736</v>
      </c>
      <c r="S127" s="6">
        <v>379</v>
      </c>
      <c r="T127" s="6">
        <v>408</v>
      </c>
      <c r="U127" s="6">
        <v>565</v>
      </c>
      <c r="V127" s="6">
        <v>139</v>
      </c>
      <c r="W127" s="6">
        <v>0</v>
      </c>
      <c r="X127" s="6">
        <v>6</v>
      </c>
      <c r="Y127" s="6">
        <v>0</v>
      </c>
      <c r="Z127" s="6">
        <v>0</v>
      </c>
      <c r="AA127" s="6">
        <v>128</v>
      </c>
      <c r="AB127" s="6">
        <v>426</v>
      </c>
      <c r="AC127" s="6">
        <v>321</v>
      </c>
      <c r="AD127" s="6">
        <v>189</v>
      </c>
      <c r="AE127" s="6">
        <v>2159</v>
      </c>
      <c r="AF127" s="6">
        <v>2561</v>
      </c>
      <c r="AG127" s="16">
        <v>4720</v>
      </c>
      <c r="AH127" s="17">
        <v>179.91666666666666</v>
      </c>
      <c r="AI127" s="17">
        <v>213.41666666666666</v>
      </c>
      <c r="AJ127" s="17">
        <v>196.66666666666666</v>
      </c>
      <c r="AK127" s="49">
        <v>7.3715197147783146E-4</v>
      </c>
      <c r="AL127" s="48">
        <v>199.71546047193027</v>
      </c>
      <c r="AM127" s="19">
        <v>236.49040180296439</v>
      </c>
      <c r="AN127" s="47">
        <v>0.9358006738239607</v>
      </c>
      <c r="AO127" s="20">
        <v>1.2024935684896494</v>
      </c>
      <c r="AP127" s="44">
        <v>0.18619731357109773</v>
      </c>
      <c r="AQ127" s="46">
        <v>56685174</v>
      </c>
      <c r="AR127" s="45">
        <v>104472480</v>
      </c>
      <c r="AS127" s="22">
        <v>6.3723451651840859E-2</v>
      </c>
      <c r="AT127" s="22">
        <v>0.14520036493973482</v>
      </c>
      <c r="AU127" s="22" t="s">
        <v>151</v>
      </c>
      <c r="AV127" s="22" t="s">
        <v>166</v>
      </c>
      <c r="AW127" s="22" t="s">
        <v>167</v>
      </c>
      <c r="AX127" s="23">
        <v>192</v>
      </c>
      <c r="AY127" s="24">
        <v>0.89964857477547833</v>
      </c>
      <c r="AZ127" s="23">
        <v>420</v>
      </c>
      <c r="BA127" s="26">
        <v>280</v>
      </c>
      <c r="BB127" s="44" t="s">
        <v>198</v>
      </c>
      <c r="BC127" s="26">
        <v>7.1138888888888889</v>
      </c>
      <c r="BD127" s="23">
        <v>30</v>
      </c>
      <c r="BE127" s="26">
        <v>426.83333333333331</v>
      </c>
      <c r="BF127" s="26">
        <v>640.25</v>
      </c>
      <c r="BG127" s="24"/>
      <c r="BI127" s="26"/>
      <c r="BJ127" s="23"/>
      <c r="BK127" s="26"/>
      <c r="BL127" s="27"/>
      <c r="BN127" s="13"/>
      <c r="BO127" s="43"/>
      <c r="BP127" s="42"/>
    </row>
    <row r="128" spans="1:68" s="1" customFormat="1" x14ac:dyDescent="0.3">
      <c r="A128" s="12" t="s">
        <v>578</v>
      </c>
      <c r="B128" s="12">
        <v>102137</v>
      </c>
      <c r="C128" s="13" t="s">
        <v>577</v>
      </c>
      <c r="D128" s="13" t="s">
        <v>62</v>
      </c>
      <c r="E128" s="14">
        <v>1144</v>
      </c>
      <c r="F128" s="15" t="s">
        <v>137</v>
      </c>
      <c r="G128" s="6">
        <v>3380</v>
      </c>
      <c r="H128" s="6">
        <v>2450</v>
      </c>
      <c r="I128" s="6">
        <v>3200</v>
      </c>
      <c r="J128" s="6">
        <v>1250</v>
      </c>
      <c r="K128" s="6">
        <v>4800</v>
      </c>
      <c r="L128" s="6">
        <v>2750</v>
      </c>
      <c r="M128" s="6">
        <v>3000</v>
      </c>
      <c r="N128" s="6">
        <v>2950</v>
      </c>
      <c r="O128" s="6">
        <v>2836</v>
      </c>
      <c r="P128" s="6">
        <v>0</v>
      </c>
      <c r="Q128" s="6">
        <v>0</v>
      </c>
      <c r="R128" s="6">
        <v>50</v>
      </c>
      <c r="S128" s="6">
        <v>170</v>
      </c>
      <c r="T128" s="6">
        <v>372</v>
      </c>
      <c r="U128" s="6">
        <v>2104</v>
      </c>
      <c r="V128" s="6">
        <v>1810</v>
      </c>
      <c r="W128" s="6">
        <v>2962</v>
      </c>
      <c r="X128" s="6">
        <v>2007</v>
      </c>
      <c r="Y128" s="6">
        <v>3542</v>
      </c>
      <c r="Z128" s="6">
        <v>3950</v>
      </c>
      <c r="AA128" s="6">
        <v>2523</v>
      </c>
      <c r="AB128" s="6">
        <v>4066</v>
      </c>
      <c r="AC128" s="6">
        <v>1717</v>
      </c>
      <c r="AD128" s="6">
        <v>3383</v>
      </c>
      <c r="AE128" s="6">
        <v>26666</v>
      </c>
      <c r="AF128" s="6">
        <v>28606</v>
      </c>
      <c r="AG128" s="16">
        <v>55272</v>
      </c>
      <c r="AH128" s="17">
        <v>2222.1666666666665</v>
      </c>
      <c r="AI128" s="17">
        <v>2383.8333333333335</v>
      </c>
      <c r="AJ128" s="17">
        <v>2303</v>
      </c>
      <c r="AK128" s="49">
        <v>8.2338810215130225E-3</v>
      </c>
      <c r="AL128" s="48">
        <v>1276.3115773290795</v>
      </c>
      <c r="AM128" s="19">
        <v>1389.3852253237135</v>
      </c>
      <c r="AN128" s="47">
        <v>0.53540302481818336</v>
      </c>
      <c r="AO128" s="20">
        <v>0.60329362801724429</v>
      </c>
      <c r="AP128" s="44">
        <v>7.2751818795470033E-2</v>
      </c>
      <c r="AQ128" s="46">
        <v>32725264</v>
      </c>
      <c r="AR128" s="45">
        <v>63231168</v>
      </c>
      <c r="AS128" s="22">
        <v>3.856813083155896E-2</v>
      </c>
      <c r="AT128" s="22">
        <v>0.22263126630861377</v>
      </c>
      <c r="AU128" s="22" t="s">
        <v>151</v>
      </c>
      <c r="AV128" s="22" t="s">
        <v>166</v>
      </c>
      <c r="AW128" s="22" t="s">
        <v>167</v>
      </c>
      <c r="AX128" s="23">
        <v>4153</v>
      </c>
      <c r="AY128" s="24">
        <v>1.7421519960847374</v>
      </c>
      <c r="AZ128" s="23">
        <v>5075</v>
      </c>
      <c r="BA128" s="26">
        <v>2900</v>
      </c>
      <c r="BB128" s="44" t="s">
        <v>154</v>
      </c>
      <c r="BC128" s="26">
        <v>79.461111111111123</v>
      </c>
      <c r="BD128" s="23">
        <v>30</v>
      </c>
      <c r="BE128" s="26">
        <v>4767.666666666667</v>
      </c>
      <c r="BF128" s="26">
        <v>7151.5</v>
      </c>
      <c r="BG128" s="24"/>
      <c r="BH128" s="1" t="s">
        <v>576</v>
      </c>
      <c r="BI128" s="26">
        <v>10715.384615384615</v>
      </c>
      <c r="BJ128" s="23">
        <v>9.4522973804609563E-3</v>
      </c>
      <c r="BK128" s="26"/>
      <c r="BL128" s="27"/>
      <c r="BN128" s="13"/>
      <c r="BO128" s="43"/>
      <c r="BP128" s="42"/>
    </row>
    <row r="129" spans="1:68" s="1" customFormat="1" x14ac:dyDescent="0.3">
      <c r="A129" s="12" t="s">
        <v>575</v>
      </c>
      <c r="B129" s="12">
        <v>106073</v>
      </c>
      <c r="C129" s="13" t="s">
        <v>574</v>
      </c>
      <c r="D129" s="13" t="s">
        <v>47</v>
      </c>
      <c r="E129" s="14">
        <v>21950</v>
      </c>
      <c r="F129" s="15" t="s">
        <v>137</v>
      </c>
      <c r="G129" s="6">
        <v>101</v>
      </c>
      <c r="H129" s="6">
        <v>129</v>
      </c>
      <c r="I129" s="6">
        <v>64</v>
      </c>
      <c r="J129" s="6">
        <v>96</v>
      </c>
      <c r="K129" s="6">
        <v>102</v>
      </c>
      <c r="L129" s="6">
        <v>124</v>
      </c>
      <c r="M129" s="6">
        <v>173</v>
      </c>
      <c r="N129" s="6">
        <v>95</v>
      </c>
      <c r="O129" s="6">
        <v>18</v>
      </c>
      <c r="P129" s="6">
        <v>113</v>
      </c>
      <c r="Q129" s="6">
        <v>214</v>
      </c>
      <c r="R129" s="6">
        <v>84</v>
      </c>
      <c r="S129" s="6">
        <v>23</v>
      </c>
      <c r="T129" s="6">
        <v>145</v>
      </c>
      <c r="U129" s="6">
        <v>145</v>
      </c>
      <c r="V129" s="6">
        <v>176</v>
      </c>
      <c r="W129" s="6">
        <v>29</v>
      </c>
      <c r="X129" s="6">
        <v>101</v>
      </c>
      <c r="Y129" s="6">
        <v>141</v>
      </c>
      <c r="Z129" s="6">
        <v>122</v>
      </c>
      <c r="AA129" s="6">
        <v>82</v>
      </c>
      <c r="AB129" s="6">
        <v>235</v>
      </c>
      <c r="AC129" s="6">
        <v>0</v>
      </c>
      <c r="AD129" s="6">
        <v>92</v>
      </c>
      <c r="AE129" s="6">
        <v>1313</v>
      </c>
      <c r="AF129" s="6">
        <v>1291</v>
      </c>
      <c r="AG129" s="16">
        <v>2604</v>
      </c>
      <c r="AH129" s="17">
        <v>109.41666666666667</v>
      </c>
      <c r="AI129" s="17">
        <v>107.58333333333333</v>
      </c>
      <c r="AJ129" s="17">
        <v>108.5</v>
      </c>
      <c r="AK129" s="49">
        <v>3.7159828003821961E-4</v>
      </c>
      <c r="AL129" s="48">
        <v>68.013980291933464</v>
      </c>
      <c r="AM129" s="19">
        <v>58.262524311348159</v>
      </c>
      <c r="AN129" s="47">
        <v>0.63219811270581072</v>
      </c>
      <c r="AO129" s="20">
        <v>0.53698179088800146</v>
      </c>
      <c r="AP129" s="44">
        <v>-1.6755521706016841E-2</v>
      </c>
      <c r="AQ129" s="46">
        <v>28337450</v>
      </c>
      <c r="AR129" s="45">
        <v>57157800</v>
      </c>
      <c r="AS129" s="22">
        <v>3.4863653134544037E-2</v>
      </c>
      <c r="AT129" s="22">
        <v>0.25749491944315783</v>
      </c>
      <c r="AU129" s="22" t="s">
        <v>151</v>
      </c>
      <c r="AV129" s="22" t="s">
        <v>166</v>
      </c>
      <c r="AW129" s="22" t="s">
        <v>167</v>
      </c>
      <c r="AX129" s="23">
        <v>320</v>
      </c>
      <c r="AY129" s="24">
        <v>2.9744384198295895</v>
      </c>
      <c r="AZ129" s="23">
        <v>210</v>
      </c>
      <c r="BA129" s="26">
        <v>120</v>
      </c>
      <c r="BB129" s="44" t="s">
        <v>154</v>
      </c>
      <c r="BC129" s="26">
        <v>3.5861111111111108</v>
      </c>
      <c r="BD129" s="23">
        <v>30</v>
      </c>
      <c r="BE129" s="26">
        <v>215.16666666666666</v>
      </c>
      <c r="BF129" s="26">
        <v>322.75</v>
      </c>
      <c r="BG129" s="24"/>
      <c r="BI129" s="26"/>
      <c r="BJ129" s="23"/>
      <c r="BK129" s="26"/>
      <c r="BL129" s="27"/>
      <c r="BN129" s="13"/>
      <c r="BO129" s="43"/>
      <c r="BP129" s="42"/>
    </row>
    <row r="130" spans="1:68" s="1" customFormat="1" x14ac:dyDescent="0.3">
      <c r="A130" s="12" t="s">
        <v>573</v>
      </c>
      <c r="B130" s="12">
        <v>102052</v>
      </c>
      <c r="C130" s="13" t="s">
        <v>572</v>
      </c>
      <c r="D130" s="13" t="s">
        <v>62</v>
      </c>
      <c r="E130" s="14">
        <v>8834</v>
      </c>
      <c r="F130" s="15" t="s">
        <v>137</v>
      </c>
      <c r="G130" s="6">
        <v>12</v>
      </c>
      <c r="H130" s="6">
        <v>35</v>
      </c>
      <c r="I130" s="6">
        <v>349</v>
      </c>
      <c r="J130" s="6">
        <v>338</v>
      </c>
      <c r="K130" s="6">
        <v>366</v>
      </c>
      <c r="L130" s="6">
        <v>406</v>
      </c>
      <c r="M130" s="6">
        <v>174</v>
      </c>
      <c r="N130" s="6">
        <v>174</v>
      </c>
      <c r="O130" s="6">
        <v>108</v>
      </c>
      <c r="P130" s="6">
        <v>270</v>
      </c>
      <c r="Q130" s="6">
        <v>349</v>
      </c>
      <c r="R130" s="6">
        <v>412</v>
      </c>
      <c r="S130" s="6">
        <v>127</v>
      </c>
      <c r="T130" s="6">
        <v>84</v>
      </c>
      <c r="U130" s="6">
        <v>276</v>
      </c>
      <c r="V130" s="6">
        <v>120</v>
      </c>
      <c r="W130" s="6">
        <v>174</v>
      </c>
      <c r="X130" s="6">
        <v>102</v>
      </c>
      <c r="Y130" s="6">
        <v>138</v>
      </c>
      <c r="Z130" s="6">
        <v>156</v>
      </c>
      <c r="AA130" s="6">
        <v>228</v>
      </c>
      <c r="AB130" s="6">
        <v>99</v>
      </c>
      <c r="AC130" s="6">
        <v>191</v>
      </c>
      <c r="AD130" s="6">
        <v>0</v>
      </c>
      <c r="AE130" s="6">
        <v>2993</v>
      </c>
      <c r="AF130" s="6">
        <v>1695</v>
      </c>
      <c r="AG130" s="16">
        <v>4688</v>
      </c>
      <c r="AH130" s="17">
        <v>249.41666666666666</v>
      </c>
      <c r="AI130" s="17">
        <v>141.25</v>
      </c>
      <c r="AJ130" s="17">
        <v>195.33333333333331</v>
      </c>
      <c r="AK130" s="49">
        <v>4.8788465117334024E-4</v>
      </c>
      <c r="AL130" s="48">
        <v>71.775058975309037</v>
      </c>
      <c r="AM130" s="19">
        <v>123.92693031771188</v>
      </c>
      <c r="AN130" s="47">
        <v>0.50814201044466578</v>
      </c>
      <c r="AO130" s="20">
        <v>0.63443820981763765</v>
      </c>
      <c r="AP130" s="44">
        <v>-0.43367858336117604</v>
      </c>
      <c r="AQ130" s="46">
        <v>14973630</v>
      </c>
      <c r="AR130" s="45">
        <v>41413792</v>
      </c>
      <c r="AS130" s="22">
        <v>2.5260525759811518E-2</v>
      </c>
      <c r="AT130" s="22">
        <v>0.40026134114688927</v>
      </c>
      <c r="AU130" s="22" t="s">
        <v>151</v>
      </c>
      <c r="AV130" s="22" t="s">
        <v>166</v>
      </c>
      <c r="AW130" s="22" t="s">
        <v>167</v>
      </c>
      <c r="AX130" s="23">
        <v>150</v>
      </c>
      <c r="AY130" s="24">
        <v>1.0619469026548674</v>
      </c>
      <c r="AZ130" s="23">
        <v>290</v>
      </c>
      <c r="BA130" s="26">
        <v>210</v>
      </c>
      <c r="BB130" s="44" t="s">
        <v>198</v>
      </c>
      <c r="BC130" s="26">
        <v>4.708333333333333</v>
      </c>
      <c r="BD130" s="23">
        <v>30</v>
      </c>
      <c r="BE130" s="26">
        <v>282.5</v>
      </c>
      <c r="BF130" s="26">
        <v>423.75</v>
      </c>
      <c r="BG130" s="24"/>
      <c r="BI130" s="26"/>
      <c r="BJ130" s="23"/>
      <c r="BK130" s="26"/>
      <c r="BL130" s="27"/>
      <c r="BN130" s="13"/>
      <c r="BO130" s="43"/>
      <c r="BP130" s="42"/>
    </row>
    <row r="131" spans="1:68" s="1" customFormat="1" x14ac:dyDescent="0.3">
      <c r="A131" s="12" t="s">
        <v>571</v>
      </c>
      <c r="B131" s="12">
        <v>108031</v>
      </c>
      <c r="C131" s="13" t="s">
        <v>570</v>
      </c>
      <c r="D131" s="13" t="s">
        <v>62</v>
      </c>
      <c r="E131" s="14">
        <v>48106</v>
      </c>
      <c r="F131" s="15" t="s">
        <v>137</v>
      </c>
      <c r="G131" s="6">
        <v>41</v>
      </c>
      <c r="H131" s="6">
        <v>57</v>
      </c>
      <c r="I131" s="6">
        <v>74</v>
      </c>
      <c r="J131" s="6">
        <v>46</v>
      </c>
      <c r="K131" s="6">
        <v>24</v>
      </c>
      <c r="L131" s="6">
        <v>24</v>
      </c>
      <c r="M131" s="6">
        <v>43</v>
      </c>
      <c r="N131" s="6">
        <v>41</v>
      </c>
      <c r="O131" s="6">
        <v>72</v>
      </c>
      <c r="P131" s="6">
        <v>50</v>
      </c>
      <c r="Q131" s="6">
        <v>15</v>
      </c>
      <c r="R131" s="6">
        <v>0</v>
      </c>
      <c r="S131" s="6">
        <v>3</v>
      </c>
      <c r="T131" s="6">
        <v>42</v>
      </c>
      <c r="U131" s="6">
        <v>75</v>
      </c>
      <c r="V131" s="6">
        <v>12</v>
      </c>
      <c r="W131" s="6">
        <v>21</v>
      </c>
      <c r="X131" s="6">
        <v>7</v>
      </c>
      <c r="Y131" s="6">
        <v>21</v>
      </c>
      <c r="Z131" s="6">
        <v>45</v>
      </c>
      <c r="AA131" s="6">
        <v>42</v>
      </c>
      <c r="AB131" s="6">
        <v>20</v>
      </c>
      <c r="AC131" s="6">
        <v>0</v>
      </c>
      <c r="AD131" s="6">
        <v>6</v>
      </c>
      <c r="AE131" s="6">
        <v>487</v>
      </c>
      <c r="AF131" s="6">
        <v>294</v>
      </c>
      <c r="AG131" s="16">
        <v>781</v>
      </c>
      <c r="AH131" s="17">
        <v>40.583333333333336</v>
      </c>
      <c r="AI131" s="17">
        <v>24.5</v>
      </c>
      <c r="AJ131" s="17">
        <v>32.541666666666671</v>
      </c>
      <c r="AK131" s="49">
        <v>8.462424038050857E-5</v>
      </c>
      <c r="AL131" s="48">
        <v>22.350513518607453</v>
      </c>
      <c r="AM131" s="19">
        <v>23.215398125919087</v>
      </c>
      <c r="AN131" s="47">
        <v>0.91226585790234505</v>
      </c>
      <c r="AO131" s="20">
        <v>0.71340532013067604</v>
      </c>
      <c r="AP131" s="44">
        <v>-0.39630390143737171</v>
      </c>
      <c r="AQ131" s="46">
        <v>14143164</v>
      </c>
      <c r="AR131" s="45">
        <v>37570786</v>
      </c>
      <c r="AS131" s="22">
        <v>2.2916467238000469E-2</v>
      </c>
      <c r="AT131" s="22">
        <v>0.44827000624145386</v>
      </c>
      <c r="AU131" s="22" t="s">
        <v>151</v>
      </c>
      <c r="AV131" s="22" t="s">
        <v>166</v>
      </c>
      <c r="AW131" s="22" t="s">
        <v>167</v>
      </c>
      <c r="AX131" s="23">
        <v>84</v>
      </c>
      <c r="AY131" s="24">
        <v>3.4285714285714284</v>
      </c>
      <c r="AZ131" s="23">
        <v>49</v>
      </c>
      <c r="BA131" s="26">
        <v>27</v>
      </c>
      <c r="BB131" s="44" t="s">
        <v>154</v>
      </c>
      <c r="BC131" s="26">
        <v>0.81666666666666665</v>
      </c>
      <c r="BD131" s="23">
        <v>30</v>
      </c>
      <c r="BE131" s="26">
        <v>49</v>
      </c>
      <c r="BF131" s="26">
        <v>73.5</v>
      </c>
      <c r="BG131" s="24"/>
      <c r="BI131" s="26"/>
      <c r="BJ131" s="23"/>
      <c r="BK131" s="26"/>
      <c r="BL131" s="27"/>
      <c r="BN131" s="13"/>
      <c r="BO131" s="43"/>
      <c r="BP131" s="42"/>
    </row>
    <row r="132" spans="1:68" s="1" customFormat="1" x14ac:dyDescent="0.3">
      <c r="A132" s="12" t="s">
        <v>569</v>
      </c>
      <c r="B132" s="12">
        <v>107006</v>
      </c>
      <c r="C132" s="13" t="s">
        <v>568</v>
      </c>
      <c r="D132" s="13" t="s">
        <v>137</v>
      </c>
      <c r="E132" s="14">
        <v>4126</v>
      </c>
      <c r="F132" s="15" t="s">
        <v>137</v>
      </c>
      <c r="G132" s="6">
        <v>793</v>
      </c>
      <c r="H132" s="6">
        <v>613</v>
      </c>
      <c r="I132" s="6">
        <v>694</v>
      </c>
      <c r="J132" s="6">
        <v>610</v>
      </c>
      <c r="K132" s="6">
        <v>678</v>
      </c>
      <c r="L132" s="6">
        <v>609</v>
      </c>
      <c r="M132" s="6">
        <v>767</v>
      </c>
      <c r="N132" s="6">
        <v>769</v>
      </c>
      <c r="O132" s="6">
        <v>666</v>
      </c>
      <c r="P132" s="6">
        <v>528</v>
      </c>
      <c r="Q132" s="6">
        <v>67</v>
      </c>
      <c r="R132" s="6">
        <v>277</v>
      </c>
      <c r="S132" s="6">
        <v>53</v>
      </c>
      <c r="T132" s="6">
        <v>5</v>
      </c>
      <c r="U132" s="6">
        <v>2</v>
      </c>
      <c r="V132" s="6">
        <v>7</v>
      </c>
      <c r="W132" s="6">
        <v>1</v>
      </c>
      <c r="X132" s="6">
        <v>0</v>
      </c>
      <c r="Y132" s="6">
        <v>27</v>
      </c>
      <c r="Z132" s="6">
        <v>131</v>
      </c>
      <c r="AA132" s="6">
        <v>128</v>
      </c>
      <c r="AB132" s="6">
        <v>326</v>
      </c>
      <c r="AC132" s="6">
        <v>320</v>
      </c>
      <c r="AD132" s="6">
        <v>333</v>
      </c>
      <c r="AE132" s="6">
        <v>7071</v>
      </c>
      <c r="AF132" s="6">
        <v>1333</v>
      </c>
      <c r="AG132" s="16">
        <v>8404</v>
      </c>
      <c r="AH132" s="17">
        <v>589.25</v>
      </c>
      <c r="AI132" s="17">
        <v>111.08333333333333</v>
      </c>
      <c r="AJ132" s="17">
        <v>350.16666666666669</v>
      </c>
      <c r="AK132" s="49">
        <v>3.8368745723543513E-4</v>
      </c>
      <c r="AL132" s="48">
        <v>137.7259850924907</v>
      </c>
      <c r="AM132" s="19">
        <v>301.16103834077336</v>
      </c>
      <c r="AN132" s="47">
        <v>1.2398438267891136</v>
      </c>
      <c r="AO132" s="20">
        <v>0.86005056165856264</v>
      </c>
      <c r="AP132" s="44">
        <v>-0.81148352425399517</v>
      </c>
      <c r="AQ132" s="46">
        <v>5499958</v>
      </c>
      <c r="AR132" s="45">
        <v>34674904</v>
      </c>
      <c r="AS132" s="22">
        <v>2.1150111192691348E-2</v>
      </c>
      <c r="AT132" s="22">
        <v>0.46942011743414519</v>
      </c>
      <c r="AU132" s="22" t="s">
        <v>151</v>
      </c>
      <c r="AV132" s="22" t="s">
        <v>166</v>
      </c>
      <c r="AW132" s="22" t="s">
        <v>167</v>
      </c>
      <c r="AX132" s="23">
        <v>2988</v>
      </c>
      <c r="AY132" s="24">
        <v>26.898724681170293</v>
      </c>
      <c r="AZ132" s="23">
        <v>910</v>
      </c>
      <c r="BA132" s="26">
        <v>450</v>
      </c>
      <c r="BB132" s="44" t="s">
        <v>154</v>
      </c>
      <c r="BC132" s="26">
        <v>3.7027777777777775</v>
      </c>
      <c r="BD132" s="23">
        <v>30</v>
      </c>
      <c r="BE132" s="26">
        <v>222.16666666666666</v>
      </c>
      <c r="BF132" s="26">
        <v>333.25</v>
      </c>
      <c r="BG132" s="24"/>
      <c r="BI132" s="26"/>
      <c r="BJ132" s="23"/>
      <c r="BK132" s="26"/>
      <c r="BL132" s="27"/>
      <c r="BN132" s="13"/>
      <c r="BO132" s="43"/>
      <c r="BP132" s="42"/>
    </row>
    <row r="133" spans="1:68" s="1" customFormat="1" x14ac:dyDescent="0.3">
      <c r="A133" s="12" t="s">
        <v>567</v>
      </c>
      <c r="B133" s="12">
        <v>101093</v>
      </c>
      <c r="C133" s="13" t="s">
        <v>566</v>
      </c>
      <c r="D133" s="13" t="s">
        <v>62</v>
      </c>
      <c r="E133" s="14">
        <v>98854</v>
      </c>
      <c r="F133" s="15" t="s">
        <v>137</v>
      </c>
      <c r="G133" s="6">
        <v>0</v>
      </c>
      <c r="H133" s="6">
        <v>25</v>
      </c>
      <c r="I133" s="6">
        <v>2</v>
      </c>
      <c r="J133" s="6">
        <v>24</v>
      </c>
      <c r="K133" s="6">
        <v>0</v>
      </c>
      <c r="L133" s="6">
        <v>24</v>
      </c>
      <c r="M133" s="6">
        <v>6</v>
      </c>
      <c r="N133" s="6">
        <v>0</v>
      </c>
      <c r="O133" s="6">
        <v>0</v>
      </c>
      <c r="P133" s="6">
        <v>0</v>
      </c>
      <c r="Q133" s="6">
        <v>34</v>
      </c>
      <c r="R133" s="6">
        <v>36</v>
      </c>
      <c r="S133" s="6">
        <v>49</v>
      </c>
      <c r="T133" s="6">
        <v>0</v>
      </c>
      <c r="U133" s="6">
        <v>0</v>
      </c>
      <c r="V133" s="6">
        <v>45</v>
      </c>
      <c r="W133" s="6">
        <v>24</v>
      </c>
      <c r="X133" s="6">
        <v>0</v>
      </c>
      <c r="Y133" s="6">
        <v>0</v>
      </c>
      <c r="Z133" s="6">
        <v>6</v>
      </c>
      <c r="AA133" s="6">
        <v>0</v>
      </c>
      <c r="AB133" s="6">
        <v>17</v>
      </c>
      <c r="AC133" s="6">
        <v>0</v>
      </c>
      <c r="AD133" s="6">
        <v>27</v>
      </c>
      <c r="AE133" s="6">
        <v>151</v>
      </c>
      <c r="AF133" s="6">
        <v>168</v>
      </c>
      <c r="AG133" s="16">
        <v>319</v>
      </c>
      <c r="AH133" s="17">
        <v>12.583333333333334</v>
      </c>
      <c r="AI133" s="17">
        <v>14</v>
      </c>
      <c r="AJ133" s="17">
        <v>13.291666666666668</v>
      </c>
      <c r="AK133" s="49">
        <v>4.8356708788862044E-5</v>
      </c>
      <c r="AL133" s="48">
        <v>18.35013004660383</v>
      </c>
      <c r="AM133" s="19">
        <v>16.265405183920301</v>
      </c>
      <c r="AN133" s="47">
        <v>1.3107235747574164</v>
      </c>
      <c r="AO133" s="20">
        <v>1.2237295436178282</v>
      </c>
      <c r="AP133" s="44">
        <v>0.11258278145695359</v>
      </c>
      <c r="AQ133" s="46">
        <v>16607472</v>
      </c>
      <c r="AR133" s="45">
        <v>31534426</v>
      </c>
      <c r="AS133" s="22">
        <v>1.9234562734411525E-2</v>
      </c>
      <c r="AT133" s="22">
        <v>0.50909143746004981</v>
      </c>
      <c r="AU133" s="22" t="s">
        <v>151</v>
      </c>
      <c r="AV133" s="22" t="s">
        <v>166</v>
      </c>
      <c r="AW133" s="22" t="s">
        <v>167</v>
      </c>
      <c r="AX133" s="23">
        <v>113</v>
      </c>
      <c r="AY133" s="24">
        <v>8.0714285714285712</v>
      </c>
      <c r="AZ133" s="23">
        <v>88</v>
      </c>
      <c r="BA133" s="26">
        <v>50</v>
      </c>
      <c r="BB133" s="44" t="s">
        <v>154</v>
      </c>
      <c r="BC133" s="26">
        <v>0.46666666666666667</v>
      </c>
      <c r="BD133" s="23">
        <v>30</v>
      </c>
      <c r="BE133" s="26">
        <v>28</v>
      </c>
      <c r="BF133" s="26">
        <v>42</v>
      </c>
      <c r="BG133" s="24"/>
      <c r="BI133" s="26"/>
      <c r="BJ133" s="23"/>
      <c r="BK133" s="26"/>
      <c r="BL133" s="27"/>
      <c r="BN133" s="13"/>
      <c r="BO133" s="43"/>
      <c r="BP133" s="42"/>
    </row>
    <row r="134" spans="1:68" s="1" customFormat="1" x14ac:dyDescent="0.3">
      <c r="A134" s="12" t="s">
        <v>565</v>
      </c>
      <c r="B134" s="12">
        <v>102147</v>
      </c>
      <c r="C134" s="13" t="s">
        <v>564</v>
      </c>
      <c r="D134" s="13" t="s">
        <v>62</v>
      </c>
      <c r="E134" s="14">
        <v>57477</v>
      </c>
      <c r="F134" s="15" t="s">
        <v>137</v>
      </c>
      <c r="G134" s="6">
        <v>2</v>
      </c>
      <c r="H134" s="6">
        <v>27</v>
      </c>
      <c r="I134" s="6">
        <v>21</v>
      </c>
      <c r="J134" s="6">
        <v>11</v>
      </c>
      <c r="K134" s="6">
        <v>30</v>
      </c>
      <c r="L134" s="6">
        <v>56</v>
      </c>
      <c r="M134" s="6">
        <v>24</v>
      </c>
      <c r="N134" s="6">
        <v>4</v>
      </c>
      <c r="O134" s="6">
        <v>12</v>
      </c>
      <c r="P134" s="6">
        <v>43</v>
      </c>
      <c r="Q134" s="6">
        <v>58</v>
      </c>
      <c r="R134" s="6">
        <v>4</v>
      </c>
      <c r="S134" s="6">
        <v>24</v>
      </c>
      <c r="T134" s="6">
        <v>29</v>
      </c>
      <c r="U134" s="6">
        <v>26</v>
      </c>
      <c r="V134" s="6">
        <v>50</v>
      </c>
      <c r="W134" s="6">
        <v>8</v>
      </c>
      <c r="X134" s="6">
        <v>15</v>
      </c>
      <c r="Y134" s="6">
        <v>10</v>
      </c>
      <c r="Z134" s="6">
        <v>20</v>
      </c>
      <c r="AA134" s="6">
        <v>8</v>
      </c>
      <c r="AB134" s="6">
        <v>21</v>
      </c>
      <c r="AC134" s="6">
        <v>1</v>
      </c>
      <c r="AD134" s="6">
        <v>25</v>
      </c>
      <c r="AE134" s="6">
        <v>292</v>
      </c>
      <c r="AF134" s="6">
        <v>237</v>
      </c>
      <c r="AG134" s="16">
        <v>529</v>
      </c>
      <c r="AH134" s="17">
        <v>24.333333333333332</v>
      </c>
      <c r="AI134" s="17">
        <v>19.75</v>
      </c>
      <c r="AJ134" s="17">
        <v>22.041666666666664</v>
      </c>
      <c r="AK134" s="49">
        <v>6.8217499898573234E-5</v>
      </c>
      <c r="AL134" s="48">
        <v>12.906129621934758</v>
      </c>
      <c r="AM134" s="19">
        <v>16.350719081824924</v>
      </c>
      <c r="AN134" s="47">
        <v>0.65347491756631682</v>
      </c>
      <c r="AO134" s="20">
        <v>0.74180956136823861</v>
      </c>
      <c r="AP134" s="44">
        <v>-0.18835616438356159</v>
      </c>
      <c r="AQ134" s="46">
        <v>13622049</v>
      </c>
      <c r="AR134" s="45">
        <v>30405333</v>
      </c>
      <c r="AS134" s="22">
        <v>1.8545867460824338E-2</v>
      </c>
      <c r="AT134" s="22">
        <v>0.52763730492087413</v>
      </c>
      <c r="AU134" s="22" t="s">
        <v>151</v>
      </c>
      <c r="AV134" s="22" t="s">
        <v>166</v>
      </c>
      <c r="AW134" s="22" t="s">
        <v>167</v>
      </c>
      <c r="AX134" s="23">
        <v>30</v>
      </c>
      <c r="AY134" s="24">
        <v>1.518987341772152</v>
      </c>
      <c r="AZ134" s="23">
        <v>44</v>
      </c>
      <c r="BA134" s="26">
        <v>25</v>
      </c>
      <c r="BB134" s="44" t="s">
        <v>154</v>
      </c>
      <c r="BC134" s="26">
        <v>0.65833333333333333</v>
      </c>
      <c r="BD134" s="23">
        <v>30</v>
      </c>
      <c r="BE134" s="26">
        <v>39.5</v>
      </c>
      <c r="BF134" s="26">
        <v>59.25</v>
      </c>
      <c r="BG134" s="24"/>
      <c r="BI134" s="26"/>
      <c r="BJ134" s="23"/>
      <c r="BK134" s="26"/>
      <c r="BL134" s="27"/>
      <c r="BN134" s="13"/>
      <c r="BO134" s="43"/>
      <c r="BP134" s="42"/>
    </row>
    <row r="135" spans="1:68" s="1" customFormat="1" x14ac:dyDescent="0.3">
      <c r="A135" s="12" t="s">
        <v>563</v>
      </c>
      <c r="B135" s="12">
        <v>108028</v>
      </c>
      <c r="C135" s="13" t="s">
        <v>562</v>
      </c>
      <c r="D135" s="13" t="s">
        <v>62</v>
      </c>
      <c r="E135" s="14">
        <v>51230</v>
      </c>
      <c r="F135" s="15" t="s">
        <v>137</v>
      </c>
      <c r="G135" s="6">
        <v>18</v>
      </c>
      <c r="H135" s="6">
        <v>34</v>
      </c>
      <c r="I135" s="6">
        <v>25</v>
      </c>
      <c r="J135" s="6">
        <v>0</v>
      </c>
      <c r="K135" s="6">
        <v>6</v>
      </c>
      <c r="L135" s="6">
        <v>4</v>
      </c>
      <c r="M135" s="6">
        <v>52</v>
      </c>
      <c r="N135" s="6">
        <v>47</v>
      </c>
      <c r="O135" s="6">
        <v>36</v>
      </c>
      <c r="P135" s="6">
        <v>34</v>
      </c>
      <c r="Q135" s="6">
        <v>7</v>
      </c>
      <c r="R135" s="6">
        <v>68</v>
      </c>
      <c r="S135" s="6">
        <v>15</v>
      </c>
      <c r="T135" s="6">
        <v>0</v>
      </c>
      <c r="U135" s="6">
        <v>16</v>
      </c>
      <c r="V135" s="6">
        <v>0</v>
      </c>
      <c r="W135" s="6">
        <v>0</v>
      </c>
      <c r="X135" s="6">
        <v>0</v>
      </c>
      <c r="Y135" s="6">
        <v>6</v>
      </c>
      <c r="Z135" s="6">
        <v>0</v>
      </c>
      <c r="AA135" s="6">
        <v>16</v>
      </c>
      <c r="AB135" s="6">
        <v>27</v>
      </c>
      <c r="AC135" s="6">
        <v>7</v>
      </c>
      <c r="AD135" s="6">
        <v>37</v>
      </c>
      <c r="AE135" s="6">
        <v>331</v>
      </c>
      <c r="AF135" s="6">
        <v>124</v>
      </c>
      <c r="AG135" s="16">
        <v>455</v>
      </c>
      <c r="AH135" s="17">
        <v>27.583333333333332</v>
      </c>
      <c r="AI135" s="17">
        <v>10.333333333333334</v>
      </c>
      <c r="AJ135" s="17">
        <v>18.958333333333332</v>
      </c>
      <c r="AK135" s="49">
        <v>3.5691856487017222E-5</v>
      </c>
      <c r="AL135" s="48">
        <v>12.205314292130989</v>
      </c>
      <c r="AM135" s="19">
        <v>19.211588818406881</v>
      </c>
      <c r="AN135" s="47">
        <v>1.1811594476255796</v>
      </c>
      <c r="AO135" s="20">
        <v>1.0133585310808026</v>
      </c>
      <c r="AP135" s="44">
        <v>-0.62537764350453173</v>
      </c>
      <c r="AQ135" s="46">
        <v>6352520</v>
      </c>
      <c r="AR135" s="45">
        <v>23309650</v>
      </c>
      <c r="AS135" s="22">
        <v>1.4217824204004081E-2</v>
      </c>
      <c r="AT135" s="22">
        <v>0.57328323468907993</v>
      </c>
      <c r="AU135" s="22" t="s">
        <v>151</v>
      </c>
      <c r="AV135" s="22" t="s">
        <v>166</v>
      </c>
      <c r="AW135" s="22" t="s">
        <v>167</v>
      </c>
      <c r="AX135" s="23">
        <v>69</v>
      </c>
      <c r="AY135" s="24">
        <v>6.6774193548387091</v>
      </c>
      <c r="AZ135" s="23">
        <v>28</v>
      </c>
      <c r="BA135" s="26">
        <v>12</v>
      </c>
      <c r="BB135" s="44" t="s">
        <v>154</v>
      </c>
      <c r="BC135" s="26">
        <v>0.34444444444444444</v>
      </c>
      <c r="BD135" s="23">
        <v>30</v>
      </c>
      <c r="BE135" s="26">
        <v>20.666666666666668</v>
      </c>
      <c r="BF135" s="26">
        <v>31</v>
      </c>
      <c r="BG135" s="24"/>
      <c r="BI135" s="26"/>
      <c r="BJ135" s="23"/>
      <c r="BK135" s="26"/>
      <c r="BL135" s="27"/>
      <c r="BN135" s="13"/>
      <c r="BO135" s="43"/>
      <c r="BP135" s="42"/>
    </row>
    <row r="136" spans="1:68" s="1" customFormat="1" x14ac:dyDescent="0.3">
      <c r="A136" s="12" t="s">
        <v>561</v>
      </c>
      <c r="B136" s="12">
        <v>102085</v>
      </c>
      <c r="C136" s="13" t="s">
        <v>560</v>
      </c>
      <c r="D136" s="13" t="s">
        <v>116</v>
      </c>
      <c r="E136" s="14">
        <v>7140</v>
      </c>
      <c r="F136" s="15" t="s">
        <v>137</v>
      </c>
      <c r="G136" s="6">
        <v>122</v>
      </c>
      <c r="H136" s="6">
        <v>112</v>
      </c>
      <c r="I136" s="6">
        <v>149</v>
      </c>
      <c r="J136" s="6">
        <v>116.2</v>
      </c>
      <c r="K136" s="6">
        <v>114</v>
      </c>
      <c r="L136" s="6">
        <v>206</v>
      </c>
      <c r="M136" s="6">
        <v>148</v>
      </c>
      <c r="N136" s="6">
        <v>159</v>
      </c>
      <c r="O136" s="6">
        <v>105</v>
      </c>
      <c r="P136" s="6">
        <v>90</v>
      </c>
      <c r="Q136" s="6">
        <v>146</v>
      </c>
      <c r="R136" s="6">
        <v>136</v>
      </c>
      <c r="S136" s="6">
        <v>24</v>
      </c>
      <c r="T136" s="6">
        <v>16</v>
      </c>
      <c r="U136" s="6">
        <v>69</v>
      </c>
      <c r="V136" s="6">
        <v>139.80000000000001</v>
      </c>
      <c r="W136" s="6">
        <v>278</v>
      </c>
      <c r="X136" s="6">
        <v>371</v>
      </c>
      <c r="Y136" s="6">
        <v>48</v>
      </c>
      <c r="Z136" s="6">
        <v>124</v>
      </c>
      <c r="AA136" s="6">
        <v>107</v>
      </c>
      <c r="AB136" s="6">
        <v>153</v>
      </c>
      <c r="AC136" s="6">
        <v>168</v>
      </c>
      <c r="AD136" s="6">
        <v>48</v>
      </c>
      <c r="AE136" s="6">
        <v>1603.2</v>
      </c>
      <c r="AF136" s="6">
        <v>1545.8</v>
      </c>
      <c r="AG136" s="16">
        <v>3149</v>
      </c>
      <c r="AH136" s="17">
        <v>133.6</v>
      </c>
      <c r="AI136" s="17">
        <v>128.81666666666666</v>
      </c>
      <c r="AJ136" s="17">
        <v>131.20833333333331</v>
      </c>
      <c r="AK136" s="49">
        <v>4.449392883679937E-4</v>
      </c>
      <c r="AL136" s="48">
        <v>106.17448617794918</v>
      </c>
      <c r="AM136" s="19">
        <v>76.510425073499192</v>
      </c>
      <c r="AN136" s="47">
        <v>0.82422941786478854</v>
      </c>
      <c r="AO136" s="20">
        <v>0.58312168998538616</v>
      </c>
      <c r="AP136" s="44">
        <v>-3.5803393213572843E-2</v>
      </c>
      <c r="AQ136" s="46">
        <v>11037012</v>
      </c>
      <c r="AR136" s="45">
        <v>22483860</v>
      </c>
      <c r="AS136" s="22">
        <v>1.3714129937920098E-2</v>
      </c>
      <c r="AT136" s="22">
        <v>0.58699736462700003</v>
      </c>
      <c r="AU136" s="22" t="s">
        <v>151</v>
      </c>
      <c r="AV136" s="22" t="s">
        <v>166</v>
      </c>
      <c r="AW136" s="22" t="s">
        <v>167</v>
      </c>
      <c r="AX136" s="23">
        <v>273</v>
      </c>
      <c r="AY136" s="24">
        <v>2.1192909820157846</v>
      </c>
      <c r="AZ136" s="23">
        <v>235</v>
      </c>
      <c r="BA136" s="26">
        <v>134</v>
      </c>
      <c r="BB136" s="44" t="s">
        <v>154</v>
      </c>
      <c r="BC136" s="26">
        <v>4.2938888888888886</v>
      </c>
      <c r="BD136" s="23">
        <v>30</v>
      </c>
      <c r="BE136" s="26">
        <v>257.63333333333333</v>
      </c>
      <c r="BF136" s="26">
        <v>386.45</v>
      </c>
      <c r="BG136" s="24"/>
      <c r="BI136" s="26"/>
      <c r="BJ136" s="23"/>
      <c r="BK136" s="26"/>
      <c r="BL136" s="27"/>
      <c r="BN136" s="13"/>
      <c r="BO136" s="43"/>
      <c r="BP136" s="42"/>
    </row>
    <row r="137" spans="1:68" s="1" customFormat="1" x14ac:dyDescent="0.3">
      <c r="A137" s="12" t="s">
        <v>559</v>
      </c>
      <c r="B137" s="12">
        <v>103022</v>
      </c>
      <c r="C137" s="13" t="s">
        <v>558</v>
      </c>
      <c r="D137" s="13" t="s">
        <v>47</v>
      </c>
      <c r="E137" s="14">
        <v>1981</v>
      </c>
      <c r="F137" s="15" t="s">
        <v>137</v>
      </c>
      <c r="G137" s="6">
        <v>640</v>
      </c>
      <c r="H137" s="6">
        <v>277</v>
      </c>
      <c r="I137" s="6">
        <v>735</v>
      </c>
      <c r="J137" s="6">
        <v>196</v>
      </c>
      <c r="K137" s="6">
        <v>296</v>
      </c>
      <c r="L137" s="6">
        <v>472</v>
      </c>
      <c r="M137" s="6">
        <v>911</v>
      </c>
      <c r="N137" s="6">
        <v>851</v>
      </c>
      <c r="O137" s="6">
        <v>186</v>
      </c>
      <c r="P137" s="6">
        <v>374</v>
      </c>
      <c r="Q137" s="6">
        <v>415</v>
      </c>
      <c r="R137" s="6">
        <v>520</v>
      </c>
      <c r="S137" s="6">
        <v>166</v>
      </c>
      <c r="T137" s="6">
        <v>590</v>
      </c>
      <c r="U137" s="6">
        <v>551</v>
      </c>
      <c r="V137" s="6">
        <v>392</v>
      </c>
      <c r="W137" s="6">
        <v>227</v>
      </c>
      <c r="X137" s="6">
        <v>361</v>
      </c>
      <c r="Y137" s="6">
        <v>160</v>
      </c>
      <c r="Z137" s="6">
        <v>688</v>
      </c>
      <c r="AA137" s="6">
        <v>123</v>
      </c>
      <c r="AB137" s="6">
        <v>275</v>
      </c>
      <c r="AC137" s="6">
        <v>387</v>
      </c>
      <c r="AD137" s="6">
        <v>332</v>
      </c>
      <c r="AE137" s="6">
        <v>5873</v>
      </c>
      <c r="AF137" s="6">
        <v>4252</v>
      </c>
      <c r="AG137" s="16">
        <v>10125</v>
      </c>
      <c r="AH137" s="17">
        <v>489.41666666666669</v>
      </c>
      <c r="AI137" s="17">
        <v>354.33333333333331</v>
      </c>
      <c r="AJ137" s="17">
        <v>421.875</v>
      </c>
      <c r="AK137" s="49">
        <v>1.2238852724419131E-3</v>
      </c>
      <c r="AL137" s="48">
        <v>180.36242973692183</v>
      </c>
      <c r="AM137" s="19">
        <v>222.59015027624201</v>
      </c>
      <c r="AN137" s="47">
        <v>0.50901908674578134</v>
      </c>
      <c r="AO137" s="20">
        <v>0.52762109695109216</v>
      </c>
      <c r="AP137" s="44">
        <v>-0.27600885407798403</v>
      </c>
      <c r="AQ137" s="46">
        <v>8423212</v>
      </c>
      <c r="AR137" s="45">
        <v>20057625</v>
      </c>
      <c r="AS137" s="22">
        <v>1.2234237159281128E-2</v>
      </c>
      <c r="AT137" s="22">
        <v>0.61152248602313108</v>
      </c>
      <c r="AU137" s="22" t="s">
        <v>151</v>
      </c>
      <c r="AV137" s="22" t="s">
        <v>166</v>
      </c>
      <c r="AW137" s="22" t="s">
        <v>167</v>
      </c>
      <c r="AX137" s="23">
        <v>2113</v>
      </c>
      <c r="AY137" s="24">
        <v>5.9633113828786453</v>
      </c>
      <c r="AZ137" s="23">
        <v>399</v>
      </c>
      <c r="BA137" s="26">
        <v>230</v>
      </c>
      <c r="BB137" s="44" t="s">
        <v>154</v>
      </c>
      <c r="BC137" s="26">
        <v>11.81111111111111</v>
      </c>
      <c r="BD137" s="23">
        <v>30</v>
      </c>
      <c r="BE137" s="26">
        <v>708.66666666666663</v>
      </c>
      <c r="BF137" s="26">
        <v>1063</v>
      </c>
      <c r="BG137" s="24"/>
      <c r="BI137" s="26"/>
      <c r="BJ137" s="23"/>
      <c r="BK137" s="26"/>
      <c r="BL137" s="27"/>
      <c r="BN137" s="13"/>
      <c r="BO137" s="43"/>
      <c r="BP137" s="42"/>
    </row>
    <row r="138" spans="1:68" s="1" customFormat="1" x14ac:dyDescent="0.3">
      <c r="A138" s="12" t="s">
        <v>557</v>
      </c>
      <c r="B138" s="12">
        <v>106041</v>
      </c>
      <c r="C138" s="13" t="s">
        <v>556</v>
      </c>
      <c r="D138" s="13" t="s">
        <v>44</v>
      </c>
      <c r="E138" s="14">
        <v>127</v>
      </c>
      <c r="F138" s="15" t="s">
        <v>137</v>
      </c>
      <c r="G138" s="6">
        <v>8572</v>
      </c>
      <c r="H138" s="6">
        <v>400</v>
      </c>
      <c r="I138" s="6">
        <v>0</v>
      </c>
      <c r="J138" s="6">
        <v>0</v>
      </c>
      <c r="K138" s="6">
        <v>400</v>
      </c>
      <c r="L138" s="6">
        <v>1281</v>
      </c>
      <c r="M138" s="6">
        <v>9421</v>
      </c>
      <c r="N138" s="6">
        <v>12194</v>
      </c>
      <c r="O138" s="6">
        <v>8154</v>
      </c>
      <c r="P138" s="6">
        <v>7561</v>
      </c>
      <c r="Q138" s="6">
        <v>6778</v>
      </c>
      <c r="R138" s="6">
        <v>12375</v>
      </c>
      <c r="S138" s="6">
        <v>5107</v>
      </c>
      <c r="T138" s="6">
        <v>297</v>
      </c>
      <c r="U138" s="6">
        <v>117</v>
      </c>
      <c r="V138" s="6">
        <v>116</v>
      </c>
      <c r="W138" s="6">
        <v>0</v>
      </c>
      <c r="X138" s="6">
        <v>6325</v>
      </c>
      <c r="Y138" s="6">
        <v>7749</v>
      </c>
      <c r="Z138" s="6">
        <v>10101</v>
      </c>
      <c r="AA138" s="6">
        <v>8018</v>
      </c>
      <c r="AB138" s="6">
        <v>11964</v>
      </c>
      <c r="AC138" s="6">
        <v>8489</v>
      </c>
      <c r="AD138" s="6">
        <v>9220</v>
      </c>
      <c r="AE138" s="6">
        <v>67136</v>
      </c>
      <c r="AF138" s="6">
        <v>67503</v>
      </c>
      <c r="AG138" s="16">
        <v>134639</v>
      </c>
      <c r="AH138" s="17">
        <v>5594.666666666667</v>
      </c>
      <c r="AI138" s="17">
        <v>5625.25</v>
      </c>
      <c r="AJ138" s="17">
        <v>5609.9583333333339</v>
      </c>
      <c r="AK138" s="49">
        <v>1.9429898293896158E-2</v>
      </c>
      <c r="AL138" s="48">
        <v>4400.9866688154043</v>
      </c>
      <c r="AM138" s="19">
        <v>4535.2961600162316</v>
      </c>
      <c r="AN138" s="47">
        <v>0.78236285832903507</v>
      </c>
      <c r="AO138" s="20">
        <v>0.8084366924916967</v>
      </c>
      <c r="AP138" s="44">
        <v>5.4665157292659132E-3</v>
      </c>
      <c r="AQ138" s="46">
        <v>8572881</v>
      </c>
      <c r="AR138" s="45">
        <v>17099153</v>
      </c>
      <c r="AS138" s="22">
        <v>1.0429704066400354E-2</v>
      </c>
      <c r="AT138" s="22">
        <v>0.64547668185849749</v>
      </c>
      <c r="AU138" s="22" t="s">
        <v>151</v>
      </c>
      <c r="AV138" s="22" t="s">
        <v>166</v>
      </c>
      <c r="AW138" s="22" t="s">
        <v>167</v>
      </c>
      <c r="AX138" s="23">
        <v>30799</v>
      </c>
      <c r="AY138" s="24">
        <v>5.475134438469401</v>
      </c>
      <c r="AZ138" s="23">
        <v>14000</v>
      </c>
      <c r="BA138" s="26">
        <v>10000</v>
      </c>
      <c r="BB138" s="44" t="s">
        <v>154</v>
      </c>
      <c r="BC138" s="26">
        <v>187.50833333333333</v>
      </c>
      <c r="BD138" s="23">
        <v>30</v>
      </c>
      <c r="BE138" s="26">
        <v>11250.5</v>
      </c>
      <c r="BF138" s="26">
        <v>16875.75</v>
      </c>
      <c r="BG138" s="24"/>
      <c r="BH138" s="1" t="s">
        <v>555</v>
      </c>
      <c r="BI138" s="26">
        <v>26335.685897435898</v>
      </c>
      <c r="BJ138" s="23">
        <v>5.0659409207379283E-5</v>
      </c>
      <c r="BK138" s="26"/>
      <c r="BL138" s="27"/>
      <c r="BN138" s="13"/>
      <c r="BO138" s="43"/>
      <c r="BP138" s="42"/>
    </row>
    <row r="139" spans="1:68" s="1" customFormat="1" x14ac:dyDescent="0.3">
      <c r="A139" s="12" t="s">
        <v>554</v>
      </c>
      <c r="B139" s="12">
        <v>101055</v>
      </c>
      <c r="C139" s="13" t="s">
        <v>553</v>
      </c>
      <c r="D139" s="13" t="s">
        <v>552</v>
      </c>
      <c r="E139" s="14">
        <v>1663401</v>
      </c>
      <c r="F139" s="15" t="s">
        <v>137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2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2</v>
      </c>
      <c r="U139" s="6">
        <v>1</v>
      </c>
      <c r="V139" s="6">
        <v>3</v>
      </c>
      <c r="W139" s="6">
        <v>2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2</v>
      </c>
      <c r="AF139" s="6">
        <v>8</v>
      </c>
      <c r="AG139" s="16">
        <v>10</v>
      </c>
      <c r="AH139" s="17">
        <v>0.16666666666666666</v>
      </c>
      <c r="AI139" s="17">
        <v>0.66666666666666663</v>
      </c>
      <c r="AJ139" s="17">
        <v>0.41666666666666663</v>
      </c>
      <c r="AK139" s="49">
        <v>2.3027004185172403E-6</v>
      </c>
      <c r="AL139" s="48">
        <v>1.0730867399773196</v>
      </c>
      <c r="AM139" s="19">
        <v>0.88054660231050785</v>
      </c>
      <c r="AN139" s="47">
        <v>1.6096301099659795</v>
      </c>
      <c r="AO139" s="20">
        <v>2.1133118455452191</v>
      </c>
      <c r="AP139" s="44">
        <v>3</v>
      </c>
      <c r="AQ139" s="46">
        <v>13307208</v>
      </c>
      <c r="AR139" s="45">
        <v>16634010</v>
      </c>
      <c r="AS139" s="22">
        <v>1.0145988034468381E-2</v>
      </c>
      <c r="AT139" s="22">
        <v>0.65562266989296591</v>
      </c>
      <c r="AU139" s="22" t="s">
        <v>151</v>
      </c>
      <c r="AV139" s="22" t="s">
        <v>166</v>
      </c>
      <c r="AW139" s="22" t="s">
        <v>167</v>
      </c>
      <c r="AX139" s="23">
        <v>1</v>
      </c>
      <c r="AY139" s="24">
        <v>1.5</v>
      </c>
      <c r="AZ139" s="23">
        <v>2</v>
      </c>
      <c r="BA139" s="26">
        <v>1</v>
      </c>
      <c r="BB139" s="44" t="s">
        <v>198</v>
      </c>
      <c r="BC139" s="26">
        <v>2.222222222222222E-2</v>
      </c>
      <c r="BD139" s="23">
        <v>30</v>
      </c>
      <c r="BE139" s="26">
        <v>1.3333333333333333</v>
      </c>
      <c r="BF139" s="26">
        <v>2</v>
      </c>
      <c r="BG139" s="24"/>
      <c r="BI139" s="26"/>
      <c r="BJ139" s="23"/>
      <c r="BK139" s="26"/>
      <c r="BL139" s="27"/>
      <c r="BN139" s="13"/>
      <c r="BO139" s="43"/>
      <c r="BP139" s="42"/>
    </row>
    <row r="140" spans="1:68" s="1" customFormat="1" x14ac:dyDescent="0.3">
      <c r="A140" s="12" t="s">
        <v>551</v>
      </c>
      <c r="B140" s="12">
        <v>102096</v>
      </c>
      <c r="C140" s="13" t="s">
        <v>550</v>
      </c>
      <c r="D140" s="13" t="s">
        <v>116</v>
      </c>
      <c r="E140" s="14">
        <v>486</v>
      </c>
      <c r="F140" s="15" t="s">
        <v>137</v>
      </c>
      <c r="G140" s="6">
        <v>793</v>
      </c>
      <c r="H140" s="6">
        <v>671</v>
      </c>
      <c r="I140" s="6">
        <v>935</v>
      </c>
      <c r="J140" s="6">
        <v>844</v>
      </c>
      <c r="K140" s="6">
        <v>809</v>
      </c>
      <c r="L140" s="6">
        <v>461</v>
      </c>
      <c r="M140" s="6">
        <v>434</v>
      </c>
      <c r="N140" s="6">
        <v>313</v>
      </c>
      <c r="O140" s="6">
        <v>407</v>
      </c>
      <c r="P140" s="6">
        <v>376</v>
      </c>
      <c r="Q140" s="6">
        <v>708</v>
      </c>
      <c r="R140" s="6">
        <v>899</v>
      </c>
      <c r="S140" s="6">
        <v>1693</v>
      </c>
      <c r="T140" s="6">
        <v>2953</v>
      </c>
      <c r="U140" s="6">
        <v>2044</v>
      </c>
      <c r="V140" s="6">
        <v>4389</v>
      </c>
      <c r="W140" s="6">
        <v>3829</v>
      </c>
      <c r="X140" s="6">
        <v>3386</v>
      </c>
      <c r="Y140" s="6">
        <v>1471</v>
      </c>
      <c r="Z140" s="6">
        <v>1217</v>
      </c>
      <c r="AA140" s="6">
        <v>843</v>
      </c>
      <c r="AB140" s="6">
        <v>773</v>
      </c>
      <c r="AC140" s="6">
        <v>658</v>
      </c>
      <c r="AD140" s="6">
        <v>1145</v>
      </c>
      <c r="AE140" s="6">
        <v>7650</v>
      </c>
      <c r="AF140" s="6">
        <v>24401</v>
      </c>
      <c r="AG140" s="16">
        <v>32051</v>
      </c>
      <c r="AH140" s="17">
        <v>637.5</v>
      </c>
      <c r="AI140" s="17">
        <v>2033.4166666666667</v>
      </c>
      <c r="AJ140" s="17">
        <v>1335.4583333333335</v>
      </c>
      <c r="AK140" s="49">
        <v>7.0235241140298972E-3</v>
      </c>
      <c r="AL140" s="48">
        <v>1287.4798821611532</v>
      </c>
      <c r="AM140" s="19">
        <v>1151.2515299207762</v>
      </c>
      <c r="AN140" s="47">
        <v>0.63316087807605581</v>
      </c>
      <c r="AO140" s="20">
        <v>0.86206473177431675</v>
      </c>
      <c r="AP140" s="44">
        <v>2.189673202614379</v>
      </c>
      <c r="AQ140" s="46">
        <v>11858886</v>
      </c>
      <c r="AR140" s="45">
        <v>15576786</v>
      </c>
      <c r="AS140" s="22">
        <v>9.5011295755788663E-3</v>
      </c>
      <c r="AT140" s="22">
        <v>0.66512379946854483</v>
      </c>
      <c r="AU140" s="22" t="s">
        <v>151</v>
      </c>
      <c r="AV140" s="22" t="s">
        <v>166</v>
      </c>
      <c r="AW140" s="22" t="s">
        <v>167</v>
      </c>
      <c r="AX140" s="23">
        <v>3173</v>
      </c>
      <c r="AY140" s="24">
        <v>1.5604278513175689</v>
      </c>
      <c r="AZ140" s="23">
        <v>1370</v>
      </c>
      <c r="BA140" s="26">
        <v>880</v>
      </c>
      <c r="BB140" s="44" t="s">
        <v>154</v>
      </c>
      <c r="BC140" s="26">
        <v>67.780555555555551</v>
      </c>
      <c r="BD140" s="23">
        <v>30</v>
      </c>
      <c r="BE140" s="26">
        <v>4066.833333333333</v>
      </c>
      <c r="BF140" s="26">
        <v>6100.25</v>
      </c>
      <c r="BG140" s="24"/>
      <c r="BI140" s="26"/>
      <c r="BJ140" s="23"/>
      <c r="BK140" s="26"/>
      <c r="BL140" s="27"/>
      <c r="BN140" s="13"/>
      <c r="BO140" s="43"/>
      <c r="BP140" s="42"/>
    </row>
    <row r="141" spans="1:68" s="1" customFormat="1" x14ac:dyDescent="0.3">
      <c r="A141" s="12" t="s">
        <v>549</v>
      </c>
      <c r="B141" s="12">
        <v>106076</v>
      </c>
      <c r="C141" s="13" t="s">
        <v>548</v>
      </c>
      <c r="D141" s="13" t="s">
        <v>44</v>
      </c>
      <c r="E141" s="14">
        <v>29750</v>
      </c>
      <c r="F141" s="15" t="s">
        <v>137</v>
      </c>
      <c r="G141" s="6">
        <v>24</v>
      </c>
      <c r="H141" s="6">
        <v>48</v>
      </c>
      <c r="I141" s="6">
        <v>22</v>
      </c>
      <c r="J141" s="6">
        <v>13</v>
      </c>
      <c r="K141" s="6">
        <v>19</v>
      </c>
      <c r="L141" s="6">
        <v>29</v>
      </c>
      <c r="M141" s="6">
        <v>11</v>
      </c>
      <c r="N141" s="6">
        <v>26</v>
      </c>
      <c r="O141" s="6">
        <v>9</v>
      </c>
      <c r="P141" s="6">
        <v>30</v>
      </c>
      <c r="Q141" s="6">
        <v>19</v>
      </c>
      <c r="R141" s="6">
        <v>22</v>
      </c>
      <c r="S141" s="6">
        <v>4</v>
      </c>
      <c r="T141" s="6">
        <v>41</v>
      </c>
      <c r="U141" s="6">
        <v>14</v>
      </c>
      <c r="V141" s="6">
        <v>37</v>
      </c>
      <c r="W141" s="6">
        <v>19</v>
      </c>
      <c r="X141" s="6">
        <v>28</v>
      </c>
      <c r="Y141" s="6">
        <v>19</v>
      </c>
      <c r="Z141" s="6">
        <v>15</v>
      </c>
      <c r="AA141" s="6">
        <v>10</v>
      </c>
      <c r="AB141" s="6">
        <v>20</v>
      </c>
      <c r="AC141" s="6">
        <v>2</v>
      </c>
      <c r="AD141" s="6">
        <v>9</v>
      </c>
      <c r="AE141" s="6">
        <v>272</v>
      </c>
      <c r="AF141" s="6">
        <v>218</v>
      </c>
      <c r="AG141" s="16">
        <v>490</v>
      </c>
      <c r="AH141" s="17">
        <v>22.666666666666668</v>
      </c>
      <c r="AI141" s="17">
        <v>18.166666666666668</v>
      </c>
      <c r="AJ141" s="17">
        <v>20.416666666666668</v>
      </c>
      <c r="AK141" s="49">
        <v>6.2748586404594794E-5</v>
      </c>
      <c r="AL141" s="48">
        <v>12.126854747237886</v>
      </c>
      <c r="AM141" s="19">
        <v>11.290306217846958</v>
      </c>
      <c r="AN141" s="47">
        <v>0.6675332888387826</v>
      </c>
      <c r="AO141" s="20">
        <v>0.55299459026189179</v>
      </c>
      <c r="AP141" s="44">
        <v>-0.19852941176470587</v>
      </c>
      <c r="AQ141" s="46">
        <v>6485500</v>
      </c>
      <c r="AR141" s="45">
        <v>14577500</v>
      </c>
      <c r="AS141" s="22">
        <v>8.8916106562676612E-3</v>
      </c>
      <c r="AT141" s="22">
        <v>0.67401541012481248</v>
      </c>
      <c r="AU141" s="22" t="s">
        <v>151</v>
      </c>
      <c r="AV141" s="22" t="s">
        <v>166</v>
      </c>
      <c r="AW141" s="22" t="s">
        <v>167</v>
      </c>
      <c r="AX141" s="23">
        <v>40</v>
      </c>
      <c r="AY141" s="24">
        <v>2.2018348623853208</v>
      </c>
      <c r="AZ141" s="23">
        <v>35</v>
      </c>
      <c r="BA141" s="26">
        <v>20</v>
      </c>
      <c r="BB141" s="44" t="s">
        <v>154</v>
      </c>
      <c r="BC141" s="26">
        <v>0.60555555555555562</v>
      </c>
      <c r="BD141" s="23">
        <v>30</v>
      </c>
      <c r="BE141" s="26">
        <v>36.333333333333336</v>
      </c>
      <c r="BF141" s="26">
        <v>54.5</v>
      </c>
      <c r="BG141" s="24"/>
      <c r="BI141" s="26"/>
      <c r="BJ141" s="23"/>
      <c r="BK141" s="26"/>
      <c r="BL141" s="27"/>
      <c r="BN141" s="13"/>
      <c r="BO141" s="43"/>
      <c r="BP141" s="42"/>
    </row>
    <row r="142" spans="1:68" s="1" customFormat="1" x14ac:dyDescent="0.3">
      <c r="A142" s="12" t="s">
        <v>547</v>
      </c>
      <c r="B142" s="12">
        <v>109002</v>
      </c>
      <c r="C142" s="13" t="s">
        <v>546</v>
      </c>
      <c r="D142" s="13" t="s">
        <v>137</v>
      </c>
      <c r="E142" s="14">
        <v>11329</v>
      </c>
      <c r="F142" s="15" t="s">
        <v>137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3</v>
      </c>
      <c r="V142" s="6">
        <v>609</v>
      </c>
      <c r="W142" s="6">
        <v>239</v>
      </c>
      <c r="X142" s="6">
        <v>42</v>
      </c>
      <c r="Y142" s="6">
        <v>13</v>
      </c>
      <c r="Z142" s="6">
        <v>20</v>
      </c>
      <c r="AA142" s="6">
        <v>24</v>
      </c>
      <c r="AB142" s="6">
        <v>27</v>
      </c>
      <c r="AC142" s="6">
        <v>166</v>
      </c>
      <c r="AD142" s="6">
        <v>21</v>
      </c>
      <c r="AE142" s="6">
        <v>0</v>
      </c>
      <c r="AF142" s="6">
        <v>1164</v>
      </c>
      <c r="AG142" s="16">
        <v>1164</v>
      </c>
      <c r="AH142" s="17">
        <v>0</v>
      </c>
      <c r="AI142" s="17">
        <v>97</v>
      </c>
      <c r="AJ142" s="17">
        <v>48.5</v>
      </c>
      <c r="AK142" s="49">
        <v>3.3504291089425843E-4</v>
      </c>
      <c r="AL142" s="48">
        <v>177.54333657909092</v>
      </c>
      <c r="AM142" s="19">
        <v>132.40123472430966</v>
      </c>
      <c r="AN142" s="47">
        <v>1.8303436760731022</v>
      </c>
      <c r="AO142" s="20">
        <v>2.7299223654496836</v>
      </c>
      <c r="AP142" s="44">
        <v>0</v>
      </c>
      <c r="AQ142" s="46">
        <v>13186956</v>
      </c>
      <c r="AR142" s="45">
        <v>13186956</v>
      </c>
      <c r="AS142" s="22">
        <v>8.0434421878465279E-3</v>
      </c>
      <c r="AT142" s="22">
        <v>0.69944593750281836</v>
      </c>
      <c r="AU142" s="22" t="s">
        <v>151</v>
      </c>
      <c r="AV142" s="22" t="s">
        <v>166</v>
      </c>
      <c r="AW142" s="22" t="s">
        <v>167</v>
      </c>
      <c r="AX142" s="23">
        <v>75</v>
      </c>
      <c r="AY142" s="24">
        <v>0.77319587628865982</v>
      </c>
      <c r="AZ142" s="23">
        <v>45</v>
      </c>
      <c r="BA142" s="26">
        <v>28</v>
      </c>
      <c r="BB142" s="44" t="s">
        <v>154</v>
      </c>
      <c r="BC142" s="26">
        <v>3.2333333333333334</v>
      </c>
      <c r="BD142" s="23">
        <v>30</v>
      </c>
      <c r="BE142" s="26">
        <v>194</v>
      </c>
      <c r="BF142" s="26">
        <v>291</v>
      </c>
      <c r="BG142" s="24"/>
      <c r="BI142" s="26"/>
      <c r="BJ142" s="23"/>
      <c r="BK142" s="26"/>
      <c r="BL142" s="27"/>
      <c r="BN142" s="13"/>
      <c r="BO142" s="43"/>
      <c r="BP142" s="42"/>
    </row>
    <row r="143" spans="1:68" s="1" customFormat="1" x14ac:dyDescent="0.3">
      <c r="A143" s="12" t="s">
        <v>545</v>
      </c>
      <c r="B143" s="12">
        <v>102167</v>
      </c>
      <c r="C143" s="13" t="s">
        <v>544</v>
      </c>
      <c r="D143" s="13" t="s">
        <v>62</v>
      </c>
      <c r="E143" s="14">
        <v>3771</v>
      </c>
      <c r="F143" s="15" t="s">
        <v>137</v>
      </c>
      <c r="G143" s="6">
        <v>0</v>
      </c>
      <c r="H143" s="6">
        <v>0</v>
      </c>
      <c r="I143" s="6">
        <v>37</v>
      </c>
      <c r="J143" s="6">
        <v>204</v>
      </c>
      <c r="K143" s="6">
        <v>11</v>
      </c>
      <c r="L143" s="6">
        <v>52</v>
      </c>
      <c r="M143" s="6">
        <v>335</v>
      </c>
      <c r="N143" s="6">
        <v>135</v>
      </c>
      <c r="O143" s="6">
        <v>228</v>
      </c>
      <c r="P143" s="6">
        <v>252</v>
      </c>
      <c r="Q143" s="6">
        <v>131</v>
      </c>
      <c r="R143" s="6">
        <v>0</v>
      </c>
      <c r="S143" s="6">
        <v>1</v>
      </c>
      <c r="T143" s="6">
        <v>0</v>
      </c>
      <c r="U143" s="6">
        <v>116</v>
      </c>
      <c r="V143" s="6">
        <v>299</v>
      </c>
      <c r="W143" s="6">
        <v>236</v>
      </c>
      <c r="X143" s="6">
        <v>245</v>
      </c>
      <c r="Y143" s="6">
        <v>305</v>
      </c>
      <c r="Z143" s="6">
        <v>55</v>
      </c>
      <c r="AA143" s="6">
        <v>176</v>
      </c>
      <c r="AB143" s="6">
        <v>191</v>
      </c>
      <c r="AC143" s="6">
        <v>192</v>
      </c>
      <c r="AD143" s="6">
        <v>227</v>
      </c>
      <c r="AE143" s="6">
        <v>1385</v>
      </c>
      <c r="AF143" s="6">
        <v>2043</v>
      </c>
      <c r="AG143" s="16">
        <v>3428</v>
      </c>
      <c r="AH143" s="17">
        <v>115.41666666666667</v>
      </c>
      <c r="AI143" s="17">
        <v>170.25</v>
      </c>
      <c r="AJ143" s="17">
        <v>142.83333333333334</v>
      </c>
      <c r="AK143" s="49">
        <v>5.8805211937884019E-4</v>
      </c>
      <c r="AL143" s="48">
        <v>105.59711170292491</v>
      </c>
      <c r="AM143" s="19">
        <v>112.24107078522769</v>
      </c>
      <c r="AN143" s="47">
        <v>0.62024735214640181</v>
      </c>
      <c r="AO143" s="20">
        <v>0.78581846524080057</v>
      </c>
      <c r="AP143" s="44">
        <v>0.47509025270758115</v>
      </c>
      <c r="AQ143" s="46">
        <v>7704153</v>
      </c>
      <c r="AR143" s="45">
        <v>12926988</v>
      </c>
      <c r="AS143" s="22">
        <v>7.8848735554274858E-3</v>
      </c>
      <c r="AT143" s="22">
        <v>0.71529880334739127</v>
      </c>
      <c r="AU143" s="22" t="s">
        <v>151</v>
      </c>
      <c r="AV143" s="22" t="s">
        <v>166</v>
      </c>
      <c r="AW143" s="22" t="s">
        <v>167</v>
      </c>
      <c r="AX143" s="23">
        <v>320</v>
      </c>
      <c r="AY143" s="24">
        <v>1.8795888399412628</v>
      </c>
      <c r="AZ143" s="23">
        <v>322</v>
      </c>
      <c r="BA143" s="26">
        <v>225</v>
      </c>
      <c r="BB143" s="44" t="s">
        <v>154</v>
      </c>
      <c r="BC143" s="26">
        <v>5.6749999999999998</v>
      </c>
      <c r="BD143" s="23">
        <v>30</v>
      </c>
      <c r="BE143" s="26">
        <v>340.5</v>
      </c>
      <c r="BF143" s="26">
        <v>510.75</v>
      </c>
      <c r="BG143" s="24"/>
      <c r="BI143" s="26"/>
      <c r="BJ143" s="23"/>
      <c r="BK143" s="26"/>
      <c r="BL143" s="27"/>
      <c r="BN143" s="13"/>
      <c r="BO143" s="43"/>
      <c r="BP143" s="42"/>
    </row>
    <row r="144" spans="1:68" s="1" customFormat="1" x14ac:dyDescent="0.3">
      <c r="A144" s="12" t="s">
        <v>543</v>
      </c>
      <c r="B144" s="12">
        <v>102122</v>
      </c>
      <c r="C144" s="13" t="s">
        <v>542</v>
      </c>
      <c r="D144" s="13" t="s">
        <v>53</v>
      </c>
      <c r="E144" s="14">
        <v>791</v>
      </c>
      <c r="F144" s="15" t="s">
        <v>137</v>
      </c>
      <c r="G144" s="6">
        <v>435</v>
      </c>
      <c r="H144" s="6">
        <v>919</v>
      </c>
      <c r="I144" s="6">
        <v>1062</v>
      </c>
      <c r="J144" s="6">
        <v>965</v>
      </c>
      <c r="K144" s="6">
        <v>305</v>
      </c>
      <c r="L144" s="6">
        <v>60</v>
      </c>
      <c r="M144" s="6">
        <v>74</v>
      </c>
      <c r="N144" s="6">
        <v>310</v>
      </c>
      <c r="O144" s="6">
        <v>220</v>
      </c>
      <c r="P144" s="6">
        <v>240</v>
      </c>
      <c r="Q144" s="6">
        <v>130</v>
      </c>
      <c r="R144" s="6">
        <v>380</v>
      </c>
      <c r="S144" s="6">
        <v>430</v>
      </c>
      <c r="T144" s="6">
        <v>189</v>
      </c>
      <c r="U144" s="6">
        <v>295</v>
      </c>
      <c r="V144" s="6">
        <v>374</v>
      </c>
      <c r="W144" s="6">
        <v>915</v>
      </c>
      <c r="X144" s="6">
        <v>376</v>
      </c>
      <c r="Y144" s="6">
        <v>1303</v>
      </c>
      <c r="Z144" s="6">
        <v>1115</v>
      </c>
      <c r="AA144" s="6">
        <v>1003</v>
      </c>
      <c r="AB144" s="6">
        <v>1199</v>
      </c>
      <c r="AC144" s="6">
        <v>998</v>
      </c>
      <c r="AD144" s="6">
        <v>1520</v>
      </c>
      <c r="AE144" s="6">
        <v>5100</v>
      </c>
      <c r="AF144" s="6">
        <v>9717</v>
      </c>
      <c r="AG144" s="16">
        <v>14817</v>
      </c>
      <c r="AH144" s="17">
        <v>425</v>
      </c>
      <c r="AI144" s="17">
        <v>809.75</v>
      </c>
      <c r="AJ144" s="17">
        <v>617.375</v>
      </c>
      <c r="AK144" s="49">
        <v>2.7969174958415027E-3</v>
      </c>
      <c r="AL144" s="48">
        <v>452.14943728413908</v>
      </c>
      <c r="AM144" s="19">
        <v>443.69405954808644</v>
      </c>
      <c r="AN144" s="47">
        <v>0.55838152180813716</v>
      </c>
      <c r="AO144" s="20">
        <v>0.7186783714081173</v>
      </c>
      <c r="AP144" s="44">
        <v>0.9052941176470588</v>
      </c>
      <c r="AQ144" s="46">
        <v>7686147</v>
      </c>
      <c r="AR144" s="45">
        <v>11720247</v>
      </c>
      <c r="AS144" s="22">
        <v>7.1488165405103133E-3</v>
      </c>
      <c r="AT144" s="22">
        <v>0.72244761988790163</v>
      </c>
      <c r="AU144" s="22" t="s">
        <v>151</v>
      </c>
      <c r="AV144" s="22" t="s">
        <v>166</v>
      </c>
      <c r="AW144" s="22" t="s">
        <v>167</v>
      </c>
      <c r="AX144" s="23">
        <v>2479</v>
      </c>
      <c r="AY144" s="24">
        <v>3.0614387156529794</v>
      </c>
      <c r="AZ144" s="23">
        <v>2800</v>
      </c>
      <c r="BA144" s="26">
        <v>1600</v>
      </c>
      <c r="BB144" s="44" t="s">
        <v>154</v>
      </c>
      <c r="BC144" s="26">
        <v>26.991666666666667</v>
      </c>
      <c r="BD144" s="23">
        <v>30</v>
      </c>
      <c r="BE144" s="26">
        <v>1619.5</v>
      </c>
      <c r="BF144" s="26">
        <v>2429.25</v>
      </c>
      <c r="BG144" s="24"/>
      <c r="BI144" s="26" t="s">
        <v>541</v>
      </c>
      <c r="BJ144" s="23" t="s">
        <v>540</v>
      </c>
      <c r="BK144" s="26"/>
      <c r="BL144" s="27"/>
      <c r="BN144" s="13"/>
      <c r="BO144" s="43"/>
      <c r="BP144" s="42"/>
    </row>
    <row r="145" spans="1:68" s="1" customFormat="1" x14ac:dyDescent="0.3">
      <c r="A145" s="12" t="s">
        <v>539</v>
      </c>
      <c r="B145" s="12">
        <v>102035</v>
      </c>
      <c r="C145" s="13" t="s">
        <v>538</v>
      </c>
      <c r="D145" s="13" t="s">
        <v>55</v>
      </c>
      <c r="E145" s="14">
        <v>2737</v>
      </c>
      <c r="F145" s="15" t="s">
        <v>137</v>
      </c>
      <c r="G145" s="6">
        <v>159</v>
      </c>
      <c r="H145" s="6">
        <v>60</v>
      </c>
      <c r="I145" s="6">
        <v>276</v>
      </c>
      <c r="J145" s="6">
        <v>104</v>
      </c>
      <c r="K145" s="6">
        <v>169</v>
      </c>
      <c r="L145" s="6">
        <v>188</v>
      </c>
      <c r="M145" s="6">
        <v>231</v>
      </c>
      <c r="N145" s="6">
        <v>157</v>
      </c>
      <c r="O145" s="6">
        <v>181</v>
      </c>
      <c r="P145" s="6">
        <v>367</v>
      </c>
      <c r="Q145" s="6">
        <v>343</v>
      </c>
      <c r="R145" s="6">
        <v>233</v>
      </c>
      <c r="S145" s="6">
        <v>162</v>
      </c>
      <c r="T145" s="6">
        <v>163</v>
      </c>
      <c r="U145" s="6">
        <v>255</v>
      </c>
      <c r="V145" s="6">
        <v>102</v>
      </c>
      <c r="W145" s="6">
        <v>165</v>
      </c>
      <c r="X145" s="6">
        <v>145</v>
      </c>
      <c r="Y145" s="6">
        <v>108</v>
      </c>
      <c r="Z145" s="6">
        <v>42</v>
      </c>
      <c r="AA145" s="6">
        <v>78</v>
      </c>
      <c r="AB145" s="6">
        <v>156</v>
      </c>
      <c r="AC145" s="6">
        <v>0</v>
      </c>
      <c r="AD145" s="6">
        <v>71</v>
      </c>
      <c r="AE145" s="6">
        <v>2468</v>
      </c>
      <c r="AF145" s="6">
        <v>1447</v>
      </c>
      <c r="AG145" s="16">
        <v>3915</v>
      </c>
      <c r="AH145" s="17">
        <v>205.66666666666666</v>
      </c>
      <c r="AI145" s="17">
        <v>120.58333333333333</v>
      </c>
      <c r="AJ145" s="17">
        <v>163.125</v>
      </c>
      <c r="AK145" s="49">
        <v>4.1650093819930583E-4</v>
      </c>
      <c r="AL145" s="48">
        <v>68.021999560748156</v>
      </c>
      <c r="AM145" s="19">
        <v>89.423911061668605</v>
      </c>
      <c r="AN145" s="47">
        <v>0.56410780561781471</v>
      </c>
      <c r="AO145" s="20">
        <v>0.54819255823245117</v>
      </c>
      <c r="AP145" s="44">
        <v>-0.41369529983792547</v>
      </c>
      <c r="AQ145" s="46">
        <v>3960439</v>
      </c>
      <c r="AR145" s="45">
        <v>10715355</v>
      </c>
      <c r="AS145" s="22">
        <v>6.5358782166826251E-3</v>
      </c>
      <c r="AT145" s="22">
        <v>0.73557576355824983</v>
      </c>
      <c r="AU145" s="22" t="s">
        <v>151</v>
      </c>
      <c r="AV145" s="22" t="s">
        <v>166</v>
      </c>
      <c r="AW145" s="22" t="s">
        <v>167</v>
      </c>
      <c r="AX145" s="23">
        <v>973</v>
      </c>
      <c r="AY145" s="24">
        <v>8.0691085003455427</v>
      </c>
      <c r="AZ145" s="23">
        <v>210</v>
      </c>
      <c r="BA145" s="26">
        <v>122</v>
      </c>
      <c r="BB145" s="44" t="s">
        <v>154</v>
      </c>
      <c r="BC145" s="26">
        <v>4.0194444444444439</v>
      </c>
      <c r="BD145" s="23">
        <v>30</v>
      </c>
      <c r="BE145" s="26">
        <v>241.16666666666663</v>
      </c>
      <c r="BF145" s="26">
        <v>361.74999999999994</v>
      </c>
      <c r="BG145" s="24"/>
      <c r="BI145" s="26"/>
      <c r="BJ145" s="23"/>
      <c r="BK145" s="26"/>
      <c r="BL145" s="27"/>
      <c r="BN145" s="13"/>
      <c r="BO145" s="43"/>
      <c r="BP145" s="42"/>
    </row>
    <row r="146" spans="1:68" s="1" customFormat="1" x14ac:dyDescent="0.3">
      <c r="A146" s="12" t="s">
        <v>537</v>
      </c>
      <c r="B146" s="12">
        <v>103044</v>
      </c>
      <c r="C146" s="13" t="s">
        <v>536</v>
      </c>
      <c r="D146" s="13" t="s">
        <v>47</v>
      </c>
      <c r="E146" s="14">
        <v>26073</v>
      </c>
      <c r="F146" s="15" t="s">
        <v>137</v>
      </c>
      <c r="G146" s="6">
        <v>13</v>
      </c>
      <c r="H146" s="6">
        <v>50</v>
      </c>
      <c r="I146" s="6">
        <v>9</v>
      </c>
      <c r="J146" s="6">
        <v>16</v>
      </c>
      <c r="K146" s="6">
        <v>17</v>
      </c>
      <c r="L146" s="6">
        <v>3</v>
      </c>
      <c r="M146" s="6">
        <v>19</v>
      </c>
      <c r="N146" s="6">
        <v>11</v>
      </c>
      <c r="O146" s="6">
        <v>0</v>
      </c>
      <c r="P146" s="6">
        <v>43</v>
      </c>
      <c r="Q146" s="6">
        <v>15</v>
      </c>
      <c r="R146" s="6">
        <v>0</v>
      </c>
      <c r="S146" s="6">
        <v>10</v>
      </c>
      <c r="T146" s="6">
        <v>7</v>
      </c>
      <c r="U146" s="6">
        <v>4</v>
      </c>
      <c r="V146" s="6">
        <v>2</v>
      </c>
      <c r="W146" s="6">
        <v>6</v>
      </c>
      <c r="X146" s="6">
        <v>17</v>
      </c>
      <c r="Y146" s="6">
        <v>9</v>
      </c>
      <c r="Z146" s="6">
        <v>45</v>
      </c>
      <c r="AA146" s="6">
        <v>25</v>
      </c>
      <c r="AB146" s="6">
        <v>9</v>
      </c>
      <c r="AC146" s="6">
        <v>0</v>
      </c>
      <c r="AD146" s="6">
        <v>42</v>
      </c>
      <c r="AE146" s="6">
        <v>196</v>
      </c>
      <c r="AF146" s="6">
        <v>176</v>
      </c>
      <c r="AG146" s="16">
        <v>372</v>
      </c>
      <c r="AH146" s="17">
        <v>16.333333333333332</v>
      </c>
      <c r="AI146" s="17">
        <v>14.666666666666666</v>
      </c>
      <c r="AJ146" s="17">
        <v>15.5</v>
      </c>
      <c r="AK146" s="49">
        <v>5.0659409207379283E-5</v>
      </c>
      <c r="AL146" s="48">
        <v>15.041357127680476</v>
      </c>
      <c r="AM146" s="19">
        <v>14.984049490389264</v>
      </c>
      <c r="AN146" s="47">
        <v>1.0255470768873052</v>
      </c>
      <c r="AO146" s="20">
        <v>0.96671287034769449</v>
      </c>
      <c r="AP146" s="44">
        <v>-0.10204081632653059</v>
      </c>
      <c r="AQ146" s="46">
        <v>4588848</v>
      </c>
      <c r="AR146" s="45">
        <v>9699156</v>
      </c>
      <c r="AS146" s="22">
        <v>5.9160431381514271E-3</v>
      </c>
      <c r="AT146" s="22">
        <v>0.74149180669640125</v>
      </c>
      <c r="AU146" s="22" t="s">
        <v>151</v>
      </c>
      <c r="AV146" s="22" t="s">
        <v>166</v>
      </c>
      <c r="AW146" s="22" t="s">
        <v>167</v>
      </c>
      <c r="AX146" s="23">
        <v>92</v>
      </c>
      <c r="AY146" s="24">
        <v>6.2727272727272734</v>
      </c>
      <c r="AZ146" s="23">
        <v>28</v>
      </c>
      <c r="BA146" s="26">
        <v>15</v>
      </c>
      <c r="BB146" s="44" t="s">
        <v>154</v>
      </c>
      <c r="BC146" s="26">
        <v>0.48888888888888887</v>
      </c>
      <c r="BD146" s="23">
        <v>30</v>
      </c>
      <c r="BE146" s="26">
        <v>29.333333333333332</v>
      </c>
      <c r="BF146" s="26">
        <v>44</v>
      </c>
      <c r="BG146" s="24"/>
      <c r="BI146" s="26"/>
      <c r="BJ146" s="23"/>
      <c r="BK146" s="26"/>
      <c r="BL146" s="27"/>
      <c r="BN146" s="13"/>
      <c r="BO146" s="43"/>
      <c r="BP146" s="42"/>
    </row>
    <row r="147" spans="1:68" s="1" customFormat="1" x14ac:dyDescent="0.3">
      <c r="A147" s="12" t="s">
        <v>535</v>
      </c>
      <c r="B147" s="12">
        <v>102171</v>
      </c>
      <c r="C147" s="13" t="s">
        <v>534</v>
      </c>
      <c r="D147" s="13" t="s">
        <v>137</v>
      </c>
      <c r="E147" s="14">
        <v>290360</v>
      </c>
      <c r="F147" s="15" t="s">
        <v>137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3</v>
      </c>
      <c r="M147" s="6">
        <v>0</v>
      </c>
      <c r="N147" s="6">
        <v>0</v>
      </c>
      <c r="O147" s="6">
        <v>2</v>
      </c>
      <c r="P147" s="6">
        <v>0</v>
      </c>
      <c r="Q147" s="6">
        <v>0</v>
      </c>
      <c r="R147" s="6">
        <v>1</v>
      </c>
      <c r="S147" s="6">
        <v>3</v>
      </c>
      <c r="T147" s="6">
        <v>2</v>
      </c>
      <c r="U147" s="6">
        <v>1</v>
      </c>
      <c r="V147" s="6">
        <v>3</v>
      </c>
      <c r="W147" s="6">
        <v>0</v>
      </c>
      <c r="X147" s="6">
        <v>4</v>
      </c>
      <c r="Y147" s="6">
        <v>0</v>
      </c>
      <c r="Z147" s="6">
        <v>2</v>
      </c>
      <c r="AA147" s="6">
        <v>4</v>
      </c>
      <c r="AB147" s="6">
        <v>2</v>
      </c>
      <c r="AC147" s="6">
        <v>0</v>
      </c>
      <c r="AD147" s="6">
        <v>4</v>
      </c>
      <c r="AE147" s="6">
        <v>6</v>
      </c>
      <c r="AF147" s="6">
        <v>25</v>
      </c>
      <c r="AG147" s="16">
        <v>31</v>
      </c>
      <c r="AH147" s="17">
        <v>0.5</v>
      </c>
      <c r="AI147" s="17">
        <v>2.0833333333333335</v>
      </c>
      <c r="AJ147" s="17">
        <v>1.2916666666666667</v>
      </c>
      <c r="AK147" s="49">
        <v>7.1959388078663756E-6</v>
      </c>
      <c r="AL147" s="48">
        <v>1.5642792899510294</v>
      </c>
      <c r="AM147" s="19">
        <v>1.5174110293140939</v>
      </c>
      <c r="AN147" s="47">
        <v>0.75085405917649406</v>
      </c>
      <c r="AO147" s="20">
        <v>1.1747698291463953</v>
      </c>
      <c r="AP147" s="44">
        <v>3.166666666666667</v>
      </c>
      <c r="AQ147" s="46">
        <v>7259000</v>
      </c>
      <c r="AR147" s="45">
        <v>9001160</v>
      </c>
      <c r="AS147" s="22">
        <v>5.4902973880823335E-3</v>
      </c>
      <c r="AT147" s="22">
        <v>0.77542019657987971</v>
      </c>
      <c r="AU147" s="22" t="s">
        <v>151</v>
      </c>
      <c r="AV147" s="22" t="s">
        <v>166</v>
      </c>
      <c r="AW147" s="22" t="s">
        <v>167</v>
      </c>
      <c r="AX147" s="23">
        <v>17</v>
      </c>
      <c r="AY147" s="24">
        <v>8.16</v>
      </c>
      <c r="AZ147" s="23">
        <v>5</v>
      </c>
      <c r="BA147" s="26">
        <v>2</v>
      </c>
      <c r="BB147" s="44" t="s">
        <v>154</v>
      </c>
      <c r="BC147" s="26">
        <v>6.9444444444444448E-2</v>
      </c>
      <c r="BD147" s="23">
        <v>30</v>
      </c>
      <c r="BE147" s="26">
        <v>4.166666666666667</v>
      </c>
      <c r="BF147" s="26">
        <v>6.25</v>
      </c>
      <c r="BG147" s="24"/>
      <c r="BI147" s="26"/>
      <c r="BJ147" s="23"/>
      <c r="BK147" s="26"/>
      <c r="BL147" s="27"/>
      <c r="BN147" s="13"/>
      <c r="BO147" s="43"/>
      <c r="BP147" s="42"/>
    </row>
    <row r="148" spans="1:68" s="1" customFormat="1" x14ac:dyDescent="0.3">
      <c r="A148" s="12" t="s">
        <v>533</v>
      </c>
      <c r="B148" s="12">
        <v>102104</v>
      </c>
      <c r="C148" s="13" t="s">
        <v>532</v>
      </c>
      <c r="D148" s="13" t="s">
        <v>62</v>
      </c>
      <c r="E148" s="14">
        <v>51230</v>
      </c>
      <c r="F148" s="15" t="s">
        <v>137</v>
      </c>
      <c r="G148" s="6">
        <v>12</v>
      </c>
      <c r="H148" s="6">
        <v>0</v>
      </c>
      <c r="I148" s="6">
        <v>19</v>
      </c>
      <c r="J148" s="6">
        <v>11</v>
      </c>
      <c r="K148" s="6">
        <v>0</v>
      </c>
      <c r="L148" s="6">
        <v>4</v>
      </c>
      <c r="M148" s="6">
        <v>4</v>
      </c>
      <c r="N148" s="6">
        <v>0</v>
      </c>
      <c r="O148" s="6">
        <v>7</v>
      </c>
      <c r="P148" s="6">
        <v>1</v>
      </c>
      <c r="Q148" s="6">
        <v>0</v>
      </c>
      <c r="R148" s="6">
        <v>3</v>
      </c>
      <c r="S148" s="6">
        <v>10</v>
      </c>
      <c r="T148" s="6">
        <v>13</v>
      </c>
      <c r="U148" s="6">
        <v>3</v>
      </c>
      <c r="V148" s="6">
        <v>30</v>
      </c>
      <c r="W148" s="6">
        <v>0</v>
      </c>
      <c r="X148" s="6">
        <v>0</v>
      </c>
      <c r="Y148" s="6">
        <v>12</v>
      </c>
      <c r="Z148" s="6">
        <v>2</v>
      </c>
      <c r="AA148" s="6">
        <v>0</v>
      </c>
      <c r="AB148" s="6">
        <v>0</v>
      </c>
      <c r="AC148" s="6">
        <v>0</v>
      </c>
      <c r="AD148" s="6">
        <v>0</v>
      </c>
      <c r="AE148" s="6">
        <v>61</v>
      </c>
      <c r="AF148" s="6">
        <v>70</v>
      </c>
      <c r="AG148" s="16">
        <v>131</v>
      </c>
      <c r="AH148" s="17">
        <v>5.083333333333333</v>
      </c>
      <c r="AI148" s="17">
        <v>5.833333333333333</v>
      </c>
      <c r="AJ148" s="17">
        <v>5.458333333333333</v>
      </c>
      <c r="AK148" s="49">
        <v>2.0148628662025853E-5</v>
      </c>
      <c r="AL148" s="48">
        <v>9.1336872304804935</v>
      </c>
      <c r="AM148" s="19">
        <v>7.598507671943203</v>
      </c>
      <c r="AN148" s="47">
        <v>1.5657749537966561</v>
      </c>
      <c r="AO148" s="20">
        <v>1.3920930086002816</v>
      </c>
      <c r="AP148" s="44">
        <v>0.14754098360655737</v>
      </c>
      <c r="AQ148" s="46">
        <v>3586100</v>
      </c>
      <c r="AR148" s="45">
        <v>6711130</v>
      </c>
      <c r="AS148" s="22">
        <v>4.0934834521418346E-3</v>
      </c>
      <c r="AT148" s="22">
        <v>0.81797311149513996</v>
      </c>
      <c r="AU148" s="22" t="s">
        <v>179</v>
      </c>
      <c r="AV148" s="22" t="s">
        <v>166</v>
      </c>
      <c r="AW148" s="22" t="s">
        <v>180</v>
      </c>
      <c r="AX148" s="23">
        <v>44</v>
      </c>
      <c r="AY148" s="24">
        <v>7.5428571428571436</v>
      </c>
      <c r="AZ148" s="23">
        <v>8</v>
      </c>
      <c r="BA148" s="26">
        <v>4</v>
      </c>
      <c r="BB148" s="44" t="s">
        <v>154</v>
      </c>
      <c r="BC148" s="26">
        <v>0.19444444444444445</v>
      </c>
      <c r="BD148" s="23">
        <v>30</v>
      </c>
      <c r="BE148" s="26">
        <v>11.666666666666666</v>
      </c>
      <c r="BF148" s="26">
        <v>17.5</v>
      </c>
      <c r="BG148" s="24"/>
      <c r="BI148" s="26"/>
      <c r="BJ148" s="23"/>
      <c r="BK148" s="26"/>
      <c r="BL148" s="27"/>
      <c r="BN148" s="13"/>
      <c r="BO148" s="43"/>
      <c r="BP148" s="42"/>
    </row>
    <row r="149" spans="1:68" s="1" customFormat="1" x14ac:dyDescent="0.3">
      <c r="A149" s="12" t="s">
        <v>531</v>
      </c>
      <c r="B149" s="12">
        <v>102074</v>
      </c>
      <c r="C149" s="13" t="s">
        <v>530</v>
      </c>
      <c r="D149" s="13" t="s">
        <v>137</v>
      </c>
      <c r="E149" s="14">
        <v>1806</v>
      </c>
      <c r="F149" s="15" t="s">
        <v>137</v>
      </c>
      <c r="G149" s="6">
        <v>2</v>
      </c>
      <c r="H149" s="6">
        <v>12</v>
      </c>
      <c r="I149" s="6">
        <v>34</v>
      </c>
      <c r="J149" s="6">
        <v>23</v>
      </c>
      <c r="K149" s="6">
        <v>33</v>
      </c>
      <c r="L149" s="6">
        <v>43</v>
      </c>
      <c r="M149" s="6">
        <v>164</v>
      </c>
      <c r="N149" s="6">
        <v>198</v>
      </c>
      <c r="O149" s="6">
        <v>171</v>
      </c>
      <c r="P149" s="6">
        <v>126</v>
      </c>
      <c r="Q149" s="6">
        <v>279</v>
      </c>
      <c r="R149" s="6">
        <v>224</v>
      </c>
      <c r="S149" s="6">
        <v>169</v>
      </c>
      <c r="T149" s="6">
        <v>5</v>
      </c>
      <c r="U149" s="6">
        <v>0</v>
      </c>
      <c r="V149" s="6">
        <v>0</v>
      </c>
      <c r="W149" s="6">
        <v>0</v>
      </c>
      <c r="X149" s="6">
        <v>102</v>
      </c>
      <c r="Y149" s="6">
        <v>311</v>
      </c>
      <c r="Z149" s="6">
        <v>342</v>
      </c>
      <c r="AA149" s="6">
        <v>276</v>
      </c>
      <c r="AB149" s="6">
        <v>337</v>
      </c>
      <c r="AC149" s="6">
        <v>341</v>
      </c>
      <c r="AD149" s="6">
        <v>360</v>
      </c>
      <c r="AE149" s="6">
        <v>1309</v>
      </c>
      <c r="AF149" s="6">
        <v>2243</v>
      </c>
      <c r="AG149" s="16">
        <v>3552</v>
      </c>
      <c r="AH149" s="17">
        <v>109.08333333333333</v>
      </c>
      <c r="AI149" s="17">
        <v>186.91666666666666</v>
      </c>
      <c r="AJ149" s="17">
        <v>148</v>
      </c>
      <c r="AK149" s="49">
        <v>6.4561962984177124E-4</v>
      </c>
      <c r="AL149" s="48">
        <v>156.39312838504321</v>
      </c>
      <c r="AM149" s="19">
        <v>132.96125620711439</v>
      </c>
      <c r="AN149" s="47">
        <v>0.83669975061102031</v>
      </c>
      <c r="AO149" s="20">
        <v>0.89838686626428643</v>
      </c>
      <c r="AP149" s="44">
        <v>0.71352177234530179</v>
      </c>
      <c r="AQ149" s="46">
        <v>4050858</v>
      </c>
      <c r="AR149" s="45">
        <v>6414912</v>
      </c>
      <c r="AS149" s="22">
        <v>3.91280397175231E-3</v>
      </c>
      <c r="AT149" s="22">
        <v>0.82592065542810056</v>
      </c>
      <c r="AU149" s="22" t="s">
        <v>179</v>
      </c>
      <c r="AV149" s="22" t="s">
        <v>166</v>
      </c>
      <c r="AW149" s="22" t="s">
        <v>180</v>
      </c>
      <c r="AX149" s="23">
        <v>678</v>
      </c>
      <c r="AY149" s="24">
        <v>3.6272848863129741</v>
      </c>
      <c r="AZ149" s="23">
        <v>578</v>
      </c>
      <c r="BA149" s="26">
        <v>350</v>
      </c>
      <c r="BB149" s="44" t="s">
        <v>154</v>
      </c>
      <c r="BC149" s="26">
        <v>6.2305555555555552</v>
      </c>
      <c r="BD149" s="23">
        <v>30</v>
      </c>
      <c r="BE149" s="26">
        <v>373.83333333333331</v>
      </c>
      <c r="BF149" s="26">
        <v>560.75</v>
      </c>
      <c r="BG149" s="24"/>
      <c r="BH149" s="1" t="s">
        <v>529</v>
      </c>
      <c r="BI149" s="26">
        <v>728.38461538461536</v>
      </c>
      <c r="BJ149" s="23">
        <v>5.991050813877229E-3</v>
      </c>
      <c r="BK149" s="26"/>
      <c r="BL149" s="27"/>
      <c r="BN149" s="13"/>
      <c r="BO149" s="43"/>
      <c r="BP149" s="42"/>
    </row>
    <row r="150" spans="1:68" s="1" customFormat="1" x14ac:dyDescent="0.3">
      <c r="A150" s="12" t="s">
        <v>528</v>
      </c>
      <c r="B150" s="12">
        <v>102062</v>
      </c>
      <c r="C150" s="13" t="s">
        <v>527</v>
      </c>
      <c r="D150" s="13" t="s">
        <v>44</v>
      </c>
      <c r="E150" s="14">
        <v>65331</v>
      </c>
      <c r="F150" s="15" t="s">
        <v>137</v>
      </c>
      <c r="G150" s="6">
        <v>14</v>
      </c>
      <c r="H150" s="6">
        <v>28</v>
      </c>
      <c r="I150" s="6">
        <v>0</v>
      </c>
      <c r="J150" s="6">
        <v>2</v>
      </c>
      <c r="K150" s="6">
        <v>0</v>
      </c>
      <c r="L150" s="6">
        <v>0</v>
      </c>
      <c r="M150" s="6">
        <v>3</v>
      </c>
      <c r="N150" s="6">
        <v>0</v>
      </c>
      <c r="O150" s="6">
        <v>0</v>
      </c>
      <c r="P150" s="6">
        <v>0</v>
      </c>
      <c r="Q150" s="6">
        <v>26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8</v>
      </c>
      <c r="AA150" s="6">
        <v>0</v>
      </c>
      <c r="AB150" s="6">
        <v>0</v>
      </c>
      <c r="AC150" s="6">
        <v>5</v>
      </c>
      <c r="AD150" s="6">
        <v>11</v>
      </c>
      <c r="AE150" s="6">
        <v>73</v>
      </c>
      <c r="AF150" s="6">
        <v>24</v>
      </c>
      <c r="AG150" s="16">
        <v>97</v>
      </c>
      <c r="AH150" s="17">
        <v>6.083333333333333</v>
      </c>
      <c r="AI150" s="17">
        <v>2</v>
      </c>
      <c r="AJ150" s="17">
        <v>4.0416666666666661</v>
      </c>
      <c r="AK150" s="49">
        <v>6.9081012555517208E-6</v>
      </c>
      <c r="AL150" s="48">
        <v>3.8376128944009875</v>
      </c>
      <c r="AM150" s="19">
        <v>8.040544901860855</v>
      </c>
      <c r="AN150" s="47">
        <v>1.9188064472004938</v>
      </c>
      <c r="AO150" s="20">
        <v>1.9894131715944388</v>
      </c>
      <c r="AP150" s="44">
        <v>-0.67123287671232879</v>
      </c>
      <c r="AQ150" s="46">
        <v>1567944</v>
      </c>
      <c r="AR150" s="45">
        <v>6337107</v>
      </c>
      <c r="AS150" s="22">
        <v>3.8653464675773206E-3</v>
      </c>
      <c r="AT150" s="22">
        <v>0.82978600189567786</v>
      </c>
      <c r="AU150" s="22" t="s">
        <v>179</v>
      </c>
      <c r="AV150" s="22" t="s">
        <v>166</v>
      </c>
      <c r="AW150" s="22" t="s">
        <v>180</v>
      </c>
      <c r="AX150" s="23">
        <v>58</v>
      </c>
      <c r="AY150" s="24">
        <v>29</v>
      </c>
      <c r="AZ150" s="23">
        <v>0</v>
      </c>
      <c r="BA150" s="26">
        <v>0</v>
      </c>
      <c r="BB150" s="44" t="s">
        <v>154</v>
      </c>
      <c r="BC150" s="26">
        <v>6.6666666666666666E-2</v>
      </c>
      <c r="BD150" s="23">
        <v>30</v>
      </c>
      <c r="BE150" s="26">
        <v>4</v>
      </c>
      <c r="BF150" s="26">
        <v>6</v>
      </c>
      <c r="BG150" s="24"/>
      <c r="BI150" s="26"/>
      <c r="BJ150" s="23"/>
      <c r="BK150" s="26"/>
      <c r="BL150" s="27"/>
      <c r="BN150" s="13"/>
      <c r="BO150" s="43"/>
      <c r="BP150" s="42"/>
    </row>
    <row r="151" spans="1:68" s="1" customFormat="1" x14ac:dyDescent="0.3">
      <c r="A151" s="12" t="s">
        <v>526</v>
      </c>
      <c r="B151" s="12">
        <v>101002</v>
      </c>
      <c r="C151" s="13" t="s">
        <v>525</v>
      </c>
      <c r="D151" s="13" t="s">
        <v>55</v>
      </c>
      <c r="E151" s="14">
        <v>23300</v>
      </c>
      <c r="F151" s="15" t="s">
        <v>137</v>
      </c>
      <c r="G151" s="6">
        <v>5</v>
      </c>
      <c r="H151" s="6">
        <v>5</v>
      </c>
      <c r="I151" s="6">
        <v>7</v>
      </c>
      <c r="J151" s="6">
        <v>5</v>
      </c>
      <c r="K151" s="6">
        <v>3</v>
      </c>
      <c r="L151" s="6">
        <v>4</v>
      </c>
      <c r="M151" s="6">
        <v>57</v>
      </c>
      <c r="N151" s="6">
        <v>27</v>
      </c>
      <c r="O151" s="6">
        <v>30</v>
      </c>
      <c r="P151" s="6">
        <v>12</v>
      </c>
      <c r="Q151" s="6">
        <v>14</v>
      </c>
      <c r="R151" s="6">
        <v>3</v>
      </c>
      <c r="S151" s="6">
        <v>15</v>
      </c>
      <c r="T151" s="6">
        <v>17</v>
      </c>
      <c r="U151" s="6">
        <v>6</v>
      </c>
      <c r="V151" s="6">
        <v>22</v>
      </c>
      <c r="W151" s="6">
        <v>7</v>
      </c>
      <c r="X151" s="6">
        <v>3</v>
      </c>
      <c r="Y151" s="6">
        <v>0</v>
      </c>
      <c r="Z151" s="6">
        <v>6</v>
      </c>
      <c r="AA151" s="6">
        <v>10</v>
      </c>
      <c r="AB151" s="6">
        <v>4</v>
      </c>
      <c r="AC151" s="6">
        <v>1</v>
      </c>
      <c r="AD151" s="6">
        <v>3</v>
      </c>
      <c r="AE151" s="6">
        <v>172</v>
      </c>
      <c r="AF151" s="6">
        <v>94</v>
      </c>
      <c r="AG151" s="16">
        <v>266</v>
      </c>
      <c r="AH151" s="17">
        <v>14.333333333333334</v>
      </c>
      <c r="AI151" s="17">
        <v>7.833333333333333</v>
      </c>
      <c r="AJ151" s="17">
        <v>11.083333333333334</v>
      </c>
      <c r="AK151" s="49">
        <v>2.7056729917577572E-5</v>
      </c>
      <c r="AL151" s="48">
        <v>6.8600733276406061</v>
      </c>
      <c r="AM151" s="19">
        <v>12.652261068478136</v>
      </c>
      <c r="AN151" s="47">
        <v>0.87575404182646033</v>
      </c>
      <c r="AO151" s="20">
        <v>1.1415573896371249</v>
      </c>
      <c r="AP151" s="44">
        <v>-0.45348837209302328</v>
      </c>
      <c r="AQ151" s="46">
        <v>2190200</v>
      </c>
      <c r="AR151" s="45">
        <v>6197800</v>
      </c>
      <c r="AS151" s="22">
        <v>3.7803755462470045E-3</v>
      </c>
      <c r="AT151" s="22">
        <v>0.83735777608457251</v>
      </c>
      <c r="AU151" s="22" t="s">
        <v>179</v>
      </c>
      <c r="AV151" s="22" t="s">
        <v>166</v>
      </c>
      <c r="AW151" s="22" t="s">
        <v>180</v>
      </c>
      <c r="AX151" s="23">
        <v>103</v>
      </c>
      <c r="AY151" s="24">
        <v>13.148936170212766</v>
      </c>
      <c r="AZ151" s="23">
        <v>53</v>
      </c>
      <c r="BA151" s="26">
        <v>30</v>
      </c>
      <c r="BB151" s="44" t="s">
        <v>154</v>
      </c>
      <c r="BC151" s="26">
        <v>0.26111111111111113</v>
      </c>
      <c r="BD151" s="23">
        <v>30</v>
      </c>
      <c r="BE151" s="26">
        <v>15.666666666666668</v>
      </c>
      <c r="BF151" s="26">
        <v>23.5</v>
      </c>
      <c r="BG151" s="24"/>
      <c r="BI151" s="26"/>
      <c r="BJ151" s="23"/>
      <c r="BK151" s="26"/>
      <c r="BL151" s="27"/>
      <c r="BN151" s="13"/>
      <c r="BO151" s="43"/>
      <c r="BP151" s="42"/>
    </row>
    <row r="152" spans="1:68" s="1" customFormat="1" x14ac:dyDescent="0.3">
      <c r="A152" s="12" t="s">
        <v>524</v>
      </c>
      <c r="B152" s="12">
        <v>101000</v>
      </c>
      <c r="C152" s="13" t="s">
        <v>523</v>
      </c>
      <c r="D152" s="13" t="s">
        <v>55</v>
      </c>
      <c r="E152" s="14">
        <v>15708</v>
      </c>
      <c r="F152" s="15" t="s">
        <v>137</v>
      </c>
      <c r="G152" s="6">
        <v>17</v>
      </c>
      <c r="H152" s="6">
        <v>19</v>
      </c>
      <c r="I152" s="6">
        <v>21</v>
      </c>
      <c r="J152" s="6">
        <v>34</v>
      </c>
      <c r="K152" s="6">
        <v>23</v>
      </c>
      <c r="L152" s="6">
        <v>21</v>
      </c>
      <c r="M152" s="6">
        <v>16</v>
      </c>
      <c r="N152" s="6">
        <v>45</v>
      </c>
      <c r="O152" s="6">
        <v>17</v>
      </c>
      <c r="P152" s="6">
        <v>8</v>
      </c>
      <c r="Q152" s="6">
        <v>17</v>
      </c>
      <c r="R152" s="6">
        <v>25</v>
      </c>
      <c r="S152" s="6">
        <v>0</v>
      </c>
      <c r="T152" s="6">
        <v>10</v>
      </c>
      <c r="U152" s="6">
        <v>8</v>
      </c>
      <c r="V152" s="6">
        <v>8</v>
      </c>
      <c r="W152" s="6">
        <v>12</v>
      </c>
      <c r="X152" s="6">
        <v>6</v>
      </c>
      <c r="Y152" s="6">
        <v>2</v>
      </c>
      <c r="Z152" s="6">
        <v>14</v>
      </c>
      <c r="AA152" s="6">
        <v>18</v>
      </c>
      <c r="AB152" s="6">
        <v>18</v>
      </c>
      <c r="AC152" s="6">
        <v>2</v>
      </c>
      <c r="AD152" s="6">
        <v>21</v>
      </c>
      <c r="AE152" s="6">
        <v>263</v>
      </c>
      <c r="AF152" s="6">
        <v>119</v>
      </c>
      <c r="AG152" s="16">
        <v>382</v>
      </c>
      <c r="AH152" s="17">
        <v>21.916666666666668</v>
      </c>
      <c r="AI152" s="17">
        <v>9.9166666666666661</v>
      </c>
      <c r="AJ152" s="17">
        <v>15.916666666666668</v>
      </c>
      <c r="AK152" s="49">
        <v>3.4252668725443947E-5</v>
      </c>
      <c r="AL152" s="48">
        <v>6.881573991904804</v>
      </c>
      <c r="AM152" s="19">
        <v>10.184885078289838</v>
      </c>
      <c r="AN152" s="47">
        <v>0.6939402344777954</v>
      </c>
      <c r="AO152" s="20">
        <v>0.63988806774595841</v>
      </c>
      <c r="AP152" s="44">
        <v>-0.54752851711026618</v>
      </c>
      <c r="AQ152" s="46">
        <v>1869252</v>
      </c>
      <c r="AR152" s="45">
        <v>6000456</v>
      </c>
      <c r="AS152" s="22">
        <v>3.6600046998501268E-3</v>
      </c>
      <c r="AT152" s="22">
        <v>0.84101778078442269</v>
      </c>
      <c r="AU152" s="22" t="s">
        <v>179</v>
      </c>
      <c r="AV152" s="22" t="s">
        <v>166</v>
      </c>
      <c r="AW152" s="22" t="s">
        <v>180</v>
      </c>
      <c r="AX152" s="23">
        <v>39</v>
      </c>
      <c r="AY152" s="24">
        <v>3.9327731092436977</v>
      </c>
      <c r="AZ152" s="23">
        <v>28</v>
      </c>
      <c r="BA152" s="26">
        <v>15</v>
      </c>
      <c r="BB152" s="44" t="s">
        <v>154</v>
      </c>
      <c r="BC152" s="26">
        <v>0.33055555555555555</v>
      </c>
      <c r="BD152" s="23">
        <v>30</v>
      </c>
      <c r="BE152" s="26">
        <v>19.833333333333332</v>
      </c>
      <c r="BF152" s="26">
        <v>29.75</v>
      </c>
      <c r="BG152" s="24"/>
      <c r="BH152" s="1" t="s">
        <v>522</v>
      </c>
      <c r="BI152" s="26">
        <v>68.371794871794862</v>
      </c>
      <c r="BJ152" s="23">
        <v>2.7056729917577572E-5</v>
      </c>
      <c r="BK152" s="26"/>
      <c r="BL152" s="27"/>
      <c r="BN152" s="13"/>
      <c r="BO152" s="43"/>
      <c r="BP152" s="42"/>
    </row>
    <row r="153" spans="1:68" s="1" customFormat="1" x14ac:dyDescent="0.3">
      <c r="A153" s="12" t="s">
        <v>521</v>
      </c>
      <c r="B153" s="12">
        <v>101016</v>
      </c>
      <c r="C153" s="13" t="s">
        <v>520</v>
      </c>
      <c r="D153" s="13" t="s">
        <v>47</v>
      </c>
      <c r="E153" s="14">
        <v>221578</v>
      </c>
      <c r="F153" s="15" t="s">
        <v>137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12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6</v>
      </c>
      <c r="V153" s="6">
        <v>0</v>
      </c>
      <c r="W153" s="6">
        <v>6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12</v>
      </c>
      <c r="AF153" s="6">
        <v>12</v>
      </c>
      <c r="AG153" s="16">
        <v>24</v>
      </c>
      <c r="AH153" s="17">
        <v>1</v>
      </c>
      <c r="AI153" s="17">
        <v>1</v>
      </c>
      <c r="AJ153" s="17">
        <v>1</v>
      </c>
      <c r="AK153" s="49">
        <v>3.4540506277758604E-6</v>
      </c>
      <c r="AL153" s="48">
        <v>2.3354968324845689</v>
      </c>
      <c r="AM153" s="19">
        <v>2.8892604740584606</v>
      </c>
      <c r="AN153" s="47">
        <v>2.3354968324845689</v>
      </c>
      <c r="AO153" s="20">
        <v>2.8892604740584606</v>
      </c>
      <c r="AP153" s="44">
        <v>0</v>
      </c>
      <c r="AQ153" s="46">
        <v>2658936</v>
      </c>
      <c r="AR153" s="45">
        <v>5317872</v>
      </c>
      <c r="AS153" s="22">
        <v>3.2436595674064429E-3</v>
      </c>
      <c r="AT153" s="22">
        <v>0.8476546637944522</v>
      </c>
      <c r="AU153" s="22" t="s">
        <v>179</v>
      </c>
      <c r="AV153" s="22" t="s">
        <v>166</v>
      </c>
      <c r="AW153" s="22" t="s">
        <v>180</v>
      </c>
      <c r="AX153" s="23">
        <v>6</v>
      </c>
      <c r="AY153" s="24">
        <v>6</v>
      </c>
      <c r="AZ153" s="23">
        <v>6</v>
      </c>
      <c r="BA153" s="26">
        <v>3</v>
      </c>
      <c r="BB153" s="44" t="s">
        <v>154</v>
      </c>
      <c r="BC153" s="26">
        <v>3.3333333333333333E-2</v>
      </c>
      <c r="BD153" s="23">
        <v>30</v>
      </c>
      <c r="BE153" s="26">
        <v>2</v>
      </c>
      <c r="BF153" s="26">
        <v>3</v>
      </c>
      <c r="BG153" s="24"/>
      <c r="BI153" s="26"/>
      <c r="BJ153" s="23"/>
      <c r="BK153" s="26"/>
      <c r="BL153" s="27"/>
      <c r="BN153" s="13"/>
      <c r="BO153" s="43"/>
      <c r="BP153" s="42"/>
    </row>
    <row r="154" spans="1:68" s="1" customFormat="1" x14ac:dyDescent="0.3">
      <c r="A154" s="12" t="s">
        <v>519</v>
      </c>
      <c r="B154" s="12">
        <v>102161</v>
      </c>
      <c r="C154" s="13" t="s">
        <v>518</v>
      </c>
      <c r="D154" s="13" t="s">
        <v>137</v>
      </c>
      <c r="E154" s="14">
        <v>17850</v>
      </c>
      <c r="F154" s="15" t="s">
        <v>137</v>
      </c>
      <c r="G154" s="6">
        <v>5</v>
      </c>
      <c r="H154" s="6">
        <v>10</v>
      </c>
      <c r="I154" s="6">
        <v>0</v>
      </c>
      <c r="J154" s="6">
        <v>1</v>
      </c>
      <c r="K154" s="6">
        <v>0</v>
      </c>
      <c r="L154" s="6">
        <v>0</v>
      </c>
      <c r="M154" s="6">
        <v>9</v>
      </c>
      <c r="N154" s="6">
        <v>15</v>
      </c>
      <c r="O154" s="6">
        <v>21</v>
      </c>
      <c r="P154" s="6">
        <v>17</v>
      </c>
      <c r="Q154" s="6">
        <v>0</v>
      </c>
      <c r="R154" s="6">
        <v>9</v>
      </c>
      <c r="S154" s="6">
        <v>22</v>
      </c>
      <c r="T154" s="6">
        <v>12</v>
      </c>
      <c r="U154" s="6">
        <v>16</v>
      </c>
      <c r="V154" s="6">
        <v>19</v>
      </c>
      <c r="W154" s="6">
        <v>6</v>
      </c>
      <c r="X154" s="6">
        <v>8</v>
      </c>
      <c r="Y154" s="6">
        <v>25</v>
      </c>
      <c r="Z154" s="6">
        <v>20</v>
      </c>
      <c r="AA154" s="6">
        <v>17</v>
      </c>
      <c r="AB154" s="6">
        <v>19</v>
      </c>
      <c r="AC154" s="6">
        <v>6</v>
      </c>
      <c r="AD154" s="6">
        <v>13</v>
      </c>
      <c r="AE154" s="6">
        <v>87</v>
      </c>
      <c r="AF154" s="6">
        <v>183</v>
      </c>
      <c r="AG154" s="16">
        <v>270</v>
      </c>
      <c r="AH154" s="17">
        <v>7.25</v>
      </c>
      <c r="AI154" s="17">
        <v>15.25</v>
      </c>
      <c r="AJ154" s="17">
        <v>11.25</v>
      </c>
      <c r="AK154" s="49">
        <v>5.2674272073581869E-5</v>
      </c>
      <c r="AL154" s="48">
        <v>6.2830942000954213</v>
      </c>
      <c r="AM154" s="19">
        <v>7.8864220134299838</v>
      </c>
      <c r="AN154" s="47">
        <v>0.41200617705543746</v>
      </c>
      <c r="AO154" s="20">
        <v>0.70101529008266528</v>
      </c>
      <c r="AP154" s="44">
        <v>1.103448275862069</v>
      </c>
      <c r="AQ154" s="46">
        <v>3266550</v>
      </c>
      <c r="AR154" s="45">
        <v>4819500</v>
      </c>
      <c r="AS154" s="22">
        <v>2.9396753598272675E-3</v>
      </c>
      <c r="AT154" s="22">
        <v>0.85059433915427951</v>
      </c>
      <c r="AU154" s="22" t="s">
        <v>179</v>
      </c>
      <c r="AV154" s="22" t="s">
        <v>166</v>
      </c>
      <c r="AW154" s="22" t="s">
        <v>180</v>
      </c>
      <c r="AX154" s="23">
        <v>115</v>
      </c>
      <c r="AY154" s="24">
        <v>7.5409836065573774</v>
      </c>
      <c r="AZ154" s="23">
        <v>52</v>
      </c>
      <c r="BA154" s="26">
        <v>25</v>
      </c>
      <c r="BB154" s="44" t="s">
        <v>154</v>
      </c>
      <c r="BC154" s="26">
        <v>0.5083333333333333</v>
      </c>
      <c r="BD154" s="23">
        <v>30</v>
      </c>
      <c r="BE154" s="26">
        <v>30.5</v>
      </c>
      <c r="BF154" s="26">
        <v>45.75</v>
      </c>
      <c r="BG154" s="24"/>
      <c r="BI154" s="26"/>
      <c r="BJ154" s="23"/>
      <c r="BK154" s="26"/>
      <c r="BL154" s="27"/>
      <c r="BN154" s="13"/>
      <c r="BO154" s="43"/>
      <c r="BP154" s="42"/>
    </row>
    <row r="155" spans="1:68" s="1" customFormat="1" x14ac:dyDescent="0.3">
      <c r="A155" s="12" t="s">
        <v>517</v>
      </c>
      <c r="B155" s="12">
        <v>102045</v>
      </c>
      <c r="C155" s="13" t="s">
        <v>516</v>
      </c>
      <c r="D155" s="13" t="s">
        <v>47</v>
      </c>
      <c r="E155" s="14">
        <v>38240</v>
      </c>
      <c r="F155" s="15" t="s">
        <v>137</v>
      </c>
      <c r="G155" s="6">
        <v>64</v>
      </c>
      <c r="H155" s="6">
        <v>4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28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30</v>
      </c>
      <c r="AE155" s="6">
        <v>68</v>
      </c>
      <c r="AF155" s="6">
        <v>58</v>
      </c>
      <c r="AG155" s="16">
        <v>126</v>
      </c>
      <c r="AH155" s="17">
        <v>5.666666666666667</v>
      </c>
      <c r="AI155" s="17">
        <v>4.833333333333333</v>
      </c>
      <c r="AJ155" s="17">
        <v>5.25</v>
      </c>
      <c r="AK155" s="49">
        <v>1.6694578034249992E-5</v>
      </c>
      <c r="AL155" s="48">
        <v>11.296285256935601</v>
      </c>
      <c r="AM155" s="19">
        <v>14.941189056925241</v>
      </c>
      <c r="AN155" s="47">
        <v>2.3371624669521935</v>
      </c>
      <c r="AO155" s="20">
        <v>2.8459407727476651</v>
      </c>
      <c r="AP155" s="44">
        <v>-0.14705882352941185</v>
      </c>
      <c r="AQ155" s="46">
        <v>2217920</v>
      </c>
      <c r="AR155" s="45">
        <v>4818240</v>
      </c>
      <c r="AS155" s="22">
        <v>2.9389068172495348E-3</v>
      </c>
      <c r="AT155" s="22">
        <v>0.85353324597152902</v>
      </c>
      <c r="AU155" s="22" t="s">
        <v>179</v>
      </c>
      <c r="AV155" s="22" t="s">
        <v>166</v>
      </c>
      <c r="AW155" s="22" t="s">
        <v>180</v>
      </c>
      <c r="AX155" s="23">
        <v>106</v>
      </c>
      <c r="AY155" s="24">
        <v>21.931034482758623</v>
      </c>
      <c r="AZ155" s="23">
        <v>0</v>
      </c>
      <c r="BA155" s="26">
        <v>0</v>
      </c>
      <c r="BB155" s="44" t="s">
        <v>154</v>
      </c>
      <c r="BC155" s="26">
        <v>0.16111111111111109</v>
      </c>
      <c r="BD155" s="23">
        <v>30</v>
      </c>
      <c r="BE155" s="26">
        <v>9.6666666666666661</v>
      </c>
      <c r="BF155" s="26">
        <v>14.5</v>
      </c>
      <c r="BG155" s="24"/>
      <c r="BI155" s="26"/>
      <c r="BJ155" s="23"/>
      <c r="BK155" s="26"/>
      <c r="BL155" s="27"/>
      <c r="BN155" s="13"/>
      <c r="BO155" s="43"/>
      <c r="BP155" s="42"/>
    </row>
    <row r="156" spans="1:68" s="1" customFormat="1" x14ac:dyDescent="0.3">
      <c r="A156" s="12" t="s">
        <v>515</v>
      </c>
      <c r="B156" s="12">
        <v>103031</v>
      </c>
      <c r="C156" s="13" t="s">
        <v>514</v>
      </c>
      <c r="D156" s="13" t="s">
        <v>47</v>
      </c>
      <c r="E156" s="14">
        <v>1586</v>
      </c>
      <c r="F156" s="15" t="s">
        <v>137</v>
      </c>
      <c r="G156" s="6">
        <v>302</v>
      </c>
      <c r="H156" s="6">
        <v>135</v>
      </c>
      <c r="I156" s="6">
        <v>237</v>
      </c>
      <c r="J156" s="6">
        <v>69</v>
      </c>
      <c r="K156" s="6">
        <v>126</v>
      </c>
      <c r="L156" s="6">
        <v>127</v>
      </c>
      <c r="M156" s="6">
        <v>131</v>
      </c>
      <c r="N156" s="6">
        <v>63</v>
      </c>
      <c r="O156" s="6">
        <v>80</v>
      </c>
      <c r="P156" s="6">
        <v>123</v>
      </c>
      <c r="Q156" s="6">
        <v>158</v>
      </c>
      <c r="R156" s="6">
        <v>123</v>
      </c>
      <c r="S156" s="6">
        <v>89</v>
      </c>
      <c r="T156" s="6">
        <v>256</v>
      </c>
      <c r="U156" s="6">
        <v>34</v>
      </c>
      <c r="V156" s="6">
        <v>79</v>
      </c>
      <c r="W156" s="6">
        <v>80</v>
      </c>
      <c r="X156" s="6">
        <v>122</v>
      </c>
      <c r="Y156" s="6">
        <v>114</v>
      </c>
      <c r="Z156" s="6">
        <v>310</v>
      </c>
      <c r="AA156" s="6">
        <v>75</v>
      </c>
      <c r="AB156" s="6">
        <v>50</v>
      </c>
      <c r="AC156" s="6">
        <v>86</v>
      </c>
      <c r="AD156" s="6">
        <v>17</v>
      </c>
      <c r="AE156" s="6">
        <v>1674</v>
      </c>
      <c r="AF156" s="6">
        <v>1312</v>
      </c>
      <c r="AG156" s="16">
        <v>2986</v>
      </c>
      <c r="AH156" s="17">
        <v>139.5</v>
      </c>
      <c r="AI156" s="17">
        <v>109.33333333333333</v>
      </c>
      <c r="AJ156" s="17">
        <v>124.41666666666666</v>
      </c>
      <c r="AK156" s="49">
        <v>3.7764286863682737E-4</v>
      </c>
      <c r="AL156" s="48">
        <v>87.177283668847977</v>
      </c>
      <c r="AM156" s="19">
        <v>78.200365097928241</v>
      </c>
      <c r="AN156" s="47">
        <v>0.79735320428824374</v>
      </c>
      <c r="AO156" s="20">
        <v>0.62853608919969117</v>
      </c>
      <c r="AP156" s="44">
        <v>-0.21624850657108724</v>
      </c>
      <c r="AQ156" s="46">
        <v>2080832</v>
      </c>
      <c r="AR156" s="45">
        <v>4735796</v>
      </c>
      <c r="AS156" s="22">
        <v>2.8886197344887509E-3</v>
      </c>
      <c r="AT156" s="22">
        <v>0.8593506082426996</v>
      </c>
      <c r="AU156" s="22" t="s">
        <v>179</v>
      </c>
      <c r="AV156" s="22" t="s">
        <v>166</v>
      </c>
      <c r="AW156" s="22" t="s">
        <v>180</v>
      </c>
      <c r="AX156" s="23">
        <v>731</v>
      </c>
      <c r="AY156" s="24">
        <v>6.6859756097560981</v>
      </c>
      <c r="AZ156" s="23">
        <v>140</v>
      </c>
      <c r="BA156" s="26">
        <v>60</v>
      </c>
      <c r="BB156" s="44" t="s">
        <v>154</v>
      </c>
      <c r="BC156" s="26">
        <v>3.6444444444444444</v>
      </c>
      <c r="BD156" s="23">
        <v>30</v>
      </c>
      <c r="BE156" s="26">
        <v>218.66666666666666</v>
      </c>
      <c r="BF156" s="26">
        <v>328</v>
      </c>
      <c r="BG156" s="24"/>
      <c r="BI156" s="26"/>
      <c r="BJ156" s="23"/>
      <c r="BK156" s="26"/>
      <c r="BL156" s="27"/>
      <c r="BN156" s="13"/>
      <c r="BO156" s="43"/>
      <c r="BP156" s="42"/>
    </row>
    <row r="157" spans="1:68" s="1" customFormat="1" x14ac:dyDescent="0.3">
      <c r="A157" s="12" t="s">
        <v>513</v>
      </c>
      <c r="B157" s="12">
        <v>106085</v>
      </c>
      <c r="C157" s="13" t="s">
        <v>512</v>
      </c>
      <c r="D157" s="13" t="s">
        <v>55</v>
      </c>
      <c r="E157" s="14">
        <v>4046</v>
      </c>
      <c r="F157" s="15" t="s">
        <v>137</v>
      </c>
      <c r="G157" s="6">
        <v>22</v>
      </c>
      <c r="H157" s="6">
        <v>0</v>
      </c>
      <c r="I157" s="6">
        <v>39</v>
      </c>
      <c r="J157" s="6">
        <v>81</v>
      </c>
      <c r="K157" s="6">
        <v>4</v>
      </c>
      <c r="L157" s="6">
        <v>68</v>
      </c>
      <c r="M157" s="6">
        <v>61</v>
      </c>
      <c r="N157" s="6">
        <v>54</v>
      </c>
      <c r="O157" s="6">
        <v>9</v>
      </c>
      <c r="P157" s="6">
        <v>14</v>
      </c>
      <c r="Q157" s="6">
        <v>41</v>
      </c>
      <c r="R157" s="6">
        <v>74</v>
      </c>
      <c r="S157" s="6">
        <v>120</v>
      </c>
      <c r="T157" s="6">
        <v>67</v>
      </c>
      <c r="U157" s="6">
        <v>38</v>
      </c>
      <c r="V157" s="6">
        <v>44</v>
      </c>
      <c r="W157" s="6">
        <v>5</v>
      </c>
      <c r="X157" s="6">
        <v>0</v>
      </c>
      <c r="Y157" s="6">
        <v>58</v>
      </c>
      <c r="Z157" s="6">
        <v>112</v>
      </c>
      <c r="AA157" s="6">
        <v>26</v>
      </c>
      <c r="AB157" s="6">
        <v>105</v>
      </c>
      <c r="AC157" s="6">
        <v>82</v>
      </c>
      <c r="AD157" s="6">
        <v>22</v>
      </c>
      <c r="AE157" s="6">
        <v>467</v>
      </c>
      <c r="AF157" s="6">
        <v>679</v>
      </c>
      <c r="AG157" s="16">
        <v>1146</v>
      </c>
      <c r="AH157" s="17">
        <v>38.916666666666664</v>
      </c>
      <c r="AI157" s="17">
        <v>56.583333333333336</v>
      </c>
      <c r="AJ157" s="17">
        <v>47.75</v>
      </c>
      <c r="AK157" s="49">
        <v>1.9544169802165076E-4</v>
      </c>
      <c r="AL157" s="48">
        <v>41.221041258370008</v>
      </c>
      <c r="AM157" s="19">
        <v>35.914451493611267</v>
      </c>
      <c r="AN157" s="47">
        <v>0.72850146553820339</v>
      </c>
      <c r="AO157" s="20">
        <v>0.75213510981384857</v>
      </c>
      <c r="AP157" s="44">
        <v>0.45396145610278388</v>
      </c>
      <c r="AQ157" s="46">
        <v>2747234</v>
      </c>
      <c r="AR157" s="45">
        <v>4636716</v>
      </c>
      <c r="AS157" s="22">
        <v>2.8281854498841889E-3</v>
      </c>
      <c r="AT157" s="22">
        <v>0.86502728086560865</v>
      </c>
      <c r="AU157" s="22" t="s">
        <v>179</v>
      </c>
      <c r="AV157" s="22" t="s">
        <v>166</v>
      </c>
      <c r="AW157" s="22" t="s">
        <v>180</v>
      </c>
      <c r="AX157" s="23">
        <v>120</v>
      </c>
      <c r="AY157" s="24">
        <v>2.1207658321060383</v>
      </c>
      <c r="AZ157" s="23">
        <v>45</v>
      </c>
      <c r="BA157" s="26">
        <v>25</v>
      </c>
      <c r="BB157" s="44" t="s">
        <v>154</v>
      </c>
      <c r="BC157" s="26">
        <v>1.8861111111111113</v>
      </c>
      <c r="BD157" s="23">
        <v>30</v>
      </c>
      <c r="BE157" s="26">
        <v>113.16666666666667</v>
      </c>
      <c r="BF157" s="26">
        <v>169.75</v>
      </c>
      <c r="BG157" s="24"/>
      <c r="BH157" s="1" t="s">
        <v>511</v>
      </c>
      <c r="BI157" s="26">
        <v>215.19230769230768</v>
      </c>
      <c r="BJ157" s="23">
        <v>2.4293489415356884E-3</v>
      </c>
      <c r="BK157" s="26"/>
      <c r="BL157" s="27"/>
      <c r="BN157" s="13"/>
      <c r="BO157" s="43"/>
      <c r="BP157" s="42"/>
    </row>
    <row r="158" spans="1:68" s="1" customFormat="1" x14ac:dyDescent="0.3">
      <c r="A158" s="12" t="s">
        <v>510</v>
      </c>
      <c r="B158" s="12">
        <v>102010</v>
      </c>
      <c r="C158" s="13" t="s">
        <v>509</v>
      </c>
      <c r="D158" s="13" t="s">
        <v>44</v>
      </c>
      <c r="E158" s="14">
        <v>243</v>
      </c>
      <c r="F158" s="15" t="s">
        <v>137</v>
      </c>
      <c r="G158" s="6">
        <v>564</v>
      </c>
      <c r="H158" s="6">
        <v>387</v>
      </c>
      <c r="I158" s="6">
        <v>554</v>
      </c>
      <c r="J158" s="6">
        <v>602</v>
      </c>
      <c r="K158" s="6">
        <v>346</v>
      </c>
      <c r="L158" s="6">
        <v>989</v>
      </c>
      <c r="M158" s="6">
        <v>959</v>
      </c>
      <c r="N158" s="6">
        <v>582</v>
      </c>
      <c r="O158" s="6">
        <v>2370</v>
      </c>
      <c r="P158" s="6">
        <v>1307</v>
      </c>
      <c r="Q158" s="6">
        <v>766</v>
      </c>
      <c r="R158" s="6">
        <v>641</v>
      </c>
      <c r="S158" s="6">
        <v>927</v>
      </c>
      <c r="T158" s="6">
        <v>535</v>
      </c>
      <c r="U158" s="6">
        <v>502</v>
      </c>
      <c r="V158" s="6">
        <v>638</v>
      </c>
      <c r="W158" s="6">
        <v>712</v>
      </c>
      <c r="X158" s="6">
        <v>842</v>
      </c>
      <c r="Y158" s="6">
        <v>678</v>
      </c>
      <c r="Z158" s="6">
        <v>692</v>
      </c>
      <c r="AA158" s="6">
        <v>765</v>
      </c>
      <c r="AB158" s="6">
        <v>875</v>
      </c>
      <c r="AC158" s="6">
        <v>941</v>
      </c>
      <c r="AD158" s="6">
        <v>550</v>
      </c>
      <c r="AE158" s="6">
        <v>10067</v>
      </c>
      <c r="AF158" s="6">
        <v>8657</v>
      </c>
      <c r="AG158" s="16">
        <v>18724</v>
      </c>
      <c r="AH158" s="17">
        <v>838.91666666666663</v>
      </c>
      <c r="AI158" s="17">
        <v>721.41666666666663</v>
      </c>
      <c r="AJ158" s="17">
        <v>780.16666666666663</v>
      </c>
      <c r="AK158" s="49">
        <v>2.4918096903879684E-3</v>
      </c>
      <c r="AL158" s="48">
        <v>151.53304970043723</v>
      </c>
      <c r="AM158" s="19">
        <v>401.42470913167426</v>
      </c>
      <c r="AN158" s="47">
        <v>0.2100492776256494</v>
      </c>
      <c r="AO158" s="20">
        <v>0.51453711916044553</v>
      </c>
      <c r="AP158" s="44">
        <v>-0.14006158736465679</v>
      </c>
      <c r="AQ158" s="46">
        <v>2103651</v>
      </c>
      <c r="AR158" s="45">
        <v>4549932</v>
      </c>
      <c r="AS158" s="22">
        <v>2.7752511649112147E-3</v>
      </c>
      <c r="AT158" s="22">
        <v>0.86780253203051982</v>
      </c>
      <c r="AU158" s="22" t="s">
        <v>179</v>
      </c>
      <c r="AV158" s="22" t="s">
        <v>166</v>
      </c>
      <c r="AW158" s="22" t="s">
        <v>180</v>
      </c>
      <c r="AX158" s="23">
        <v>1582</v>
      </c>
      <c r="AY158" s="24">
        <v>2.1929074737206884</v>
      </c>
      <c r="AZ158" s="23">
        <v>1400</v>
      </c>
      <c r="BA158" s="26">
        <v>800</v>
      </c>
      <c r="BB158" s="44" t="s">
        <v>154</v>
      </c>
      <c r="BC158" s="26">
        <v>24.047222222222221</v>
      </c>
      <c r="BD158" s="23">
        <v>30</v>
      </c>
      <c r="BE158" s="26">
        <v>1442.8333333333333</v>
      </c>
      <c r="BF158" s="26">
        <v>2164.25</v>
      </c>
      <c r="BG158" s="24"/>
      <c r="BI158" s="26"/>
      <c r="BJ158" s="23"/>
      <c r="BK158" s="26"/>
      <c r="BL158" s="27"/>
      <c r="BN158" s="13"/>
      <c r="BO158" s="43"/>
      <c r="BP158" s="42"/>
    </row>
    <row r="159" spans="1:68" s="1" customFormat="1" x14ac:dyDescent="0.3">
      <c r="A159" s="12" t="s">
        <v>508</v>
      </c>
      <c r="B159" s="12">
        <v>102196</v>
      </c>
      <c r="C159" s="13" t="s">
        <v>507</v>
      </c>
      <c r="D159" s="13" t="s">
        <v>137</v>
      </c>
      <c r="E159" s="14">
        <v>9282</v>
      </c>
      <c r="F159" s="15" t="s">
        <v>137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8</v>
      </c>
      <c r="W159" s="6">
        <v>78</v>
      </c>
      <c r="X159" s="6">
        <v>7</v>
      </c>
      <c r="Y159" s="6">
        <v>41</v>
      </c>
      <c r="Z159" s="6">
        <v>59</v>
      </c>
      <c r="AA159" s="6">
        <v>44</v>
      </c>
      <c r="AB159" s="6">
        <v>79</v>
      </c>
      <c r="AC159" s="6">
        <v>69</v>
      </c>
      <c r="AD159" s="6">
        <v>75</v>
      </c>
      <c r="AE159" s="6">
        <v>0</v>
      </c>
      <c r="AF159" s="6">
        <v>460</v>
      </c>
      <c r="AG159" s="16">
        <v>460</v>
      </c>
      <c r="AH159" s="17">
        <v>0</v>
      </c>
      <c r="AI159" s="17">
        <v>38.333333333333336</v>
      </c>
      <c r="AJ159" s="17">
        <v>19.166666666666668</v>
      </c>
      <c r="AK159" s="49">
        <v>1.3240527406474132E-4</v>
      </c>
      <c r="AL159" s="48">
        <v>33.423816585655132</v>
      </c>
      <c r="AM159" s="19">
        <v>30.292295858944023</v>
      </c>
      <c r="AN159" s="47">
        <v>0.87192565006056866</v>
      </c>
      <c r="AO159" s="20">
        <v>1.580467610031862</v>
      </c>
      <c r="AP159" s="44">
        <v>0</v>
      </c>
      <c r="AQ159" s="46">
        <v>4269720</v>
      </c>
      <c r="AR159" s="45">
        <v>4269720</v>
      </c>
      <c r="AS159" s="22">
        <v>2.6043346150766014E-3</v>
      </c>
      <c r="AT159" s="22">
        <v>0.87588272031285275</v>
      </c>
      <c r="AU159" s="22" t="s">
        <v>179</v>
      </c>
      <c r="AV159" s="22" t="s">
        <v>166</v>
      </c>
      <c r="AW159" s="22" t="s">
        <v>180</v>
      </c>
      <c r="AX159" s="23">
        <v>80</v>
      </c>
      <c r="AY159" s="24">
        <v>2.0869565217391304</v>
      </c>
      <c r="AZ159" s="23">
        <v>88</v>
      </c>
      <c r="BA159" s="26">
        <v>50</v>
      </c>
      <c r="BB159" s="44" t="s">
        <v>154</v>
      </c>
      <c r="BC159" s="26">
        <v>1.2777777777777779</v>
      </c>
      <c r="BD159" s="23">
        <v>30</v>
      </c>
      <c r="BE159" s="26">
        <v>76.666666666666671</v>
      </c>
      <c r="BF159" s="26">
        <v>115</v>
      </c>
      <c r="BG159" s="24"/>
      <c r="BH159" s="1" t="s">
        <v>506</v>
      </c>
      <c r="BI159" s="26">
        <v>108.48717948717947</v>
      </c>
      <c r="BJ159" s="23">
        <v>9.3550082877786028E-3</v>
      </c>
      <c r="BK159" s="26"/>
      <c r="BL159" s="27"/>
      <c r="BN159" s="13"/>
      <c r="BO159" s="43"/>
      <c r="BP159" s="42"/>
    </row>
    <row r="160" spans="1:68" s="1" customFormat="1" x14ac:dyDescent="0.3">
      <c r="A160" s="12" t="s">
        <v>505</v>
      </c>
      <c r="B160" s="12">
        <v>102151</v>
      </c>
      <c r="C160" s="13" t="s">
        <v>504</v>
      </c>
      <c r="D160" s="13" t="s">
        <v>62</v>
      </c>
      <c r="E160" s="14">
        <v>119000</v>
      </c>
      <c r="F160" s="15" t="s">
        <v>137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17</v>
      </c>
      <c r="S160" s="6">
        <v>0</v>
      </c>
      <c r="T160" s="6">
        <v>5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6</v>
      </c>
      <c r="AD160" s="6">
        <v>7</v>
      </c>
      <c r="AE160" s="6">
        <v>17</v>
      </c>
      <c r="AF160" s="6">
        <v>18</v>
      </c>
      <c r="AG160" s="16">
        <v>35</v>
      </c>
      <c r="AH160" s="17">
        <v>1.4166666666666667</v>
      </c>
      <c r="AI160" s="17">
        <v>1.5</v>
      </c>
      <c r="AJ160" s="17">
        <v>1.4583333333333335</v>
      </c>
      <c r="AK160" s="49">
        <v>5.1810759416637902E-6</v>
      </c>
      <c r="AL160" s="48">
        <v>2.7468990781342053</v>
      </c>
      <c r="AM160" s="19">
        <v>3.8895530833767773</v>
      </c>
      <c r="AN160" s="47">
        <v>1.8312660520894701</v>
      </c>
      <c r="AO160" s="20">
        <v>2.6671221143155042</v>
      </c>
      <c r="AP160" s="44">
        <v>5.882352941176465E-2</v>
      </c>
      <c r="AQ160" s="46">
        <v>2142000</v>
      </c>
      <c r="AR160" s="45">
        <v>4165000</v>
      </c>
      <c r="AS160" s="22">
        <v>2.5404601875050458E-3</v>
      </c>
      <c r="AT160" s="22">
        <v>0.88100152007767429</v>
      </c>
      <c r="AU160" s="22" t="s">
        <v>179</v>
      </c>
      <c r="AV160" s="22" t="s">
        <v>166</v>
      </c>
      <c r="AW160" s="22" t="s">
        <v>180</v>
      </c>
      <c r="AX160" s="23">
        <v>0</v>
      </c>
      <c r="AY160" s="24">
        <v>0</v>
      </c>
      <c r="AZ160" s="23">
        <v>0</v>
      </c>
      <c r="BA160" s="26">
        <v>0</v>
      </c>
      <c r="BB160" s="44" t="s">
        <v>198</v>
      </c>
      <c r="BC160" s="26">
        <v>0.05</v>
      </c>
      <c r="BD160" s="23">
        <v>30</v>
      </c>
      <c r="BE160" s="26">
        <v>3</v>
      </c>
      <c r="BF160" s="26">
        <v>4.5</v>
      </c>
      <c r="BG160" s="24"/>
      <c r="BI160" s="26"/>
      <c r="BJ160" s="23"/>
      <c r="BK160" s="26"/>
      <c r="BL160" s="27"/>
      <c r="BN160" s="13"/>
      <c r="BO160" s="43"/>
      <c r="BP160" s="42"/>
    </row>
    <row r="161" spans="1:68" s="1" customFormat="1" x14ac:dyDescent="0.3">
      <c r="A161" s="12" t="s">
        <v>503</v>
      </c>
      <c r="B161" s="12">
        <v>106040</v>
      </c>
      <c r="C161" s="13" t="s">
        <v>502</v>
      </c>
      <c r="D161" s="13" t="s">
        <v>44</v>
      </c>
      <c r="E161" s="14">
        <v>4043</v>
      </c>
      <c r="F161" s="15" t="s">
        <v>137</v>
      </c>
      <c r="G161" s="6">
        <v>0</v>
      </c>
      <c r="H161" s="6">
        <v>9</v>
      </c>
      <c r="I161" s="6">
        <v>0</v>
      </c>
      <c r="J161" s="6">
        <v>17</v>
      </c>
      <c r="K161" s="6">
        <v>0</v>
      </c>
      <c r="L161" s="6">
        <v>105</v>
      </c>
      <c r="M161" s="6">
        <v>6</v>
      </c>
      <c r="N161" s="6">
        <v>79</v>
      </c>
      <c r="O161" s="6">
        <v>54</v>
      </c>
      <c r="P161" s="6">
        <v>11</v>
      </c>
      <c r="Q161" s="6">
        <v>24</v>
      </c>
      <c r="R161" s="6">
        <v>0</v>
      </c>
      <c r="S161" s="6">
        <v>15</v>
      </c>
      <c r="T161" s="6">
        <v>34</v>
      </c>
      <c r="U161" s="6">
        <v>28</v>
      </c>
      <c r="V161" s="6">
        <v>20</v>
      </c>
      <c r="W161" s="6">
        <v>72</v>
      </c>
      <c r="X161" s="6">
        <v>26</v>
      </c>
      <c r="Y161" s="6">
        <v>46</v>
      </c>
      <c r="Z161" s="6">
        <v>110</v>
      </c>
      <c r="AA161" s="6">
        <v>147</v>
      </c>
      <c r="AB161" s="6">
        <v>102</v>
      </c>
      <c r="AC161" s="6">
        <v>23</v>
      </c>
      <c r="AD161" s="6">
        <v>33</v>
      </c>
      <c r="AE161" s="6">
        <v>305</v>
      </c>
      <c r="AF161" s="6">
        <v>656</v>
      </c>
      <c r="AG161" s="16">
        <v>961</v>
      </c>
      <c r="AH161" s="17">
        <v>25.416666666666668</v>
      </c>
      <c r="AI161" s="17">
        <v>54.666666666666664</v>
      </c>
      <c r="AJ161" s="17">
        <v>40.041666666666664</v>
      </c>
      <c r="AK161" s="49">
        <v>1.8882143431841369E-4</v>
      </c>
      <c r="AL161" s="48">
        <v>43.075690958069977</v>
      </c>
      <c r="AM161" s="19">
        <v>41.218905715773161</v>
      </c>
      <c r="AN161" s="47">
        <v>0.78796995655006064</v>
      </c>
      <c r="AO161" s="20">
        <v>1.029400350862181</v>
      </c>
      <c r="AP161" s="44">
        <v>1.1508196721311474</v>
      </c>
      <c r="AQ161" s="46">
        <v>2652208</v>
      </c>
      <c r="AR161" s="45">
        <v>3885323</v>
      </c>
      <c r="AS161" s="22">
        <v>2.3698699632887558E-3</v>
      </c>
      <c r="AT161" s="22">
        <v>0.89546876928569163</v>
      </c>
      <c r="AU161" s="22" t="s">
        <v>179</v>
      </c>
      <c r="AV161" s="22" t="s">
        <v>166</v>
      </c>
      <c r="AW161" s="22" t="s">
        <v>180</v>
      </c>
      <c r="AX161" s="23">
        <v>72</v>
      </c>
      <c r="AY161" s="24">
        <v>1.3170731707317074</v>
      </c>
      <c r="AZ161" s="23">
        <v>88</v>
      </c>
      <c r="BA161" s="26">
        <v>50</v>
      </c>
      <c r="BB161" s="44" t="s">
        <v>154</v>
      </c>
      <c r="BC161" s="26">
        <v>1.8222222222222222</v>
      </c>
      <c r="BD161" s="23">
        <v>30</v>
      </c>
      <c r="BE161" s="26">
        <v>109.33333333333333</v>
      </c>
      <c r="BF161" s="26">
        <v>164</v>
      </c>
      <c r="BG161" s="24"/>
      <c r="BI161" s="26"/>
      <c r="BJ161" s="23"/>
      <c r="BK161" s="26"/>
      <c r="BL161" s="27"/>
      <c r="BN161" s="13"/>
      <c r="BO161" s="43"/>
      <c r="BP161" s="42"/>
    </row>
    <row r="162" spans="1:68" s="1" customFormat="1" x14ac:dyDescent="0.3">
      <c r="A162" s="12" t="s">
        <v>501</v>
      </c>
      <c r="B162" s="12">
        <v>103029</v>
      </c>
      <c r="C162" s="13" t="s">
        <v>500</v>
      </c>
      <c r="D162" s="13" t="s">
        <v>47</v>
      </c>
      <c r="E162" s="14">
        <v>2975</v>
      </c>
      <c r="F162" s="15" t="s">
        <v>137</v>
      </c>
      <c r="G162" s="6">
        <v>170</v>
      </c>
      <c r="H162" s="6">
        <v>14</v>
      </c>
      <c r="I162" s="6">
        <v>96</v>
      </c>
      <c r="J162" s="6">
        <v>2</v>
      </c>
      <c r="K162" s="6">
        <v>177</v>
      </c>
      <c r="L162" s="6">
        <v>127</v>
      </c>
      <c r="M162" s="6">
        <v>50</v>
      </c>
      <c r="N162" s="6">
        <v>0</v>
      </c>
      <c r="O162" s="6">
        <v>18</v>
      </c>
      <c r="P162" s="6">
        <v>0</v>
      </c>
      <c r="Q162" s="6">
        <v>36</v>
      </c>
      <c r="R162" s="6">
        <v>52</v>
      </c>
      <c r="S162" s="6">
        <v>88</v>
      </c>
      <c r="T162" s="6">
        <v>18</v>
      </c>
      <c r="U162" s="6">
        <v>63</v>
      </c>
      <c r="V162" s="6">
        <v>50</v>
      </c>
      <c r="W162" s="6">
        <v>120</v>
      </c>
      <c r="X162" s="6">
        <v>15</v>
      </c>
      <c r="Y162" s="6">
        <v>32</v>
      </c>
      <c r="Z162" s="6">
        <v>56</v>
      </c>
      <c r="AA162" s="6">
        <v>66</v>
      </c>
      <c r="AB162" s="6">
        <v>27</v>
      </c>
      <c r="AC162" s="6">
        <v>0</v>
      </c>
      <c r="AD162" s="6">
        <v>0</v>
      </c>
      <c r="AE162" s="6">
        <v>742</v>
      </c>
      <c r="AF162" s="6">
        <v>535</v>
      </c>
      <c r="AG162" s="16">
        <v>1277</v>
      </c>
      <c r="AH162" s="17">
        <v>61.833333333333336</v>
      </c>
      <c r="AI162" s="17">
        <v>44.583333333333336</v>
      </c>
      <c r="AJ162" s="17">
        <v>53.208333333333336</v>
      </c>
      <c r="AK162" s="49">
        <v>1.5399309048834043E-4</v>
      </c>
      <c r="AL162" s="48">
        <v>36.375462092243481</v>
      </c>
      <c r="AM162" s="19">
        <v>52.360771215852431</v>
      </c>
      <c r="AN162" s="47">
        <v>0.81589821515312477</v>
      </c>
      <c r="AO162" s="20">
        <v>0.98407087641382796</v>
      </c>
      <c r="AP162" s="44">
        <v>-0.27897574123989216</v>
      </c>
      <c r="AQ162" s="46">
        <v>1591625</v>
      </c>
      <c r="AR162" s="45">
        <v>3799075</v>
      </c>
      <c r="AS162" s="22">
        <v>2.3172626138885312E-3</v>
      </c>
      <c r="AT162" s="22">
        <v>0.9001313554668724</v>
      </c>
      <c r="AU162" s="22" t="s">
        <v>179</v>
      </c>
      <c r="AV162" s="22" t="s">
        <v>166</v>
      </c>
      <c r="AW162" s="22" t="s">
        <v>180</v>
      </c>
      <c r="AX162" s="23">
        <v>37</v>
      </c>
      <c r="AY162" s="24">
        <v>0.82990654205607473</v>
      </c>
      <c r="AZ162" s="23">
        <v>220</v>
      </c>
      <c r="BA162" s="26">
        <v>125</v>
      </c>
      <c r="BB162" s="44" t="s">
        <v>198</v>
      </c>
      <c r="BC162" s="26">
        <v>1.4861111111111112</v>
      </c>
      <c r="BD162" s="23">
        <v>30</v>
      </c>
      <c r="BE162" s="26">
        <v>89.166666666666671</v>
      </c>
      <c r="BF162" s="26">
        <v>133.75</v>
      </c>
      <c r="BG162" s="24"/>
      <c r="BI162" s="26"/>
      <c r="BJ162" s="23"/>
      <c r="BK162" s="26"/>
      <c r="BL162" s="27"/>
      <c r="BN162" s="13"/>
      <c r="BO162" s="43"/>
      <c r="BP162" s="42"/>
    </row>
    <row r="163" spans="1:68" s="1" customFormat="1" x14ac:dyDescent="0.3">
      <c r="A163" s="12" t="s">
        <v>499</v>
      </c>
      <c r="B163" s="12">
        <v>109050</v>
      </c>
      <c r="C163" s="13" t="s">
        <v>498</v>
      </c>
      <c r="D163" s="13" t="s">
        <v>44</v>
      </c>
      <c r="E163" s="14">
        <v>1404</v>
      </c>
      <c r="F163" s="15" t="s">
        <v>137</v>
      </c>
      <c r="G163" s="6">
        <v>82</v>
      </c>
      <c r="H163" s="6">
        <v>321</v>
      </c>
      <c r="I163" s="6">
        <v>118</v>
      </c>
      <c r="J163" s="6">
        <v>78</v>
      </c>
      <c r="K163" s="6">
        <v>72</v>
      </c>
      <c r="L163" s="6">
        <v>86</v>
      </c>
      <c r="M163" s="6">
        <v>256</v>
      </c>
      <c r="N163" s="6">
        <v>406</v>
      </c>
      <c r="O163" s="6">
        <v>83</v>
      </c>
      <c r="P163" s="6">
        <v>103</v>
      </c>
      <c r="Q163" s="6">
        <v>61</v>
      </c>
      <c r="R163" s="6">
        <v>45</v>
      </c>
      <c r="S163" s="6">
        <v>71</v>
      </c>
      <c r="T163" s="6">
        <v>80</v>
      </c>
      <c r="U163" s="6">
        <v>58</v>
      </c>
      <c r="V163" s="6">
        <v>112</v>
      </c>
      <c r="W163" s="6">
        <v>133</v>
      </c>
      <c r="X163" s="6">
        <v>84</v>
      </c>
      <c r="Y163" s="6">
        <v>94</v>
      </c>
      <c r="Z163" s="6">
        <v>145</v>
      </c>
      <c r="AA163" s="6">
        <v>63</v>
      </c>
      <c r="AB163" s="6">
        <v>59</v>
      </c>
      <c r="AC163" s="6">
        <v>0</v>
      </c>
      <c r="AD163" s="6">
        <v>93</v>
      </c>
      <c r="AE163" s="6">
        <v>1711</v>
      </c>
      <c r="AF163" s="6">
        <v>992</v>
      </c>
      <c r="AG163" s="16">
        <v>2703</v>
      </c>
      <c r="AH163" s="17">
        <v>142.58333333333334</v>
      </c>
      <c r="AI163" s="17">
        <v>82.666666666666671</v>
      </c>
      <c r="AJ163" s="17">
        <v>112.625</v>
      </c>
      <c r="AK163" s="49">
        <v>2.8553485189613777E-4</v>
      </c>
      <c r="AL163" s="48">
        <v>38.196461838365309</v>
      </c>
      <c r="AM163" s="19">
        <v>90.793033873750474</v>
      </c>
      <c r="AN163" s="47">
        <v>0.46205397385119323</v>
      </c>
      <c r="AO163" s="20">
        <v>0.80615346391787324</v>
      </c>
      <c r="AP163" s="44">
        <v>-0.4202220923436587</v>
      </c>
      <c r="AQ163" s="46">
        <v>1392768</v>
      </c>
      <c r="AR163" s="45">
        <v>3795012</v>
      </c>
      <c r="AS163" s="22">
        <v>2.314784369052557E-3</v>
      </c>
      <c r="AT163" s="22">
        <v>0.90244613983592492</v>
      </c>
      <c r="AU163" s="22" t="s">
        <v>179</v>
      </c>
      <c r="AV163" s="22" t="s">
        <v>166</v>
      </c>
      <c r="AW163" s="22" t="s">
        <v>180</v>
      </c>
      <c r="AX163" s="23">
        <v>151</v>
      </c>
      <c r="AY163" s="24">
        <v>1.8266129032258063</v>
      </c>
      <c r="AZ163" s="23">
        <v>280</v>
      </c>
      <c r="BA163" s="26">
        <v>180</v>
      </c>
      <c r="BB163" s="44" t="s">
        <v>198</v>
      </c>
      <c r="BC163" s="26">
        <v>2.7555555555555555</v>
      </c>
      <c r="BD163" s="23">
        <v>30</v>
      </c>
      <c r="BE163" s="26">
        <v>165.33333333333334</v>
      </c>
      <c r="BF163" s="26">
        <v>248</v>
      </c>
      <c r="BG163" s="24"/>
      <c r="BI163" s="26"/>
      <c r="BJ163" s="23"/>
      <c r="BK163" s="26"/>
      <c r="BL163" s="27"/>
      <c r="BN163" s="13"/>
      <c r="BO163" s="43"/>
      <c r="BP163" s="42"/>
    </row>
    <row r="164" spans="1:68" s="1" customFormat="1" x14ac:dyDescent="0.3">
      <c r="A164" s="12" t="s">
        <v>497</v>
      </c>
      <c r="B164" s="12">
        <v>106001</v>
      </c>
      <c r="C164" s="13" t="s">
        <v>496</v>
      </c>
      <c r="D164" s="13" t="s">
        <v>44</v>
      </c>
      <c r="E164" s="14">
        <v>238</v>
      </c>
      <c r="F164" s="15" t="s">
        <v>137</v>
      </c>
      <c r="G164" s="6">
        <v>430</v>
      </c>
      <c r="H164" s="6">
        <v>892</v>
      </c>
      <c r="I164" s="6">
        <v>233</v>
      </c>
      <c r="J164" s="6">
        <v>0</v>
      </c>
      <c r="K164" s="6">
        <v>835</v>
      </c>
      <c r="L164" s="6">
        <v>300</v>
      </c>
      <c r="M164" s="6">
        <v>390</v>
      </c>
      <c r="N164" s="6">
        <v>346</v>
      </c>
      <c r="O164" s="6">
        <v>712</v>
      </c>
      <c r="P164" s="6">
        <v>444</v>
      </c>
      <c r="Q164" s="6">
        <v>25</v>
      </c>
      <c r="R164" s="6">
        <v>130</v>
      </c>
      <c r="S164" s="6">
        <v>930</v>
      </c>
      <c r="T164" s="6">
        <v>665</v>
      </c>
      <c r="U164" s="6">
        <v>2216</v>
      </c>
      <c r="V164" s="6">
        <v>1163</v>
      </c>
      <c r="W164" s="6">
        <v>2245</v>
      </c>
      <c r="X164" s="6">
        <v>150</v>
      </c>
      <c r="Y164" s="6">
        <v>210</v>
      </c>
      <c r="Z164" s="6">
        <v>1210</v>
      </c>
      <c r="AA164" s="6">
        <v>50</v>
      </c>
      <c r="AB164" s="6">
        <v>0</v>
      </c>
      <c r="AC164" s="6">
        <v>210</v>
      </c>
      <c r="AD164" s="6">
        <v>920</v>
      </c>
      <c r="AE164" s="6">
        <v>4737</v>
      </c>
      <c r="AF164" s="6">
        <v>9969</v>
      </c>
      <c r="AG164" s="16">
        <v>14706</v>
      </c>
      <c r="AH164" s="17">
        <v>394.75</v>
      </c>
      <c r="AI164" s="17">
        <v>830.75</v>
      </c>
      <c r="AJ164" s="17">
        <v>612.75</v>
      </c>
      <c r="AK164" s="49">
        <v>2.8694525590247958E-3</v>
      </c>
      <c r="AL164" s="48">
        <v>783.48453892037503</v>
      </c>
      <c r="AM164" s="19">
        <v>619.90435798071167</v>
      </c>
      <c r="AN164" s="47">
        <v>0.9431050724289799</v>
      </c>
      <c r="AO164" s="20">
        <v>1.0116758188179709</v>
      </c>
      <c r="AP164" s="44">
        <v>1.1044965167827738</v>
      </c>
      <c r="AQ164" s="46">
        <v>2372622</v>
      </c>
      <c r="AR164" s="45">
        <v>3500028</v>
      </c>
      <c r="AS164" s="22">
        <v>2.1348575724256689E-3</v>
      </c>
      <c r="AT164" s="22">
        <v>0.90688387180726604</v>
      </c>
      <c r="AU164" s="22" t="s">
        <v>179</v>
      </c>
      <c r="AV164" s="22" t="s">
        <v>166</v>
      </c>
      <c r="AW164" s="22" t="s">
        <v>180</v>
      </c>
      <c r="AX164" s="23">
        <v>1560</v>
      </c>
      <c r="AY164" s="24">
        <v>1.8778212458621728</v>
      </c>
      <c r="AZ164" s="23">
        <v>455</v>
      </c>
      <c r="BA164" s="26">
        <v>250</v>
      </c>
      <c r="BB164" s="44" t="s">
        <v>154</v>
      </c>
      <c r="BC164" s="26">
        <v>27.691666666666666</v>
      </c>
      <c r="BD164" s="23">
        <v>30</v>
      </c>
      <c r="BE164" s="26">
        <v>1661.5</v>
      </c>
      <c r="BF164" s="26">
        <v>2492.25</v>
      </c>
      <c r="BG164" s="24"/>
      <c r="BI164" s="26"/>
      <c r="BJ164" s="23"/>
      <c r="BK164" s="26"/>
      <c r="BL164" s="27"/>
      <c r="BN164" s="13"/>
      <c r="BO164" s="43"/>
      <c r="BP164" s="42"/>
    </row>
    <row r="165" spans="1:68" s="1" customFormat="1" x14ac:dyDescent="0.3">
      <c r="A165" s="12" t="s">
        <v>495</v>
      </c>
      <c r="B165" s="12">
        <v>106037</v>
      </c>
      <c r="C165" s="13" t="s">
        <v>494</v>
      </c>
      <c r="D165" s="13" t="s">
        <v>44</v>
      </c>
      <c r="E165" s="14">
        <v>409</v>
      </c>
      <c r="F165" s="15" t="s">
        <v>137</v>
      </c>
      <c r="G165" s="6">
        <v>939</v>
      </c>
      <c r="H165" s="6">
        <v>742</v>
      </c>
      <c r="I165" s="6">
        <v>606</v>
      </c>
      <c r="J165" s="6">
        <v>159</v>
      </c>
      <c r="K165" s="6">
        <v>398</v>
      </c>
      <c r="L165" s="6">
        <v>375</v>
      </c>
      <c r="M165" s="6">
        <v>59</v>
      </c>
      <c r="N165" s="6">
        <v>358</v>
      </c>
      <c r="O165" s="6">
        <v>8</v>
      </c>
      <c r="P165" s="6">
        <v>54</v>
      </c>
      <c r="Q165" s="6">
        <v>530</v>
      </c>
      <c r="R165" s="6">
        <v>564</v>
      </c>
      <c r="S165" s="6">
        <v>893</v>
      </c>
      <c r="T165" s="6">
        <v>666</v>
      </c>
      <c r="U165" s="6">
        <v>393</v>
      </c>
      <c r="V165" s="6">
        <v>161</v>
      </c>
      <c r="W165" s="6">
        <v>114</v>
      </c>
      <c r="X165" s="6">
        <v>65</v>
      </c>
      <c r="Y165" s="6">
        <v>188</v>
      </c>
      <c r="Z165" s="6">
        <v>446</v>
      </c>
      <c r="AA165" s="6">
        <v>140</v>
      </c>
      <c r="AB165" s="6">
        <v>417</v>
      </c>
      <c r="AC165" s="6">
        <v>144</v>
      </c>
      <c r="AD165" s="6">
        <v>112</v>
      </c>
      <c r="AE165" s="6">
        <v>4792</v>
      </c>
      <c r="AF165" s="6">
        <v>3739</v>
      </c>
      <c r="AG165" s="16">
        <v>8531</v>
      </c>
      <c r="AH165" s="17">
        <v>399.33333333333331</v>
      </c>
      <c r="AI165" s="17">
        <v>311.58333333333331</v>
      </c>
      <c r="AJ165" s="17">
        <v>355.45833333333331</v>
      </c>
      <c r="AK165" s="49">
        <v>1.0762246081044951E-3</v>
      </c>
      <c r="AL165" s="48">
        <v>258.42440721113059</v>
      </c>
      <c r="AM165" s="19">
        <v>273.83444366301308</v>
      </c>
      <c r="AN165" s="47">
        <v>0.82939098329327821</v>
      </c>
      <c r="AO165" s="20">
        <v>0.77037002085480177</v>
      </c>
      <c r="AP165" s="44">
        <v>-0.21974123539232054</v>
      </c>
      <c r="AQ165" s="46">
        <v>1529251</v>
      </c>
      <c r="AR165" s="45">
        <v>3489179</v>
      </c>
      <c r="AS165" s="22">
        <v>2.1282401768496204E-3</v>
      </c>
      <c r="AT165" s="22">
        <v>0.90901211198411569</v>
      </c>
      <c r="AU165" s="22" t="s">
        <v>179</v>
      </c>
      <c r="AV165" s="22" t="s">
        <v>166</v>
      </c>
      <c r="AW165" s="22" t="s">
        <v>180</v>
      </c>
      <c r="AX165" s="23">
        <v>6649</v>
      </c>
      <c r="AY165" s="24">
        <v>21.339395560310244</v>
      </c>
      <c r="AZ165" s="23">
        <v>350</v>
      </c>
      <c r="BA165" s="26">
        <v>200</v>
      </c>
      <c r="BB165" s="44" t="s">
        <v>154</v>
      </c>
      <c r="BC165" s="26">
        <v>10.386111111111111</v>
      </c>
      <c r="BD165" s="23">
        <v>30</v>
      </c>
      <c r="BE165" s="26">
        <v>623.16666666666663</v>
      </c>
      <c r="BF165" s="26">
        <v>934.75</v>
      </c>
      <c r="BG165" s="24"/>
      <c r="BI165" s="26"/>
      <c r="BJ165" s="23"/>
      <c r="BK165" s="26"/>
      <c r="BL165" s="27"/>
      <c r="BN165" s="13"/>
      <c r="BO165" s="43"/>
      <c r="BP165" s="42"/>
    </row>
    <row r="166" spans="1:68" s="1" customFormat="1" x14ac:dyDescent="0.3">
      <c r="A166" s="12" t="s">
        <v>493</v>
      </c>
      <c r="B166" s="12">
        <v>106078</v>
      </c>
      <c r="C166" s="13" t="s">
        <v>492</v>
      </c>
      <c r="D166" s="13" t="s">
        <v>44</v>
      </c>
      <c r="E166" s="14">
        <v>559</v>
      </c>
      <c r="F166" s="15" t="s">
        <v>137</v>
      </c>
      <c r="G166" s="6">
        <v>215</v>
      </c>
      <c r="H166" s="6">
        <v>285</v>
      </c>
      <c r="I166" s="6">
        <v>169</v>
      </c>
      <c r="J166" s="6">
        <v>294</v>
      </c>
      <c r="K166" s="6">
        <v>120</v>
      </c>
      <c r="L166" s="6">
        <v>256</v>
      </c>
      <c r="M166" s="6">
        <v>524</v>
      </c>
      <c r="N166" s="6">
        <v>419</v>
      </c>
      <c r="O166" s="6">
        <v>149</v>
      </c>
      <c r="P166" s="6">
        <v>152</v>
      </c>
      <c r="Q166" s="6">
        <v>292</v>
      </c>
      <c r="R166" s="6">
        <v>129</v>
      </c>
      <c r="S166" s="6">
        <v>176</v>
      </c>
      <c r="T166" s="6">
        <v>151</v>
      </c>
      <c r="U166" s="6">
        <v>141</v>
      </c>
      <c r="V166" s="6">
        <v>187</v>
      </c>
      <c r="W166" s="6">
        <v>150</v>
      </c>
      <c r="X166" s="6">
        <v>153</v>
      </c>
      <c r="Y166" s="6">
        <v>199</v>
      </c>
      <c r="Z166" s="6">
        <v>360</v>
      </c>
      <c r="AA166" s="6">
        <v>255</v>
      </c>
      <c r="AB166" s="6">
        <v>436</v>
      </c>
      <c r="AC166" s="6">
        <v>0</v>
      </c>
      <c r="AD166" s="6">
        <v>280</v>
      </c>
      <c r="AE166" s="6">
        <v>3004</v>
      </c>
      <c r="AF166" s="6">
        <v>2488</v>
      </c>
      <c r="AG166" s="16">
        <v>5492</v>
      </c>
      <c r="AH166" s="17">
        <v>250.33333333333334</v>
      </c>
      <c r="AI166" s="17">
        <v>207.33333333333334</v>
      </c>
      <c r="AJ166" s="17">
        <v>228.83333333333334</v>
      </c>
      <c r="AK166" s="49">
        <v>7.1613983015886165E-4</v>
      </c>
      <c r="AL166" s="48">
        <v>113.38296595916412</v>
      </c>
      <c r="AM166" s="19">
        <v>117.99692946140097</v>
      </c>
      <c r="AN166" s="47">
        <v>0.54686317986735111</v>
      </c>
      <c r="AO166" s="20">
        <v>0.51564572233678496</v>
      </c>
      <c r="AP166" s="44">
        <v>-0.17177097203728361</v>
      </c>
      <c r="AQ166" s="46">
        <v>1390792</v>
      </c>
      <c r="AR166" s="45">
        <v>3070028</v>
      </c>
      <c r="AS166" s="22">
        <v>1.8725771689137435E-3</v>
      </c>
      <c r="AT166" s="22">
        <v>0.92281059739934956</v>
      </c>
      <c r="AU166" s="22" t="s">
        <v>179</v>
      </c>
      <c r="AV166" s="22" t="s">
        <v>166</v>
      </c>
      <c r="AW166" s="22" t="s">
        <v>180</v>
      </c>
      <c r="AX166" s="23">
        <v>1359</v>
      </c>
      <c r="AY166" s="24">
        <v>6.554662379421222</v>
      </c>
      <c r="AZ166" s="23">
        <v>280</v>
      </c>
      <c r="BA166" s="26">
        <v>150</v>
      </c>
      <c r="BB166" s="44" t="s">
        <v>154</v>
      </c>
      <c r="BC166" s="26">
        <v>6.9111111111111114</v>
      </c>
      <c r="BD166" s="23">
        <v>30</v>
      </c>
      <c r="BE166" s="26">
        <v>414.66666666666669</v>
      </c>
      <c r="BF166" s="26">
        <v>622</v>
      </c>
      <c r="BG166" s="24"/>
      <c r="BI166" s="26"/>
      <c r="BJ166" s="23"/>
      <c r="BK166" s="26"/>
      <c r="BL166" s="27"/>
      <c r="BN166" s="13"/>
      <c r="BO166" s="43"/>
      <c r="BP166" s="42"/>
    </row>
    <row r="167" spans="1:68" s="1" customFormat="1" x14ac:dyDescent="0.3">
      <c r="A167" s="12" t="s">
        <v>491</v>
      </c>
      <c r="B167" s="12">
        <v>102163</v>
      </c>
      <c r="C167" s="13" t="s">
        <v>490</v>
      </c>
      <c r="D167" s="13" t="s">
        <v>137</v>
      </c>
      <c r="E167" s="14">
        <v>9510</v>
      </c>
      <c r="F167" s="15" t="s">
        <v>137</v>
      </c>
      <c r="G167" s="6">
        <v>3</v>
      </c>
      <c r="H167" s="6">
        <v>25</v>
      </c>
      <c r="I167" s="6">
        <v>29</v>
      </c>
      <c r="J167" s="6">
        <v>24</v>
      </c>
      <c r="K167" s="6">
        <v>18</v>
      </c>
      <c r="L167" s="6">
        <v>14</v>
      </c>
      <c r="M167" s="6">
        <v>12</v>
      </c>
      <c r="N167" s="6">
        <v>22</v>
      </c>
      <c r="O167" s="6">
        <v>22</v>
      </c>
      <c r="P167" s="6">
        <v>7</v>
      </c>
      <c r="Q167" s="6">
        <v>7</v>
      </c>
      <c r="R167" s="6">
        <v>10</v>
      </c>
      <c r="S167" s="6">
        <v>28</v>
      </c>
      <c r="T167" s="6">
        <v>8</v>
      </c>
      <c r="U167" s="6">
        <v>1</v>
      </c>
      <c r="V167" s="6">
        <v>0</v>
      </c>
      <c r="W167" s="6">
        <v>0</v>
      </c>
      <c r="X167" s="6">
        <v>1</v>
      </c>
      <c r="Y167" s="6">
        <v>10</v>
      </c>
      <c r="Z167" s="6">
        <v>14</v>
      </c>
      <c r="AA167" s="6">
        <v>15</v>
      </c>
      <c r="AB167" s="6">
        <v>24</v>
      </c>
      <c r="AC167" s="6">
        <v>1</v>
      </c>
      <c r="AD167" s="6">
        <v>13</v>
      </c>
      <c r="AE167" s="6">
        <v>193</v>
      </c>
      <c r="AF167" s="6">
        <v>115</v>
      </c>
      <c r="AG167" s="16">
        <v>308</v>
      </c>
      <c r="AH167" s="17">
        <v>16.083333333333332</v>
      </c>
      <c r="AI167" s="17">
        <v>9.5833333333333339</v>
      </c>
      <c r="AJ167" s="17">
        <v>12.833333333333332</v>
      </c>
      <c r="AK167" s="49">
        <v>3.3101318516185331E-5</v>
      </c>
      <c r="AL167" s="48">
        <v>9.6054750801379694</v>
      </c>
      <c r="AM167" s="19">
        <v>9.4301397779610916</v>
      </c>
      <c r="AN167" s="47">
        <v>1.0023104431448315</v>
      </c>
      <c r="AO167" s="20">
        <v>0.73481608659437081</v>
      </c>
      <c r="AP167" s="44">
        <v>-0.40414507772020719</v>
      </c>
      <c r="AQ167" s="46">
        <v>1093650</v>
      </c>
      <c r="AR167" s="45">
        <v>2929080</v>
      </c>
      <c r="AS167" s="22">
        <v>1.7866053123690949E-3</v>
      </c>
      <c r="AT167" s="22">
        <v>0.92642157579223905</v>
      </c>
      <c r="AU167" s="22" t="s">
        <v>179</v>
      </c>
      <c r="AV167" s="22" t="s">
        <v>166</v>
      </c>
      <c r="AW167" s="22" t="s">
        <v>180</v>
      </c>
      <c r="AX167" s="23">
        <v>10</v>
      </c>
      <c r="AY167" s="24">
        <v>1.0434782608695652</v>
      </c>
      <c r="AZ167" s="23">
        <v>35</v>
      </c>
      <c r="BA167" s="26">
        <v>15</v>
      </c>
      <c r="BB167" s="44" t="s">
        <v>198</v>
      </c>
      <c r="BC167" s="26">
        <v>0.31944444444444448</v>
      </c>
      <c r="BD167" s="23">
        <v>30</v>
      </c>
      <c r="BE167" s="26">
        <v>19.166666666666668</v>
      </c>
      <c r="BF167" s="26">
        <v>28.75</v>
      </c>
      <c r="BG167" s="24"/>
      <c r="BI167" s="26"/>
      <c r="BJ167" s="23"/>
      <c r="BK167" s="26"/>
      <c r="BL167" s="27"/>
      <c r="BN167" s="13"/>
      <c r="BO167" s="43"/>
      <c r="BP167" s="42"/>
    </row>
    <row r="168" spans="1:68" s="1" customFormat="1" x14ac:dyDescent="0.3">
      <c r="A168" s="12" t="s">
        <v>489</v>
      </c>
      <c r="B168" s="12">
        <v>102093</v>
      </c>
      <c r="C168" s="13" t="s">
        <v>488</v>
      </c>
      <c r="D168" s="13" t="s">
        <v>44</v>
      </c>
      <c r="E168" s="14">
        <v>4305</v>
      </c>
      <c r="F168" s="15" t="s">
        <v>137</v>
      </c>
      <c r="G168" s="6">
        <v>26</v>
      </c>
      <c r="H168" s="6">
        <v>14</v>
      </c>
      <c r="I168" s="6">
        <v>12</v>
      </c>
      <c r="J168" s="6">
        <v>20</v>
      </c>
      <c r="K168" s="6">
        <v>28</v>
      </c>
      <c r="L168" s="6">
        <v>43</v>
      </c>
      <c r="M168" s="6">
        <v>34</v>
      </c>
      <c r="N168" s="6">
        <v>19</v>
      </c>
      <c r="O168" s="6">
        <v>16</v>
      </c>
      <c r="P168" s="6">
        <v>40</v>
      </c>
      <c r="Q168" s="6">
        <v>26</v>
      </c>
      <c r="R168" s="6">
        <v>88</v>
      </c>
      <c r="S168" s="6">
        <v>12</v>
      </c>
      <c r="T168" s="6">
        <v>20</v>
      </c>
      <c r="U168" s="6">
        <v>29</v>
      </c>
      <c r="V168" s="6">
        <v>28</v>
      </c>
      <c r="W168" s="6">
        <v>16</v>
      </c>
      <c r="X168" s="6">
        <v>29</v>
      </c>
      <c r="Y168" s="6">
        <v>52</v>
      </c>
      <c r="Z168" s="6">
        <v>19</v>
      </c>
      <c r="AA168" s="6">
        <v>18</v>
      </c>
      <c r="AB168" s="6">
        <v>18</v>
      </c>
      <c r="AC168" s="6">
        <v>0</v>
      </c>
      <c r="AD168" s="6">
        <v>27</v>
      </c>
      <c r="AE168" s="6">
        <v>366</v>
      </c>
      <c r="AF168" s="6">
        <v>268</v>
      </c>
      <c r="AG168" s="16">
        <v>634</v>
      </c>
      <c r="AH168" s="17">
        <v>30.5</v>
      </c>
      <c r="AI168" s="17">
        <v>22.333333333333332</v>
      </c>
      <c r="AJ168" s="17">
        <v>26.416666666666664</v>
      </c>
      <c r="AK168" s="49">
        <v>7.7140464020327543E-5</v>
      </c>
      <c r="AL168" s="48">
        <v>12.514234319608237</v>
      </c>
      <c r="AM168" s="19">
        <v>17.196856807509068</v>
      </c>
      <c r="AN168" s="47">
        <v>0.56033885013171214</v>
      </c>
      <c r="AO168" s="20">
        <v>0.65098511574166829</v>
      </c>
      <c r="AP168" s="44">
        <v>-0.26775956284153007</v>
      </c>
      <c r="AQ168" s="46">
        <v>1153740</v>
      </c>
      <c r="AR168" s="45">
        <v>2729370</v>
      </c>
      <c r="AS168" s="22">
        <v>1.6647913137984747E-3</v>
      </c>
      <c r="AT168" s="22">
        <v>0.9350971473000429</v>
      </c>
      <c r="AU168" s="22" t="s">
        <v>179</v>
      </c>
      <c r="AV168" s="22" t="s">
        <v>166</v>
      </c>
      <c r="AW168" s="22" t="s">
        <v>180</v>
      </c>
      <c r="AX168" s="23">
        <v>87</v>
      </c>
      <c r="AY168" s="24">
        <v>3.8955223880597019</v>
      </c>
      <c r="AZ168" s="23">
        <v>70</v>
      </c>
      <c r="BA168" s="26">
        <v>35</v>
      </c>
      <c r="BB168" s="44" t="s">
        <v>154</v>
      </c>
      <c r="BC168" s="26">
        <v>0.74444444444444435</v>
      </c>
      <c r="BD168" s="23">
        <v>30</v>
      </c>
      <c r="BE168" s="26">
        <v>44.666666666666664</v>
      </c>
      <c r="BF168" s="26">
        <v>67</v>
      </c>
      <c r="BG168" s="24"/>
      <c r="BI168" s="26"/>
      <c r="BJ168" s="23"/>
      <c r="BK168" s="26"/>
      <c r="BL168" s="27"/>
      <c r="BN168" s="13"/>
      <c r="BO168" s="43"/>
      <c r="BP168" s="42"/>
    </row>
    <row r="169" spans="1:68" s="1" customFormat="1" x14ac:dyDescent="0.3">
      <c r="A169" s="12" t="s">
        <v>487</v>
      </c>
      <c r="B169" s="12">
        <v>102200</v>
      </c>
      <c r="C169" s="13" t="s">
        <v>486</v>
      </c>
      <c r="D169" s="13" t="s">
        <v>62</v>
      </c>
      <c r="E169" s="14">
        <v>54353</v>
      </c>
      <c r="F169" s="15" t="s">
        <v>137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1</v>
      </c>
      <c r="AB169" s="6">
        <v>38</v>
      </c>
      <c r="AC169" s="6">
        <v>1</v>
      </c>
      <c r="AD169" s="6">
        <v>4</v>
      </c>
      <c r="AE169" s="6">
        <v>0</v>
      </c>
      <c r="AF169" s="6">
        <v>44</v>
      </c>
      <c r="AG169" s="16">
        <v>44</v>
      </c>
      <c r="AH169" s="17">
        <v>0</v>
      </c>
      <c r="AI169" s="17">
        <v>3.6666666666666665</v>
      </c>
      <c r="AJ169" s="17">
        <v>1.8333333333333333</v>
      </c>
      <c r="AK169" s="49">
        <v>1.2664852301844821E-5</v>
      </c>
      <c r="AL169" s="48">
        <v>10.873933246182094</v>
      </c>
      <c r="AM169" s="19">
        <v>7.7497078018782588</v>
      </c>
      <c r="AN169" s="47">
        <v>2.9656181580496623</v>
      </c>
      <c r="AO169" s="20">
        <v>4.22711334647905</v>
      </c>
      <c r="AP169" s="44">
        <v>0</v>
      </c>
      <c r="AQ169" s="46">
        <v>2391532</v>
      </c>
      <c r="AR169" s="45">
        <v>2391532</v>
      </c>
      <c r="AS169" s="22">
        <v>1.458725530166703E-3</v>
      </c>
      <c r="AT169" s="22">
        <v>0.94251565763016809</v>
      </c>
      <c r="AU169" s="22" t="s">
        <v>179</v>
      </c>
      <c r="AV169" s="22" t="s">
        <v>166</v>
      </c>
      <c r="AW169" s="22" t="s">
        <v>180</v>
      </c>
      <c r="AX169" s="23">
        <v>68</v>
      </c>
      <c r="AY169" s="24">
        <v>18.545454545454547</v>
      </c>
      <c r="AZ169" s="23">
        <v>44</v>
      </c>
      <c r="BA169" s="26">
        <v>25</v>
      </c>
      <c r="BB169" s="44" t="s">
        <v>154</v>
      </c>
      <c r="BC169" s="26">
        <v>0.12222222222222222</v>
      </c>
      <c r="BD169" s="23">
        <v>30</v>
      </c>
      <c r="BE169" s="26">
        <v>7.333333333333333</v>
      </c>
      <c r="BF169" s="26">
        <v>11</v>
      </c>
      <c r="BG169" s="24"/>
      <c r="BI169" s="26"/>
      <c r="BJ169" s="23"/>
      <c r="BK169" s="26"/>
      <c r="BL169" s="27"/>
      <c r="BN169" s="13"/>
      <c r="BO169" s="43"/>
      <c r="BP169" s="42"/>
    </row>
    <row r="170" spans="1:68" s="1" customFormat="1" x14ac:dyDescent="0.3">
      <c r="A170" s="12" t="s">
        <v>485</v>
      </c>
      <c r="B170" s="12">
        <v>102146</v>
      </c>
      <c r="C170" s="13" t="s">
        <v>484</v>
      </c>
      <c r="D170" s="13" t="s">
        <v>116</v>
      </c>
      <c r="E170" s="14">
        <v>5950</v>
      </c>
      <c r="F170" s="15" t="s">
        <v>137</v>
      </c>
      <c r="G170" s="6">
        <v>17</v>
      </c>
      <c r="H170" s="6">
        <v>15</v>
      </c>
      <c r="I170" s="6">
        <v>44</v>
      </c>
      <c r="J170" s="6">
        <v>0</v>
      </c>
      <c r="K170" s="6">
        <v>3</v>
      </c>
      <c r="L170" s="6">
        <v>0</v>
      </c>
      <c r="M170" s="6">
        <v>3</v>
      </c>
      <c r="N170" s="6">
        <v>3</v>
      </c>
      <c r="O170" s="6">
        <v>32</v>
      </c>
      <c r="P170" s="6">
        <v>10</v>
      </c>
      <c r="Q170" s="6">
        <v>34</v>
      </c>
      <c r="R170" s="6">
        <v>48</v>
      </c>
      <c r="S170" s="6">
        <v>70</v>
      </c>
      <c r="T170" s="6">
        <v>37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11</v>
      </c>
      <c r="AC170" s="6">
        <v>0</v>
      </c>
      <c r="AD170" s="6">
        <v>46</v>
      </c>
      <c r="AE170" s="6">
        <v>209</v>
      </c>
      <c r="AF170" s="6">
        <v>164</v>
      </c>
      <c r="AG170" s="16">
        <v>373</v>
      </c>
      <c r="AH170" s="17">
        <v>17.416666666666668</v>
      </c>
      <c r="AI170" s="17">
        <v>13.666666666666666</v>
      </c>
      <c r="AJ170" s="17">
        <v>15.541666666666668</v>
      </c>
      <c r="AK170" s="49">
        <v>4.7205358579603421E-5</v>
      </c>
      <c r="AL170" s="48">
        <v>23.864516578283155</v>
      </c>
      <c r="AM170" s="19">
        <v>20.610210991191945</v>
      </c>
      <c r="AN170" s="47">
        <v>1.7461841398743772</v>
      </c>
      <c r="AO170" s="20">
        <v>1.3261261763769614</v>
      </c>
      <c r="AP170" s="44">
        <v>-0.21531100478468909</v>
      </c>
      <c r="AQ170" s="46">
        <v>975800</v>
      </c>
      <c r="AR170" s="45">
        <v>2219350</v>
      </c>
      <c r="AS170" s="22">
        <v>1.3537023570562602E-3</v>
      </c>
      <c r="AT170" s="22">
        <v>0.94530980518322072</v>
      </c>
      <c r="AU170" s="22" t="s">
        <v>179</v>
      </c>
      <c r="AV170" s="22" t="s">
        <v>166</v>
      </c>
      <c r="AW170" s="22" t="s">
        <v>180</v>
      </c>
      <c r="AX170" s="23">
        <v>99</v>
      </c>
      <c r="AY170" s="24">
        <v>7.2439024390243905</v>
      </c>
      <c r="AZ170" s="23">
        <v>44</v>
      </c>
      <c r="BA170" s="26">
        <v>25</v>
      </c>
      <c r="BB170" s="44" t="s">
        <v>154</v>
      </c>
      <c r="BC170" s="26">
        <v>0.45555555555555555</v>
      </c>
      <c r="BD170" s="23">
        <v>30</v>
      </c>
      <c r="BE170" s="26">
        <v>27.333333333333332</v>
      </c>
      <c r="BF170" s="26">
        <v>41</v>
      </c>
      <c r="BG170" s="24"/>
      <c r="BI170" s="26"/>
      <c r="BJ170" s="23"/>
      <c r="BK170" s="26"/>
      <c r="BL170" s="27"/>
      <c r="BN170" s="13"/>
      <c r="BO170" s="43"/>
      <c r="BP170" s="42"/>
    </row>
    <row r="171" spans="1:68" s="1" customFormat="1" x14ac:dyDescent="0.3">
      <c r="A171" s="12" t="s">
        <v>483</v>
      </c>
      <c r="B171" s="12">
        <v>106066</v>
      </c>
      <c r="C171" s="13" t="s">
        <v>482</v>
      </c>
      <c r="D171" s="13" t="s">
        <v>44</v>
      </c>
      <c r="E171" s="14">
        <v>3832</v>
      </c>
      <c r="F171" s="15" t="s">
        <v>137</v>
      </c>
      <c r="G171" s="6">
        <v>3</v>
      </c>
      <c r="H171" s="6">
        <v>10</v>
      </c>
      <c r="I171" s="6">
        <v>15</v>
      </c>
      <c r="J171" s="6">
        <v>12</v>
      </c>
      <c r="K171" s="6">
        <v>9</v>
      </c>
      <c r="L171" s="6">
        <v>23</v>
      </c>
      <c r="M171" s="6">
        <v>21</v>
      </c>
      <c r="N171" s="6">
        <v>14</v>
      </c>
      <c r="O171" s="6">
        <v>4</v>
      </c>
      <c r="P171" s="6">
        <v>12</v>
      </c>
      <c r="Q171" s="6">
        <v>6</v>
      </c>
      <c r="R171" s="6">
        <v>15</v>
      </c>
      <c r="S171" s="6">
        <v>18</v>
      </c>
      <c r="T171" s="6">
        <v>4</v>
      </c>
      <c r="U171" s="6">
        <v>5</v>
      </c>
      <c r="V171" s="6">
        <v>7</v>
      </c>
      <c r="W171" s="6">
        <v>20</v>
      </c>
      <c r="X171" s="6">
        <v>12</v>
      </c>
      <c r="Y171" s="6">
        <v>45</v>
      </c>
      <c r="Z171" s="6">
        <v>41</v>
      </c>
      <c r="AA171" s="6">
        <v>62</v>
      </c>
      <c r="AB171" s="6">
        <v>65</v>
      </c>
      <c r="AC171" s="6">
        <v>60</v>
      </c>
      <c r="AD171" s="6">
        <v>70</v>
      </c>
      <c r="AE171" s="6">
        <v>144</v>
      </c>
      <c r="AF171" s="6">
        <v>409</v>
      </c>
      <c r="AG171" s="16">
        <v>553</v>
      </c>
      <c r="AH171" s="17">
        <v>12</v>
      </c>
      <c r="AI171" s="17">
        <v>34.083333333333336</v>
      </c>
      <c r="AJ171" s="17">
        <v>23.041666666666668</v>
      </c>
      <c r="AK171" s="49">
        <v>1.177255588966939E-4</v>
      </c>
      <c r="AL171" s="48">
        <v>25.748639269724997</v>
      </c>
      <c r="AM171" s="19">
        <v>21.505265617410132</v>
      </c>
      <c r="AN171" s="47">
        <v>0.75546129886723701</v>
      </c>
      <c r="AO171" s="20">
        <v>0.93332075012268201</v>
      </c>
      <c r="AP171" s="44">
        <v>1.8402777777777779</v>
      </c>
      <c r="AQ171" s="46">
        <v>1567288</v>
      </c>
      <c r="AR171" s="45">
        <v>2119096</v>
      </c>
      <c r="AS171" s="22">
        <v>1.2925519859546682E-3</v>
      </c>
      <c r="AT171" s="22">
        <v>0.94794676870040306</v>
      </c>
      <c r="AU171" s="22" t="s">
        <v>179</v>
      </c>
      <c r="AV171" s="22" t="s">
        <v>166</v>
      </c>
      <c r="AW171" s="22" t="s">
        <v>180</v>
      </c>
      <c r="AX171" s="23">
        <v>86</v>
      </c>
      <c r="AY171" s="24">
        <v>2.5232273838630803</v>
      </c>
      <c r="AZ171" s="23">
        <v>15</v>
      </c>
      <c r="BA171" s="26">
        <v>10</v>
      </c>
      <c r="BB171" s="44" t="s">
        <v>154</v>
      </c>
      <c r="BC171" s="26">
        <v>1.1361111111111113</v>
      </c>
      <c r="BD171" s="23">
        <v>30</v>
      </c>
      <c r="BE171" s="26">
        <v>68.166666666666671</v>
      </c>
      <c r="BF171" s="26">
        <v>102.25</v>
      </c>
      <c r="BG171" s="24"/>
      <c r="BI171" s="26"/>
      <c r="BJ171" s="23"/>
      <c r="BK171" s="26"/>
      <c r="BL171" s="27"/>
      <c r="BN171" s="13"/>
      <c r="BO171" s="43"/>
      <c r="BP171" s="42"/>
    </row>
    <row r="172" spans="1:68" s="1" customFormat="1" x14ac:dyDescent="0.3">
      <c r="A172" s="12" t="s">
        <v>481</v>
      </c>
      <c r="B172" s="12">
        <v>103033</v>
      </c>
      <c r="C172" s="13" t="s">
        <v>480</v>
      </c>
      <c r="D172" s="13" t="s">
        <v>47</v>
      </c>
      <c r="E172" s="14">
        <v>1180</v>
      </c>
      <c r="F172" s="15" t="s">
        <v>137</v>
      </c>
      <c r="G172" s="6">
        <v>17</v>
      </c>
      <c r="H172" s="6">
        <v>80</v>
      </c>
      <c r="I172" s="6">
        <v>37</v>
      </c>
      <c r="J172" s="6">
        <v>94</v>
      </c>
      <c r="K172" s="6">
        <v>49</v>
      </c>
      <c r="L172" s="6">
        <v>139</v>
      </c>
      <c r="M172" s="6">
        <v>53</v>
      </c>
      <c r="N172" s="6">
        <v>100</v>
      </c>
      <c r="O172" s="6">
        <v>137</v>
      </c>
      <c r="P172" s="6">
        <v>85</v>
      </c>
      <c r="Q172" s="6">
        <v>122</v>
      </c>
      <c r="R172" s="6">
        <v>12</v>
      </c>
      <c r="S172" s="6">
        <v>175</v>
      </c>
      <c r="T172" s="6">
        <v>80</v>
      </c>
      <c r="U172" s="6">
        <v>92</v>
      </c>
      <c r="V172" s="6">
        <v>88</v>
      </c>
      <c r="W172" s="6">
        <v>36</v>
      </c>
      <c r="X172" s="6">
        <v>123</v>
      </c>
      <c r="Y172" s="6">
        <v>52</v>
      </c>
      <c r="Z172" s="6">
        <v>60</v>
      </c>
      <c r="AA172" s="6">
        <v>38</v>
      </c>
      <c r="AB172" s="6">
        <v>21</v>
      </c>
      <c r="AC172" s="6">
        <v>10</v>
      </c>
      <c r="AD172" s="6">
        <v>32</v>
      </c>
      <c r="AE172" s="6">
        <v>925</v>
      </c>
      <c r="AF172" s="6">
        <v>807</v>
      </c>
      <c r="AG172" s="16">
        <v>1732</v>
      </c>
      <c r="AH172" s="17">
        <v>77.083333333333329</v>
      </c>
      <c r="AI172" s="17">
        <v>67.25</v>
      </c>
      <c r="AJ172" s="17">
        <v>72.166666666666657</v>
      </c>
      <c r="AK172" s="49">
        <v>2.3228490471792661E-4</v>
      </c>
      <c r="AL172" s="48">
        <v>47.386467189771309</v>
      </c>
      <c r="AM172" s="19">
        <v>44.927639083566234</v>
      </c>
      <c r="AN172" s="47">
        <v>0.70463148237578155</v>
      </c>
      <c r="AO172" s="20">
        <v>0.62255389030345831</v>
      </c>
      <c r="AP172" s="44">
        <v>-0.12756756756756751</v>
      </c>
      <c r="AQ172" s="46">
        <v>952260</v>
      </c>
      <c r="AR172" s="45">
        <v>2043760</v>
      </c>
      <c r="AS172" s="22">
        <v>1.2466004592593788E-3</v>
      </c>
      <c r="AT172" s="22">
        <v>0.94919336915966246</v>
      </c>
      <c r="AU172" s="22" t="s">
        <v>179</v>
      </c>
      <c r="AV172" s="22" t="s">
        <v>166</v>
      </c>
      <c r="AW172" s="22" t="s">
        <v>180</v>
      </c>
      <c r="AX172" s="23">
        <v>511</v>
      </c>
      <c r="AY172" s="24">
        <v>7.5985130111524164</v>
      </c>
      <c r="AZ172" s="23">
        <v>350</v>
      </c>
      <c r="BA172" s="26">
        <v>200</v>
      </c>
      <c r="BB172" s="44" t="s">
        <v>154</v>
      </c>
      <c r="BC172" s="26">
        <v>2.2416666666666667</v>
      </c>
      <c r="BD172" s="23">
        <v>30</v>
      </c>
      <c r="BE172" s="26">
        <v>134.5</v>
      </c>
      <c r="BF172" s="26">
        <v>201.75</v>
      </c>
      <c r="BG172" s="24"/>
      <c r="BI172" s="26"/>
      <c r="BJ172" s="23"/>
      <c r="BK172" s="26"/>
      <c r="BL172" s="27"/>
      <c r="BN172" s="13"/>
      <c r="BO172" s="43"/>
      <c r="BP172" s="42"/>
    </row>
    <row r="173" spans="1:68" s="1" customFormat="1" x14ac:dyDescent="0.3">
      <c r="A173" s="12" t="s">
        <v>479</v>
      </c>
      <c r="B173" s="12">
        <v>102175</v>
      </c>
      <c r="C173" s="13" t="s">
        <v>478</v>
      </c>
      <c r="D173" s="13" t="s">
        <v>47</v>
      </c>
      <c r="E173" s="14">
        <v>672</v>
      </c>
      <c r="F173" s="15" t="s">
        <v>137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71</v>
      </c>
      <c r="T173" s="6">
        <v>307</v>
      </c>
      <c r="U173" s="6">
        <v>154</v>
      </c>
      <c r="V173" s="6">
        <v>46</v>
      </c>
      <c r="W173" s="6">
        <v>102</v>
      </c>
      <c r="X173" s="6">
        <v>268</v>
      </c>
      <c r="Y173" s="6">
        <v>274</v>
      </c>
      <c r="Z173" s="6">
        <v>243</v>
      </c>
      <c r="AA173" s="6">
        <v>203</v>
      </c>
      <c r="AB173" s="6">
        <v>606</v>
      </c>
      <c r="AC173" s="6">
        <v>106</v>
      </c>
      <c r="AD173" s="6">
        <v>440</v>
      </c>
      <c r="AE173" s="6">
        <v>0</v>
      </c>
      <c r="AF173" s="6">
        <v>2820</v>
      </c>
      <c r="AG173" s="16">
        <v>2820</v>
      </c>
      <c r="AH173" s="17">
        <v>0</v>
      </c>
      <c r="AI173" s="17">
        <v>235</v>
      </c>
      <c r="AJ173" s="17">
        <v>117.5</v>
      </c>
      <c r="AK173" s="49">
        <v>8.1170189752732716E-4</v>
      </c>
      <c r="AL173" s="48">
        <v>162.9433811314392</v>
      </c>
      <c r="AM173" s="19">
        <v>164.63477365262835</v>
      </c>
      <c r="AN173" s="47">
        <v>0.69337608992101785</v>
      </c>
      <c r="AO173" s="20">
        <v>1.4011470098096031</v>
      </c>
      <c r="AP173" s="44">
        <v>0</v>
      </c>
      <c r="AQ173" s="46">
        <v>1895040</v>
      </c>
      <c r="AR173" s="45">
        <v>1895040</v>
      </c>
      <c r="AS173" s="22">
        <v>1.1558880369098589E-3</v>
      </c>
      <c r="AT173" s="22">
        <v>0.95270704762239333</v>
      </c>
      <c r="AU173" s="22" t="s">
        <v>215</v>
      </c>
      <c r="AV173" s="22" t="s">
        <v>166</v>
      </c>
      <c r="AW173" s="22" t="s">
        <v>222</v>
      </c>
      <c r="AX173" s="23">
        <v>296</v>
      </c>
      <c r="AY173" s="24">
        <v>1.2595744680851064</v>
      </c>
      <c r="AZ173" s="23">
        <v>350</v>
      </c>
      <c r="BA173" s="26">
        <v>250</v>
      </c>
      <c r="BB173" s="44" t="s">
        <v>154</v>
      </c>
      <c r="BC173" s="26">
        <v>7.833333333333333</v>
      </c>
      <c r="BD173" s="23">
        <v>30</v>
      </c>
      <c r="BE173" s="26">
        <v>470</v>
      </c>
      <c r="BF173" s="26">
        <v>705</v>
      </c>
      <c r="BG173" s="24"/>
      <c r="BI173" s="26"/>
      <c r="BJ173" s="23"/>
      <c r="BK173" s="26"/>
      <c r="BL173" s="27"/>
      <c r="BN173" s="13"/>
      <c r="BO173" s="43"/>
      <c r="BP173" s="42"/>
    </row>
    <row r="174" spans="1:68" s="1" customFormat="1" x14ac:dyDescent="0.3">
      <c r="A174" s="12" t="s">
        <v>477</v>
      </c>
      <c r="B174" s="12">
        <v>106065</v>
      </c>
      <c r="C174" s="13" t="s">
        <v>476</v>
      </c>
      <c r="D174" s="13" t="s">
        <v>44</v>
      </c>
      <c r="E174" s="14">
        <v>4374</v>
      </c>
      <c r="F174" s="15" t="s">
        <v>137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10</v>
      </c>
      <c r="X174" s="6">
        <v>24</v>
      </c>
      <c r="Y174" s="6">
        <v>47</v>
      </c>
      <c r="Z174" s="6">
        <v>64</v>
      </c>
      <c r="AA174" s="6">
        <v>70</v>
      </c>
      <c r="AB174" s="6">
        <v>114</v>
      </c>
      <c r="AC174" s="6">
        <v>1</v>
      </c>
      <c r="AD174" s="6">
        <v>85</v>
      </c>
      <c r="AE174" s="6">
        <v>0</v>
      </c>
      <c r="AF174" s="6">
        <v>415</v>
      </c>
      <c r="AG174" s="16">
        <v>415</v>
      </c>
      <c r="AH174" s="17">
        <v>0</v>
      </c>
      <c r="AI174" s="17">
        <v>34.583333333333336</v>
      </c>
      <c r="AJ174" s="17">
        <v>17.291666666666668</v>
      </c>
      <c r="AK174" s="49">
        <v>1.1945258421058183E-4</v>
      </c>
      <c r="AL174" s="48">
        <v>40.171130143047968</v>
      </c>
      <c r="AM174" s="19">
        <v>32.920826191051908</v>
      </c>
      <c r="AN174" s="47">
        <v>1.1615748475098207</v>
      </c>
      <c r="AO174" s="20">
        <v>1.9038550086391464</v>
      </c>
      <c r="AP174" s="44">
        <v>0</v>
      </c>
      <c r="AQ174" s="46">
        <v>1815210</v>
      </c>
      <c r="AR174" s="45">
        <v>1815210</v>
      </c>
      <c r="AS174" s="22">
        <v>1.1071953750206565E-3</v>
      </c>
      <c r="AT174" s="22">
        <v>0.95381424299741402</v>
      </c>
      <c r="AU174" s="22" t="s">
        <v>215</v>
      </c>
      <c r="AV174" s="22" t="s">
        <v>166</v>
      </c>
      <c r="AW174" s="22" t="s">
        <v>222</v>
      </c>
      <c r="AX174" s="23">
        <v>347</v>
      </c>
      <c r="AY174" s="24">
        <v>10.033734939759036</v>
      </c>
      <c r="AZ174" s="23">
        <v>245</v>
      </c>
      <c r="BA174" s="26">
        <v>140</v>
      </c>
      <c r="BB174" s="44" t="s">
        <v>154</v>
      </c>
      <c r="BC174" s="26">
        <v>1.1527777777777779</v>
      </c>
      <c r="BD174" s="23">
        <v>30</v>
      </c>
      <c r="BE174" s="26">
        <v>69.166666666666671</v>
      </c>
      <c r="BF174" s="26">
        <v>103.75</v>
      </c>
      <c r="BG174" s="24"/>
      <c r="BI174" s="26"/>
      <c r="BJ174" s="23"/>
      <c r="BK174" s="26"/>
      <c r="BL174" s="27"/>
      <c r="BN174" s="13"/>
      <c r="BO174" s="43"/>
      <c r="BP174" s="42"/>
    </row>
    <row r="175" spans="1:68" s="1" customFormat="1" x14ac:dyDescent="0.3">
      <c r="A175" s="12" t="s">
        <v>475</v>
      </c>
      <c r="B175" s="12">
        <v>108030</v>
      </c>
      <c r="C175" s="13" t="s">
        <v>474</v>
      </c>
      <c r="D175" s="13" t="s">
        <v>62</v>
      </c>
      <c r="E175" s="14">
        <v>4373</v>
      </c>
      <c r="F175" s="15" t="s">
        <v>137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24</v>
      </c>
      <c r="Y175" s="6">
        <v>46</v>
      </c>
      <c r="Z175" s="6">
        <v>54</v>
      </c>
      <c r="AA175" s="6">
        <v>67</v>
      </c>
      <c r="AB175" s="6">
        <v>114</v>
      </c>
      <c r="AC175" s="6">
        <v>13</v>
      </c>
      <c r="AD175" s="6">
        <v>85</v>
      </c>
      <c r="AE175" s="6">
        <v>0</v>
      </c>
      <c r="AF175" s="6">
        <v>403</v>
      </c>
      <c r="AG175" s="16">
        <v>403</v>
      </c>
      <c r="AH175" s="17">
        <v>0</v>
      </c>
      <c r="AI175" s="17">
        <v>33.583333333333336</v>
      </c>
      <c r="AJ175" s="17">
        <v>16.791666666666668</v>
      </c>
      <c r="AK175" s="49">
        <v>1.1599853358280597E-4</v>
      </c>
      <c r="AL175" s="48">
        <v>39.257792123656706</v>
      </c>
      <c r="AM175" s="19">
        <v>32.113899424266187</v>
      </c>
      <c r="AN175" s="47">
        <v>1.1689665148483386</v>
      </c>
      <c r="AO175" s="20">
        <v>1.9124902882937678</v>
      </c>
      <c r="AP175" s="44">
        <v>0</v>
      </c>
      <c r="AQ175" s="46">
        <v>1762319</v>
      </c>
      <c r="AR175" s="45">
        <v>1762319</v>
      </c>
      <c r="AS175" s="22">
        <v>1.0749342754342629E-3</v>
      </c>
      <c r="AT175" s="22">
        <v>0.95597602151841965</v>
      </c>
      <c r="AU175" s="22" t="s">
        <v>215</v>
      </c>
      <c r="AV175" s="22" t="s">
        <v>166</v>
      </c>
      <c r="AW175" s="22" t="s">
        <v>222</v>
      </c>
      <c r="AX175" s="23">
        <v>618</v>
      </c>
      <c r="AY175" s="24">
        <v>18.40198511166253</v>
      </c>
      <c r="AZ175" s="23">
        <v>180</v>
      </c>
      <c r="BA175" s="26">
        <v>100</v>
      </c>
      <c r="BB175" s="44" t="s">
        <v>154</v>
      </c>
      <c r="BC175" s="26">
        <v>1.1194444444444445</v>
      </c>
      <c r="BD175" s="23">
        <v>30</v>
      </c>
      <c r="BE175" s="26">
        <v>67.166666666666671</v>
      </c>
      <c r="BF175" s="26">
        <v>100.75</v>
      </c>
      <c r="BG175" s="24"/>
      <c r="BI175" s="26"/>
      <c r="BJ175" s="23"/>
      <c r="BK175" s="26"/>
      <c r="BL175" s="27"/>
      <c r="BN175" s="13"/>
      <c r="BO175" s="43"/>
      <c r="BP175" s="42"/>
    </row>
    <row r="176" spans="1:68" s="1" customFormat="1" x14ac:dyDescent="0.3">
      <c r="A176" s="12" t="s">
        <v>473</v>
      </c>
      <c r="B176" s="12">
        <v>102119</v>
      </c>
      <c r="C176" s="13" t="s">
        <v>472</v>
      </c>
      <c r="D176" s="13" t="s">
        <v>44</v>
      </c>
      <c r="E176" s="14">
        <v>833</v>
      </c>
      <c r="F176" s="15" t="s">
        <v>137</v>
      </c>
      <c r="G176" s="6">
        <v>21</v>
      </c>
      <c r="H176" s="6">
        <v>161</v>
      </c>
      <c r="I176" s="6">
        <v>97</v>
      </c>
      <c r="J176" s="6">
        <v>149</v>
      </c>
      <c r="K176" s="6">
        <v>95</v>
      </c>
      <c r="L176" s="6">
        <v>3</v>
      </c>
      <c r="M176" s="6">
        <v>23</v>
      </c>
      <c r="N176" s="6">
        <v>78</v>
      </c>
      <c r="O176" s="6">
        <v>285</v>
      </c>
      <c r="P176" s="6">
        <v>15</v>
      </c>
      <c r="Q176" s="6">
        <v>7</v>
      </c>
      <c r="R176" s="6">
        <v>40</v>
      </c>
      <c r="S176" s="6">
        <v>38</v>
      </c>
      <c r="T176" s="6">
        <v>12</v>
      </c>
      <c r="U176" s="6">
        <v>4</v>
      </c>
      <c r="V176" s="6">
        <v>29</v>
      </c>
      <c r="W176" s="6">
        <v>2</v>
      </c>
      <c r="X176" s="6">
        <v>12</v>
      </c>
      <c r="Y176" s="6">
        <v>57</v>
      </c>
      <c r="Z176" s="6">
        <v>22</v>
      </c>
      <c r="AA176" s="6">
        <v>55</v>
      </c>
      <c r="AB176" s="6">
        <v>179</v>
      </c>
      <c r="AC176" s="6">
        <v>333</v>
      </c>
      <c r="AD176" s="6">
        <v>280</v>
      </c>
      <c r="AE176" s="6">
        <v>974</v>
      </c>
      <c r="AF176" s="6">
        <v>1023</v>
      </c>
      <c r="AG176" s="16">
        <v>1997</v>
      </c>
      <c r="AH176" s="17">
        <v>81.166666666666671</v>
      </c>
      <c r="AI176" s="17">
        <v>85.25</v>
      </c>
      <c r="AJ176" s="17">
        <v>83.208333333333343</v>
      </c>
      <c r="AK176" s="49">
        <v>2.9445781601789207E-4</v>
      </c>
      <c r="AL176" s="48">
        <v>114.20485979151675</v>
      </c>
      <c r="AM176" s="19">
        <v>98.075383237086811</v>
      </c>
      <c r="AN176" s="47">
        <v>1.3396464491673519</v>
      </c>
      <c r="AO176" s="20">
        <v>1.1786726077566767</v>
      </c>
      <c r="AP176" s="44">
        <v>5.0308008213552302E-2</v>
      </c>
      <c r="AQ176" s="46">
        <v>852159</v>
      </c>
      <c r="AR176" s="45">
        <v>1663501</v>
      </c>
      <c r="AS176" s="22">
        <v>1.0146597988895153E-3</v>
      </c>
      <c r="AT176" s="22">
        <v>0.95699068131730913</v>
      </c>
      <c r="AU176" s="22" t="s">
        <v>215</v>
      </c>
      <c r="AV176" s="22" t="s">
        <v>166</v>
      </c>
      <c r="AW176" s="22" t="s">
        <v>222</v>
      </c>
      <c r="AX176" s="23">
        <v>123</v>
      </c>
      <c r="AY176" s="24">
        <v>1.4428152492668622</v>
      </c>
      <c r="AZ176" s="23">
        <v>140</v>
      </c>
      <c r="BA176" s="26">
        <v>100</v>
      </c>
      <c r="BB176" s="44" t="s">
        <v>154</v>
      </c>
      <c r="BC176" s="26">
        <v>2.8416666666666668</v>
      </c>
      <c r="BD176" s="23">
        <v>30</v>
      </c>
      <c r="BE176" s="26">
        <v>170.5</v>
      </c>
      <c r="BF176" s="26">
        <v>255.75</v>
      </c>
      <c r="BG176" s="24"/>
      <c r="BH176" s="1" t="s">
        <v>471</v>
      </c>
      <c r="BI176" s="26">
        <v>392.33974358974359</v>
      </c>
      <c r="BJ176" s="23">
        <v>1.1599853358280597E-4</v>
      </c>
      <c r="BK176" s="26"/>
      <c r="BL176" s="27"/>
      <c r="BN176" s="13"/>
      <c r="BO176" s="43"/>
      <c r="BP176" s="42"/>
    </row>
    <row r="177" spans="1:68" s="1" customFormat="1" x14ac:dyDescent="0.3">
      <c r="A177" s="12" t="s">
        <v>470</v>
      </c>
      <c r="B177" s="12">
        <v>102194</v>
      </c>
      <c r="C177" s="13" t="s">
        <v>469</v>
      </c>
      <c r="D177" s="13" t="s">
        <v>468</v>
      </c>
      <c r="E177" s="14">
        <v>46232</v>
      </c>
      <c r="F177" s="15" t="s">
        <v>137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8</v>
      </c>
      <c r="AC177" s="6">
        <v>13</v>
      </c>
      <c r="AD177" s="6">
        <v>14</v>
      </c>
      <c r="AE177" s="6">
        <v>0</v>
      </c>
      <c r="AF177" s="6">
        <v>35</v>
      </c>
      <c r="AG177" s="16">
        <v>35</v>
      </c>
      <c r="AH177" s="17">
        <v>0</v>
      </c>
      <c r="AI177" s="17">
        <v>2.9166666666666665</v>
      </c>
      <c r="AJ177" s="17">
        <v>1.4583333333333333</v>
      </c>
      <c r="AK177" s="49">
        <v>1.0074314331012926E-5</v>
      </c>
      <c r="AL177" s="48">
        <v>5.4515774753457347</v>
      </c>
      <c r="AM177" s="19">
        <v>4.0537601081579497</v>
      </c>
      <c r="AN177" s="47">
        <v>1.8691122772613948</v>
      </c>
      <c r="AO177" s="20">
        <v>2.7797212170225944</v>
      </c>
      <c r="AP177" s="44">
        <v>0</v>
      </c>
      <c r="AQ177" s="46">
        <v>1618120</v>
      </c>
      <c r="AR177" s="45">
        <v>1618120</v>
      </c>
      <c r="AS177" s="22">
        <v>9.8697945704817884E-4</v>
      </c>
      <c r="AT177" s="22">
        <v>0.9599799356028077</v>
      </c>
      <c r="AU177" s="22" t="s">
        <v>215</v>
      </c>
      <c r="AV177" s="22" t="s">
        <v>166</v>
      </c>
      <c r="AW177" s="22" t="s">
        <v>222</v>
      </c>
      <c r="AX177" s="23">
        <v>52</v>
      </c>
      <c r="AY177" s="24">
        <v>17.828571428571429</v>
      </c>
      <c r="AZ177" s="23">
        <v>42</v>
      </c>
      <c r="BA177" s="26">
        <v>24</v>
      </c>
      <c r="BB177" s="44" t="s">
        <v>154</v>
      </c>
      <c r="BC177" s="26">
        <v>9.7222222222222224E-2</v>
      </c>
      <c r="BD177" s="23">
        <v>30</v>
      </c>
      <c r="BE177" s="26">
        <v>5.833333333333333</v>
      </c>
      <c r="BF177" s="26">
        <v>8.75</v>
      </c>
      <c r="BG177" s="24"/>
      <c r="BI177" s="26"/>
      <c r="BJ177" s="23"/>
      <c r="BK177" s="26"/>
      <c r="BL177" s="27"/>
      <c r="BN177" s="13"/>
      <c r="BO177" s="43"/>
      <c r="BP177" s="42"/>
    </row>
    <row r="178" spans="1:68" s="1" customFormat="1" x14ac:dyDescent="0.3">
      <c r="A178" s="12" t="s">
        <v>467</v>
      </c>
      <c r="B178" s="12">
        <v>102176</v>
      </c>
      <c r="C178" s="13" t="s">
        <v>466</v>
      </c>
      <c r="D178" s="13" t="s">
        <v>62</v>
      </c>
      <c r="E178" s="14">
        <v>975</v>
      </c>
      <c r="F178" s="15" t="s">
        <v>137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112</v>
      </c>
      <c r="P178" s="6">
        <v>105</v>
      </c>
      <c r="Q178" s="6">
        <v>165</v>
      </c>
      <c r="R178" s="6">
        <v>100</v>
      </c>
      <c r="S178" s="6">
        <v>100</v>
      </c>
      <c r="T178" s="6">
        <v>30</v>
      </c>
      <c r="U178" s="6">
        <v>150</v>
      </c>
      <c r="V178" s="6">
        <v>30</v>
      </c>
      <c r="W178" s="6">
        <v>37</v>
      </c>
      <c r="X178" s="6">
        <v>90</v>
      </c>
      <c r="Y178" s="6">
        <v>44</v>
      </c>
      <c r="Z178" s="6">
        <v>110</v>
      </c>
      <c r="AA178" s="6">
        <v>30</v>
      </c>
      <c r="AB178" s="6">
        <v>0</v>
      </c>
      <c r="AC178" s="6">
        <v>50</v>
      </c>
      <c r="AD178" s="6">
        <v>62</v>
      </c>
      <c r="AE178" s="6">
        <v>482</v>
      </c>
      <c r="AF178" s="6">
        <v>733</v>
      </c>
      <c r="AG178" s="16">
        <v>1215</v>
      </c>
      <c r="AH178" s="17">
        <v>40.166666666666664</v>
      </c>
      <c r="AI178" s="17">
        <v>61.083333333333336</v>
      </c>
      <c r="AJ178" s="17">
        <v>50.625</v>
      </c>
      <c r="AK178" s="49">
        <v>2.1098492584664213E-4</v>
      </c>
      <c r="AL178" s="48">
        <v>42.932205189394153</v>
      </c>
      <c r="AM178" s="19">
        <v>52.887750287139106</v>
      </c>
      <c r="AN178" s="47">
        <v>0.7028464696763026</v>
      </c>
      <c r="AO178" s="20">
        <v>1.0446963019681799</v>
      </c>
      <c r="AP178" s="44">
        <v>0.52074688796680513</v>
      </c>
      <c r="AQ178" s="46">
        <v>714675</v>
      </c>
      <c r="AR178" s="45">
        <v>1184625</v>
      </c>
      <c r="AS178" s="22">
        <v>7.2256726281468551E-4</v>
      </c>
      <c r="AT178" s="22">
        <v>0.96849043258228551</v>
      </c>
      <c r="AU178" s="22" t="s">
        <v>215</v>
      </c>
      <c r="AV178" s="22" t="s">
        <v>166</v>
      </c>
      <c r="AW178" s="22" t="s">
        <v>222</v>
      </c>
      <c r="AX178" s="23">
        <v>413</v>
      </c>
      <c r="AY178" s="24">
        <v>6.7612551159618004</v>
      </c>
      <c r="AZ178" s="23">
        <v>240</v>
      </c>
      <c r="BA178" s="26">
        <v>120</v>
      </c>
      <c r="BB178" s="44" t="s">
        <v>154</v>
      </c>
      <c r="BC178" s="26">
        <v>2.036111111111111</v>
      </c>
      <c r="BD178" s="23">
        <v>30</v>
      </c>
      <c r="BE178" s="26">
        <v>122.16666666666666</v>
      </c>
      <c r="BF178" s="26">
        <v>183.25</v>
      </c>
      <c r="BG178" s="24"/>
      <c r="BI178" s="26"/>
      <c r="BJ178" s="23"/>
      <c r="BK178" s="26"/>
      <c r="BL178" s="27"/>
      <c r="BN178" s="13"/>
      <c r="BO178" s="43"/>
      <c r="BP178" s="42"/>
    </row>
    <row r="179" spans="1:68" s="1" customFormat="1" x14ac:dyDescent="0.3">
      <c r="A179" s="12" t="s">
        <v>465</v>
      </c>
      <c r="B179" s="12">
        <v>103019</v>
      </c>
      <c r="C179" s="13" t="s">
        <v>464</v>
      </c>
      <c r="D179" s="13" t="s">
        <v>47</v>
      </c>
      <c r="E179" s="14">
        <v>1050</v>
      </c>
      <c r="F179" s="15" t="s">
        <v>137</v>
      </c>
      <c r="G179" s="6">
        <v>95</v>
      </c>
      <c r="H179" s="6">
        <v>57</v>
      </c>
      <c r="I179" s="6">
        <v>46</v>
      </c>
      <c r="J179" s="6">
        <v>54</v>
      </c>
      <c r="K179" s="6">
        <v>48</v>
      </c>
      <c r="L179" s="6">
        <v>85</v>
      </c>
      <c r="M179" s="6">
        <v>67</v>
      </c>
      <c r="N179" s="6">
        <v>20</v>
      </c>
      <c r="O179" s="6">
        <v>40</v>
      </c>
      <c r="P179" s="6">
        <v>29</v>
      </c>
      <c r="Q179" s="6">
        <v>1</v>
      </c>
      <c r="R179" s="6">
        <v>23</v>
      </c>
      <c r="S179" s="6">
        <v>39</v>
      </c>
      <c r="T179" s="6">
        <v>16</v>
      </c>
      <c r="U179" s="6">
        <v>30</v>
      </c>
      <c r="V179" s="6">
        <v>76</v>
      </c>
      <c r="W179" s="6">
        <v>40</v>
      </c>
      <c r="X179" s="6">
        <v>90</v>
      </c>
      <c r="Y179" s="6">
        <v>1</v>
      </c>
      <c r="Z179" s="6">
        <v>25</v>
      </c>
      <c r="AA179" s="6">
        <v>63</v>
      </c>
      <c r="AB179" s="6">
        <v>4</v>
      </c>
      <c r="AC179" s="6">
        <v>73</v>
      </c>
      <c r="AD179" s="6">
        <v>105</v>
      </c>
      <c r="AE179" s="6">
        <v>565</v>
      </c>
      <c r="AF179" s="6">
        <v>562</v>
      </c>
      <c r="AG179" s="16">
        <v>1127</v>
      </c>
      <c r="AH179" s="17">
        <v>47.083333333333336</v>
      </c>
      <c r="AI179" s="17">
        <v>46.833333333333336</v>
      </c>
      <c r="AJ179" s="17">
        <v>46.958333333333336</v>
      </c>
      <c r="AK179" s="49">
        <v>1.6176470440083611E-4</v>
      </c>
      <c r="AL179" s="48">
        <v>34.109005298076966</v>
      </c>
      <c r="AM179" s="19">
        <v>30.138057937297223</v>
      </c>
      <c r="AN179" s="47">
        <v>0.72830616294826256</v>
      </c>
      <c r="AO179" s="20">
        <v>0.64180425066116531</v>
      </c>
      <c r="AP179" s="44">
        <v>-5.3097345132743362E-3</v>
      </c>
      <c r="AQ179" s="46">
        <v>590100</v>
      </c>
      <c r="AR179" s="45">
        <v>1183350</v>
      </c>
      <c r="AS179" s="22">
        <v>7.2178957092055131E-4</v>
      </c>
      <c r="AT179" s="22">
        <v>0.96921222215320602</v>
      </c>
      <c r="AU179" s="22" t="s">
        <v>215</v>
      </c>
      <c r="AV179" s="22" t="s">
        <v>166</v>
      </c>
      <c r="AW179" s="22" t="s">
        <v>222</v>
      </c>
      <c r="AX179" s="23">
        <v>344</v>
      </c>
      <c r="AY179" s="24">
        <v>7.345195729537366</v>
      </c>
      <c r="AZ179" s="23">
        <v>88</v>
      </c>
      <c r="BA179" s="26">
        <v>50</v>
      </c>
      <c r="BB179" s="44" t="s">
        <v>154</v>
      </c>
      <c r="BC179" s="26">
        <v>1.5611111111111111</v>
      </c>
      <c r="BD179" s="23">
        <v>30</v>
      </c>
      <c r="BE179" s="26">
        <v>93.666666666666671</v>
      </c>
      <c r="BF179" s="26">
        <v>140.5</v>
      </c>
      <c r="BG179" s="24"/>
      <c r="BH179" s="1" t="s">
        <v>463</v>
      </c>
      <c r="BI179" s="26">
        <v>211.45512820512823</v>
      </c>
      <c r="BJ179" s="23">
        <v>2.1098492584664213E-4</v>
      </c>
      <c r="BK179" s="26"/>
      <c r="BL179" s="27"/>
      <c r="BN179" s="13"/>
      <c r="BO179" s="43"/>
      <c r="BP179" s="42"/>
    </row>
    <row r="180" spans="1:68" s="1" customFormat="1" x14ac:dyDescent="0.3">
      <c r="A180" s="12" t="s">
        <v>462</v>
      </c>
      <c r="B180" s="12">
        <v>108026</v>
      </c>
      <c r="C180" s="13" t="s">
        <v>461</v>
      </c>
      <c r="D180" s="13" t="s">
        <v>62</v>
      </c>
      <c r="E180" s="14">
        <v>740</v>
      </c>
      <c r="F180" s="15" t="s">
        <v>137</v>
      </c>
      <c r="G180" s="6">
        <v>89</v>
      </c>
      <c r="H180" s="6">
        <v>21</v>
      </c>
      <c r="I180" s="6">
        <v>12</v>
      </c>
      <c r="J180" s="6">
        <v>5</v>
      </c>
      <c r="K180" s="6">
        <v>3</v>
      </c>
      <c r="L180" s="6">
        <v>82</v>
      </c>
      <c r="M180" s="6">
        <v>109</v>
      </c>
      <c r="N180" s="6">
        <v>132</v>
      </c>
      <c r="O180" s="6">
        <v>89</v>
      </c>
      <c r="P180" s="6">
        <v>110</v>
      </c>
      <c r="Q180" s="6">
        <v>58</v>
      </c>
      <c r="R180" s="6">
        <v>84</v>
      </c>
      <c r="S180" s="6">
        <v>42</v>
      </c>
      <c r="T180" s="6">
        <v>1</v>
      </c>
      <c r="U180" s="6">
        <v>41</v>
      </c>
      <c r="V180" s="6">
        <v>83</v>
      </c>
      <c r="W180" s="6">
        <v>98</v>
      </c>
      <c r="X180" s="6">
        <v>0</v>
      </c>
      <c r="Y180" s="6">
        <v>25</v>
      </c>
      <c r="Z180" s="6">
        <v>132</v>
      </c>
      <c r="AA180" s="6">
        <v>0</v>
      </c>
      <c r="AB180" s="6">
        <v>211</v>
      </c>
      <c r="AC180" s="6">
        <v>129</v>
      </c>
      <c r="AD180" s="6">
        <v>11</v>
      </c>
      <c r="AE180" s="6">
        <v>794</v>
      </c>
      <c r="AF180" s="6">
        <v>773</v>
      </c>
      <c r="AG180" s="16">
        <v>1567</v>
      </c>
      <c r="AH180" s="17">
        <v>66.166666666666671</v>
      </c>
      <c r="AI180" s="17">
        <v>64.416666666666671</v>
      </c>
      <c r="AJ180" s="17">
        <v>65.291666666666671</v>
      </c>
      <c r="AK180" s="49">
        <v>2.2249842793922833E-4</v>
      </c>
      <c r="AL180" s="48">
        <v>67.066396318510471</v>
      </c>
      <c r="AM180" s="19">
        <v>55.938226151063603</v>
      </c>
      <c r="AN180" s="47">
        <v>1.0411342248669153</v>
      </c>
      <c r="AO180" s="20">
        <v>0.85674373173294605</v>
      </c>
      <c r="AP180" s="44">
        <v>-2.6448362720403022E-2</v>
      </c>
      <c r="AQ180" s="46">
        <v>572020</v>
      </c>
      <c r="AR180" s="45">
        <v>1159580</v>
      </c>
      <c r="AS180" s="22">
        <v>7.0729095419618275E-4</v>
      </c>
      <c r="AT180" s="22">
        <v>0.96991951310740221</v>
      </c>
      <c r="AU180" s="22" t="s">
        <v>215</v>
      </c>
      <c r="AV180" s="22" t="s">
        <v>166</v>
      </c>
      <c r="AW180" s="22" t="s">
        <v>222</v>
      </c>
      <c r="AX180" s="23">
        <v>88</v>
      </c>
      <c r="AY180" s="24">
        <v>1.3661060802069858</v>
      </c>
      <c r="AZ180" s="23">
        <v>80</v>
      </c>
      <c r="BA180" s="26">
        <v>40</v>
      </c>
      <c r="BB180" s="44" t="s">
        <v>154</v>
      </c>
      <c r="BC180" s="26">
        <v>2.1472222222222226</v>
      </c>
      <c r="BD180" s="23">
        <v>30</v>
      </c>
      <c r="BE180" s="26">
        <v>128.83333333333334</v>
      </c>
      <c r="BF180" s="26">
        <v>193.25</v>
      </c>
      <c r="BG180" s="24"/>
      <c r="BI180" s="26"/>
      <c r="BJ180" s="23"/>
      <c r="BK180" s="26"/>
      <c r="BL180" s="27"/>
      <c r="BN180" s="13"/>
      <c r="BO180" s="43"/>
      <c r="BP180" s="42"/>
    </row>
    <row r="181" spans="1:68" s="1" customFormat="1" x14ac:dyDescent="0.3">
      <c r="A181" s="12" t="s">
        <v>460</v>
      </c>
      <c r="B181" s="12">
        <v>107010</v>
      </c>
      <c r="C181" s="13" t="s">
        <v>459</v>
      </c>
      <c r="D181" s="13" t="s">
        <v>137</v>
      </c>
      <c r="E181" s="14">
        <v>4998</v>
      </c>
      <c r="F181" s="15" t="s">
        <v>137</v>
      </c>
      <c r="G181" s="6">
        <v>1</v>
      </c>
      <c r="H181" s="6">
        <v>7</v>
      </c>
      <c r="I181" s="6">
        <v>14</v>
      </c>
      <c r="J181" s="6">
        <v>6</v>
      </c>
      <c r="K181" s="6">
        <v>3</v>
      </c>
      <c r="L181" s="6">
        <v>7</v>
      </c>
      <c r="M181" s="6">
        <v>19</v>
      </c>
      <c r="N181" s="6">
        <v>5</v>
      </c>
      <c r="O181" s="6">
        <v>1</v>
      </c>
      <c r="P181" s="6">
        <v>9</v>
      </c>
      <c r="Q181" s="6">
        <v>7</v>
      </c>
      <c r="R181" s="6">
        <v>14</v>
      </c>
      <c r="S181" s="6">
        <v>16</v>
      </c>
      <c r="T181" s="6">
        <v>13</v>
      </c>
      <c r="U181" s="6">
        <v>17</v>
      </c>
      <c r="V181" s="6">
        <v>9</v>
      </c>
      <c r="W181" s="6">
        <v>4</v>
      </c>
      <c r="X181" s="6">
        <v>8</v>
      </c>
      <c r="Y181" s="6">
        <v>6</v>
      </c>
      <c r="Z181" s="6">
        <v>2</v>
      </c>
      <c r="AA181" s="6">
        <v>9</v>
      </c>
      <c r="AB181" s="6">
        <v>13</v>
      </c>
      <c r="AC181" s="6">
        <v>13</v>
      </c>
      <c r="AD181" s="6">
        <v>21</v>
      </c>
      <c r="AE181" s="6">
        <v>93</v>
      </c>
      <c r="AF181" s="6">
        <v>131</v>
      </c>
      <c r="AG181" s="16">
        <v>224</v>
      </c>
      <c r="AH181" s="17">
        <v>7.75</v>
      </c>
      <c r="AI181" s="17">
        <v>10.916666666666666</v>
      </c>
      <c r="AJ181" s="17">
        <v>9.3333333333333321</v>
      </c>
      <c r="AK181" s="49">
        <v>3.7706719353219808E-5</v>
      </c>
      <c r="AL181" s="48">
        <v>5.599648257351582</v>
      </c>
      <c r="AM181" s="19">
        <v>5.661975893139493</v>
      </c>
      <c r="AN181" s="47">
        <v>0.51294487853602277</v>
      </c>
      <c r="AO181" s="20">
        <v>0.60664027426494571</v>
      </c>
      <c r="AP181" s="44">
        <v>0.40860215053763432</v>
      </c>
      <c r="AQ181" s="46">
        <v>654738</v>
      </c>
      <c r="AR181" s="45">
        <v>1119552</v>
      </c>
      <c r="AS181" s="22">
        <v>6.8287569840135638E-4</v>
      </c>
      <c r="AT181" s="22">
        <v>0.97129974543225084</v>
      </c>
      <c r="AU181" s="22" t="s">
        <v>215</v>
      </c>
      <c r="AV181" s="22" t="s">
        <v>166</v>
      </c>
      <c r="AW181" s="22" t="s">
        <v>222</v>
      </c>
      <c r="AX181" s="23">
        <v>45</v>
      </c>
      <c r="AY181" s="24">
        <v>4.1221374045801529</v>
      </c>
      <c r="AZ181" s="23">
        <v>13</v>
      </c>
      <c r="BA181" s="26">
        <v>8</v>
      </c>
      <c r="BB181" s="44" t="s">
        <v>154</v>
      </c>
      <c r="BC181" s="26">
        <v>0.36388888888888887</v>
      </c>
      <c r="BD181" s="23">
        <v>30</v>
      </c>
      <c r="BE181" s="26">
        <v>21.833333333333332</v>
      </c>
      <c r="BF181" s="26">
        <v>32.75</v>
      </c>
      <c r="BG181" s="24"/>
      <c r="BI181" s="26"/>
      <c r="BJ181" s="23"/>
      <c r="BK181" s="26"/>
      <c r="BL181" s="27"/>
      <c r="BN181" s="13"/>
      <c r="BO181" s="43"/>
      <c r="BP181" s="42"/>
    </row>
    <row r="182" spans="1:68" s="1" customFormat="1" x14ac:dyDescent="0.3">
      <c r="A182" s="12" t="s">
        <v>458</v>
      </c>
      <c r="B182" s="12">
        <v>102164</v>
      </c>
      <c r="C182" s="13" t="s">
        <v>457</v>
      </c>
      <c r="D182" s="13" t="s">
        <v>44</v>
      </c>
      <c r="E182" s="14">
        <v>358</v>
      </c>
      <c r="F182" s="15" t="s">
        <v>137</v>
      </c>
      <c r="G182" s="6">
        <v>0</v>
      </c>
      <c r="H182" s="6">
        <v>0</v>
      </c>
      <c r="I182" s="6">
        <v>10</v>
      </c>
      <c r="J182" s="6">
        <v>184</v>
      </c>
      <c r="K182" s="6">
        <v>113</v>
      </c>
      <c r="L182" s="6">
        <v>110</v>
      </c>
      <c r="M182" s="6">
        <v>216</v>
      </c>
      <c r="N182" s="6">
        <v>83</v>
      </c>
      <c r="O182" s="6">
        <v>123</v>
      </c>
      <c r="P182" s="6">
        <v>59</v>
      </c>
      <c r="Q182" s="6">
        <v>244</v>
      </c>
      <c r="R182" s="6">
        <v>109</v>
      </c>
      <c r="S182" s="6">
        <v>128</v>
      </c>
      <c r="T182" s="6">
        <v>71</v>
      </c>
      <c r="U182" s="6">
        <v>108</v>
      </c>
      <c r="V182" s="6">
        <v>192</v>
      </c>
      <c r="W182" s="6">
        <v>108</v>
      </c>
      <c r="X182" s="6">
        <v>126</v>
      </c>
      <c r="Y182" s="6">
        <v>224</v>
      </c>
      <c r="Z182" s="6">
        <v>244</v>
      </c>
      <c r="AA182" s="6">
        <v>83</v>
      </c>
      <c r="AB182" s="6">
        <v>153</v>
      </c>
      <c r="AC182" s="6">
        <v>127</v>
      </c>
      <c r="AD182" s="6">
        <v>133</v>
      </c>
      <c r="AE182" s="6">
        <v>1251</v>
      </c>
      <c r="AF182" s="6">
        <v>1697</v>
      </c>
      <c r="AG182" s="16">
        <v>2948</v>
      </c>
      <c r="AH182" s="17">
        <v>104.25</v>
      </c>
      <c r="AI182" s="17">
        <v>141.41666666666666</v>
      </c>
      <c r="AJ182" s="17">
        <v>122.83333333333333</v>
      </c>
      <c r="AK182" s="49">
        <v>4.8846032627796962E-4</v>
      </c>
      <c r="AL182" s="48">
        <v>53.374250402798211</v>
      </c>
      <c r="AM182" s="19">
        <v>69.659211861041385</v>
      </c>
      <c r="AN182" s="47">
        <v>0.37742545953658135</v>
      </c>
      <c r="AO182" s="20">
        <v>0.56710348869233151</v>
      </c>
      <c r="AP182" s="44">
        <v>0.35651478816946436</v>
      </c>
      <c r="AQ182" s="46">
        <v>607526</v>
      </c>
      <c r="AR182" s="45">
        <v>1055384</v>
      </c>
      <c r="AS182" s="22">
        <v>6.4373614274425587E-4</v>
      </c>
      <c r="AT182" s="22">
        <v>0.97330338411879946</v>
      </c>
      <c r="AU182" s="22" t="s">
        <v>215</v>
      </c>
      <c r="AV182" s="22" t="s">
        <v>166</v>
      </c>
      <c r="AW182" s="22" t="s">
        <v>222</v>
      </c>
      <c r="AX182" s="23">
        <v>314</v>
      </c>
      <c r="AY182" s="24">
        <v>2.2203889216263999</v>
      </c>
      <c r="AZ182" s="23">
        <v>225</v>
      </c>
      <c r="BA182" s="26">
        <v>145</v>
      </c>
      <c r="BB182" s="44" t="s">
        <v>154</v>
      </c>
      <c r="BC182" s="26">
        <v>4.7138888888888886</v>
      </c>
      <c r="BD182" s="23">
        <v>30</v>
      </c>
      <c r="BE182" s="26">
        <v>282.83333333333331</v>
      </c>
      <c r="BF182" s="26">
        <v>424.25</v>
      </c>
      <c r="BG182" s="24"/>
      <c r="BI182" s="26"/>
      <c r="BJ182" s="23"/>
      <c r="BK182" s="26"/>
      <c r="BL182" s="27"/>
      <c r="BN182" s="13"/>
      <c r="BO182" s="43"/>
      <c r="BP182" s="42"/>
    </row>
    <row r="183" spans="1:68" s="1" customFormat="1" x14ac:dyDescent="0.3">
      <c r="A183" s="12" t="s">
        <v>456</v>
      </c>
      <c r="B183" s="12">
        <v>108009</v>
      </c>
      <c r="C183" s="13" t="s">
        <v>455</v>
      </c>
      <c r="D183" s="13" t="s">
        <v>339</v>
      </c>
      <c r="E183" s="14">
        <v>696</v>
      </c>
      <c r="F183" s="15" t="s">
        <v>137</v>
      </c>
      <c r="G183" s="6">
        <v>172</v>
      </c>
      <c r="H183" s="6">
        <v>167</v>
      </c>
      <c r="I183" s="6">
        <v>166</v>
      </c>
      <c r="J183" s="6">
        <v>30</v>
      </c>
      <c r="K183" s="6">
        <v>63</v>
      </c>
      <c r="L183" s="6">
        <v>72</v>
      </c>
      <c r="M183" s="6">
        <v>59</v>
      </c>
      <c r="N183" s="6">
        <v>54</v>
      </c>
      <c r="O183" s="6">
        <v>74</v>
      </c>
      <c r="P183" s="6">
        <v>18</v>
      </c>
      <c r="Q183" s="6">
        <v>38</v>
      </c>
      <c r="R183" s="6">
        <v>35</v>
      </c>
      <c r="S183" s="6">
        <v>31</v>
      </c>
      <c r="T183" s="6">
        <v>73</v>
      </c>
      <c r="U183" s="6">
        <v>42</v>
      </c>
      <c r="V183" s="6">
        <v>53</v>
      </c>
      <c r="W183" s="6">
        <v>33</v>
      </c>
      <c r="X183" s="6">
        <v>10</v>
      </c>
      <c r="Y183" s="6">
        <v>121</v>
      </c>
      <c r="Z183" s="6">
        <v>62</v>
      </c>
      <c r="AA183" s="6">
        <v>17</v>
      </c>
      <c r="AB183" s="6">
        <v>34</v>
      </c>
      <c r="AC183" s="6">
        <v>46</v>
      </c>
      <c r="AD183" s="6">
        <v>20</v>
      </c>
      <c r="AE183" s="6">
        <v>948</v>
      </c>
      <c r="AF183" s="6">
        <v>542</v>
      </c>
      <c r="AG183" s="16">
        <v>1490</v>
      </c>
      <c r="AH183" s="17">
        <v>79</v>
      </c>
      <c r="AI183" s="17">
        <v>45.166666666666664</v>
      </c>
      <c r="AJ183" s="17">
        <v>62.083333333333329</v>
      </c>
      <c r="AK183" s="49">
        <v>1.5600795335454301E-4</v>
      </c>
      <c r="AL183" s="48">
        <v>30.177756207129946</v>
      </c>
      <c r="AM183" s="19">
        <v>47.522001007008789</v>
      </c>
      <c r="AN183" s="47">
        <v>0.66814220384789547</v>
      </c>
      <c r="AO183" s="20">
        <v>0.76545504977732282</v>
      </c>
      <c r="AP183" s="44">
        <v>-0.42827004219409287</v>
      </c>
      <c r="AQ183" s="46">
        <v>377232</v>
      </c>
      <c r="AR183" s="45">
        <v>1037040</v>
      </c>
      <c r="AS183" s="22">
        <v>6.3254713873955176E-4</v>
      </c>
      <c r="AT183" s="22">
        <v>0.97393593125753897</v>
      </c>
      <c r="AU183" s="22" t="s">
        <v>215</v>
      </c>
      <c r="AV183" s="22" t="s">
        <v>166</v>
      </c>
      <c r="AW183" s="22" t="s">
        <v>222</v>
      </c>
      <c r="AX183" s="23">
        <v>195</v>
      </c>
      <c r="AY183" s="24">
        <v>4.3173431734317349</v>
      </c>
      <c r="AZ183" s="23">
        <v>73</v>
      </c>
      <c r="BA183" s="26">
        <v>40</v>
      </c>
      <c r="BB183" s="44" t="s">
        <v>154</v>
      </c>
      <c r="BC183" s="26">
        <v>1.5055555555555555</v>
      </c>
      <c r="BD183" s="23">
        <v>30</v>
      </c>
      <c r="BE183" s="26">
        <v>90.333333333333329</v>
      </c>
      <c r="BF183" s="26">
        <v>135.5</v>
      </c>
      <c r="BG183" s="24"/>
      <c r="BI183" s="26"/>
      <c r="BJ183" s="23"/>
      <c r="BK183" s="26"/>
      <c r="BL183" s="27"/>
      <c r="BN183" s="13"/>
      <c r="BO183" s="43"/>
      <c r="BP183" s="42"/>
    </row>
    <row r="184" spans="1:68" s="1" customFormat="1" x14ac:dyDescent="0.3">
      <c r="A184" s="12" t="s">
        <v>454</v>
      </c>
      <c r="B184" s="12">
        <v>103015</v>
      </c>
      <c r="C184" s="13" t="s">
        <v>453</v>
      </c>
      <c r="D184" s="13" t="s">
        <v>47</v>
      </c>
      <c r="E184" s="14">
        <v>225</v>
      </c>
      <c r="F184" s="15" t="s">
        <v>137</v>
      </c>
      <c r="G184" s="6">
        <v>0</v>
      </c>
      <c r="H184" s="6">
        <v>0</v>
      </c>
      <c r="I184" s="6">
        <v>168</v>
      </c>
      <c r="J184" s="6">
        <v>280</v>
      </c>
      <c r="K184" s="6">
        <v>6</v>
      </c>
      <c r="L184" s="6">
        <v>108</v>
      </c>
      <c r="M184" s="6">
        <v>18</v>
      </c>
      <c r="N184" s="6">
        <v>272</v>
      </c>
      <c r="O184" s="6">
        <v>32</v>
      </c>
      <c r="P184" s="6">
        <v>0</v>
      </c>
      <c r="Q184" s="6">
        <v>0</v>
      </c>
      <c r="R184" s="6">
        <v>0</v>
      </c>
      <c r="S184" s="6">
        <v>53</v>
      </c>
      <c r="T184" s="6">
        <v>267</v>
      </c>
      <c r="U184" s="6">
        <v>748</v>
      </c>
      <c r="V184" s="6">
        <v>59</v>
      </c>
      <c r="W184" s="6">
        <v>104</v>
      </c>
      <c r="X184" s="6">
        <v>331</v>
      </c>
      <c r="Y184" s="6">
        <v>256</v>
      </c>
      <c r="Z184" s="6">
        <v>415</v>
      </c>
      <c r="AA184" s="6">
        <v>330</v>
      </c>
      <c r="AB184" s="6">
        <v>389</v>
      </c>
      <c r="AC184" s="6">
        <v>249</v>
      </c>
      <c r="AD184" s="6">
        <v>32</v>
      </c>
      <c r="AE184" s="6">
        <v>884</v>
      </c>
      <c r="AF184" s="6">
        <v>3233</v>
      </c>
      <c r="AG184" s="16">
        <v>4117</v>
      </c>
      <c r="AH184" s="17">
        <v>73.666666666666671</v>
      </c>
      <c r="AI184" s="17">
        <v>269.41666666666669</v>
      </c>
      <c r="AJ184" s="17">
        <v>171.54166666666669</v>
      </c>
      <c r="AK184" s="49">
        <v>9.3057880663327964E-4</v>
      </c>
      <c r="AL184" s="48">
        <v>201.68447830182367</v>
      </c>
      <c r="AM184" s="19">
        <v>187.1857898654068</v>
      </c>
      <c r="AN184" s="47">
        <v>0.74859688822204884</v>
      </c>
      <c r="AO184" s="20">
        <v>1.0911972204930198</v>
      </c>
      <c r="AP184" s="44">
        <v>2.6572398190045248</v>
      </c>
      <c r="AQ184" s="46">
        <v>727425</v>
      </c>
      <c r="AR184" s="45">
        <v>926325</v>
      </c>
      <c r="AS184" s="22">
        <v>5.650160343794986E-4</v>
      </c>
      <c r="AT184" s="22">
        <v>0.97568072785367943</v>
      </c>
      <c r="AU184" s="22" t="s">
        <v>215</v>
      </c>
      <c r="AV184" s="22" t="s">
        <v>166</v>
      </c>
      <c r="AW184" s="22" t="s">
        <v>222</v>
      </c>
      <c r="AX184" s="23">
        <v>1304</v>
      </c>
      <c r="AY184" s="24">
        <v>4.840086606866687</v>
      </c>
      <c r="AZ184" s="23">
        <v>210</v>
      </c>
      <c r="BA184" s="26">
        <v>120</v>
      </c>
      <c r="BB184" s="44" t="s">
        <v>154</v>
      </c>
      <c r="BC184" s="26">
        <v>8.9805555555555561</v>
      </c>
      <c r="BD184" s="23">
        <v>30</v>
      </c>
      <c r="BE184" s="26">
        <v>538.83333333333337</v>
      </c>
      <c r="BF184" s="26">
        <v>808.25</v>
      </c>
      <c r="BG184" s="24"/>
      <c r="BI184" s="26"/>
      <c r="BJ184" s="23"/>
      <c r="BK184" s="26"/>
      <c r="BL184" s="27"/>
      <c r="BN184" s="13"/>
      <c r="BO184" s="43"/>
      <c r="BP184" s="42"/>
    </row>
    <row r="185" spans="1:68" s="1" customFormat="1" x14ac:dyDescent="0.3">
      <c r="A185" s="12" t="s">
        <v>452</v>
      </c>
      <c r="B185" s="12">
        <v>102189</v>
      </c>
      <c r="C185" s="13" t="s">
        <v>451</v>
      </c>
      <c r="D185" s="13" t="s">
        <v>53</v>
      </c>
      <c r="E185" s="14">
        <v>1248</v>
      </c>
      <c r="F185" s="15" t="s">
        <v>137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35</v>
      </c>
      <c r="V185" s="6">
        <v>40</v>
      </c>
      <c r="W185" s="6">
        <v>35</v>
      </c>
      <c r="X185" s="6">
        <v>156</v>
      </c>
      <c r="Y185" s="6">
        <v>0</v>
      </c>
      <c r="Z185" s="6">
        <v>0</v>
      </c>
      <c r="AA185" s="6">
        <v>10</v>
      </c>
      <c r="AB185" s="6">
        <v>279</v>
      </c>
      <c r="AC185" s="6">
        <v>105</v>
      </c>
      <c r="AD185" s="6">
        <v>60</v>
      </c>
      <c r="AE185" s="6">
        <v>0</v>
      </c>
      <c r="AF185" s="6">
        <v>720</v>
      </c>
      <c r="AG185" s="16">
        <v>720</v>
      </c>
      <c r="AH185" s="17">
        <v>0</v>
      </c>
      <c r="AI185" s="17">
        <v>60</v>
      </c>
      <c r="AJ185" s="17">
        <v>30</v>
      </c>
      <c r="AK185" s="49">
        <v>2.0724303766655162E-4</v>
      </c>
      <c r="AL185" s="48">
        <v>84.073560864064959</v>
      </c>
      <c r="AM185" s="19">
        <v>65.724060844663597</v>
      </c>
      <c r="AN185" s="47">
        <v>1.4012260144010826</v>
      </c>
      <c r="AO185" s="20">
        <v>2.1908020281554532</v>
      </c>
      <c r="AP185" s="44">
        <v>0</v>
      </c>
      <c r="AQ185" s="46">
        <v>898560</v>
      </c>
      <c r="AR185" s="45">
        <v>898560</v>
      </c>
      <c r="AS185" s="22">
        <v>5.4808064972017626E-4</v>
      </c>
      <c r="AT185" s="22">
        <v>0.97678570421449551</v>
      </c>
      <c r="AU185" s="22" t="s">
        <v>215</v>
      </c>
      <c r="AV185" s="22" t="s">
        <v>166</v>
      </c>
      <c r="AW185" s="22" t="s">
        <v>222</v>
      </c>
      <c r="AX185" s="23">
        <v>615</v>
      </c>
      <c r="AY185" s="24">
        <v>10.25</v>
      </c>
      <c r="AZ185" s="23">
        <v>0</v>
      </c>
      <c r="BA185" s="26">
        <v>0</v>
      </c>
      <c r="BB185" s="44" t="s">
        <v>154</v>
      </c>
      <c r="BC185" s="26">
        <v>2</v>
      </c>
      <c r="BD185" s="23">
        <v>30</v>
      </c>
      <c r="BE185" s="26">
        <v>120</v>
      </c>
      <c r="BF185" s="26">
        <v>180</v>
      </c>
      <c r="BG185" s="24"/>
      <c r="BI185" s="26"/>
      <c r="BJ185" s="23"/>
      <c r="BK185" s="26"/>
      <c r="BL185" s="27"/>
      <c r="BN185" s="13"/>
      <c r="BO185" s="43"/>
      <c r="BP185" s="42"/>
    </row>
    <row r="186" spans="1:68" s="1" customFormat="1" x14ac:dyDescent="0.3">
      <c r="A186" s="12" t="s">
        <v>450</v>
      </c>
      <c r="B186" s="12">
        <v>103040</v>
      </c>
      <c r="C186" s="13" t="s">
        <v>449</v>
      </c>
      <c r="D186" s="13" t="s">
        <v>44</v>
      </c>
      <c r="E186" s="14">
        <v>5486</v>
      </c>
      <c r="F186" s="15" t="s">
        <v>137</v>
      </c>
      <c r="G186" s="6">
        <v>13</v>
      </c>
      <c r="H186" s="6">
        <v>2</v>
      </c>
      <c r="I186" s="6">
        <v>13</v>
      </c>
      <c r="J186" s="6">
        <v>2</v>
      </c>
      <c r="K186" s="6">
        <v>4</v>
      </c>
      <c r="L186" s="6">
        <v>3</v>
      </c>
      <c r="M186" s="6">
        <v>3</v>
      </c>
      <c r="N186" s="6">
        <v>7</v>
      </c>
      <c r="O186" s="6">
        <v>9</v>
      </c>
      <c r="P186" s="6">
        <v>4</v>
      </c>
      <c r="Q186" s="6">
        <v>19</v>
      </c>
      <c r="R186" s="6">
        <v>11</v>
      </c>
      <c r="S186" s="6">
        <v>18</v>
      </c>
      <c r="T186" s="6">
        <v>1</v>
      </c>
      <c r="U186" s="6">
        <v>14</v>
      </c>
      <c r="V186" s="6">
        <v>2</v>
      </c>
      <c r="W186" s="6">
        <v>0</v>
      </c>
      <c r="X186" s="6">
        <v>3</v>
      </c>
      <c r="Y186" s="6">
        <v>4</v>
      </c>
      <c r="Z186" s="6">
        <v>1</v>
      </c>
      <c r="AA186" s="6">
        <v>3</v>
      </c>
      <c r="AB186" s="6">
        <v>3</v>
      </c>
      <c r="AC186" s="6">
        <v>2</v>
      </c>
      <c r="AD186" s="6">
        <v>7</v>
      </c>
      <c r="AE186" s="6">
        <v>90</v>
      </c>
      <c r="AF186" s="6">
        <v>58</v>
      </c>
      <c r="AG186" s="16">
        <v>148</v>
      </c>
      <c r="AH186" s="17">
        <v>7.5</v>
      </c>
      <c r="AI186" s="17">
        <v>4.833333333333333</v>
      </c>
      <c r="AJ186" s="17">
        <v>6.1666666666666661</v>
      </c>
      <c r="AK186" s="49">
        <v>1.6694578034249992E-5</v>
      </c>
      <c r="AL186" s="48">
        <v>5.5732042902271273</v>
      </c>
      <c r="AM186" s="19">
        <v>5.5846580734277236</v>
      </c>
      <c r="AN186" s="47">
        <v>1.1530767497021643</v>
      </c>
      <c r="AO186" s="20">
        <v>0.90562022812341469</v>
      </c>
      <c r="AP186" s="44">
        <v>-0.35555555555555557</v>
      </c>
      <c r="AQ186" s="46">
        <v>318188</v>
      </c>
      <c r="AR186" s="45">
        <v>811928</v>
      </c>
      <c r="AS186" s="22">
        <v>4.9523907782007132E-4</v>
      </c>
      <c r="AT186" s="22">
        <v>0.97779087861209435</v>
      </c>
      <c r="AU186" s="22" t="s">
        <v>215</v>
      </c>
      <c r="AV186" s="22" t="s">
        <v>166</v>
      </c>
      <c r="AW186" s="22" t="s">
        <v>222</v>
      </c>
      <c r="AX186" s="23">
        <v>39</v>
      </c>
      <c r="AY186" s="24">
        <v>8.068965517241379</v>
      </c>
      <c r="AZ186" s="23">
        <v>8</v>
      </c>
      <c r="BA186" s="26">
        <v>5</v>
      </c>
      <c r="BB186" s="44" t="s">
        <v>154</v>
      </c>
      <c r="BC186" s="26">
        <v>0.16111111111111109</v>
      </c>
      <c r="BD186" s="23">
        <v>30</v>
      </c>
      <c r="BE186" s="26">
        <v>9.6666666666666661</v>
      </c>
      <c r="BF186" s="26">
        <v>14.5</v>
      </c>
      <c r="BG186" s="24"/>
      <c r="BI186" s="26"/>
      <c r="BJ186" s="23"/>
      <c r="BK186" s="26"/>
      <c r="BL186" s="27"/>
      <c r="BN186" s="13"/>
      <c r="BO186" s="43"/>
      <c r="BP186" s="42"/>
    </row>
    <row r="187" spans="1:68" s="1" customFormat="1" x14ac:dyDescent="0.3">
      <c r="A187" s="12" t="s">
        <v>448</v>
      </c>
      <c r="B187" s="12">
        <v>106074</v>
      </c>
      <c r="C187" s="13" t="s">
        <v>447</v>
      </c>
      <c r="D187" s="13" t="s">
        <v>47</v>
      </c>
      <c r="E187" s="14">
        <v>3784</v>
      </c>
      <c r="F187" s="15" t="s">
        <v>137</v>
      </c>
      <c r="G187" s="6">
        <v>10</v>
      </c>
      <c r="H187" s="6">
        <v>5</v>
      </c>
      <c r="I187" s="6">
        <v>10</v>
      </c>
      <c r="J187" s="6">
        <v>5</v>
      </c>
      <c r="K187" s="6">
        <v>5</v>
      </c>
      <c r="L187" s="6">
        <v>5</v>
      </c>
      <c r="M187" s="6">
        <v>23</v>
      </c>
      <c r="N187" s="6">
        <v>11</v>
      </c>
      <c r="O187" s="6">
        <v>5</v>
      </c>
      <c r="P187" s="6">
        <v>0</v>
      </c>
      <c r="Q187" s="6">
        <v>5</v>
      </c>
      <c r="R187" s="6">
        <v>11</v>
      </c>
      <c r="S187" s="6">
        <v>6</v>
      </c>
      <c r="T187" s="6">
        <v>10</v>
      </c>
      <c r="U187" s="6">
        <v>21</v>
      </c>
      <c r="V187" s="6">
        <v>25</v>
      </c>
      <c r="W187" s="6">
        <v>11</v>
      </c>
      <c r="X187" s="6">
        <v>2</v>
      </c>
      <c r="Y187" s="6">
        <v>4</v>
      </c>
      <c r="Z187" s="6">
        <v>23</v>
      </c>
      <c r="AA187" s="6">
        <v>9</v>
      </c>
      <c r="AB187" s="6">
        <v>0</v>
      </c>
      <c r="AC187" s="6">
        <v>0</v>
      </c>
      <c r="AD187" s="6">
        <v>0</v>
      </c>
      <c r="AE187" s="6">
        <v>95</v>
      </c>
      <c r="AF187" s="6">
        <v>111</v>
      </c>
      <c r="AG187" s="16">
        <v>206</v>
      </c>
      <c r="AH187" s="17">
        <v>7.916666666666667</v>
      </c>
      <c r="AI187" s="17">
        <v>9.25</v>
      </c>
      <c r="AJ187" s="17">
        <v>8.5833333333333339</v>
      </c>
      <c r="AK187" s="49">
        <v>3.1949968306926708E-5</v>
      </c>
      <c r="AL187" s="48">
        <v>9.1763034744141638</v>
      </c>
      <c r="AM187" s="19">
        <v>7.534942754848279</v>
      </c>
      <c r="AN187" s="47">
        <v>0.99203280804477445</v>
      </c>
      <c r="AO187" s="20">
        <v>0.87785740833183823</v>
      </c>
      <c r="AP187" s="44">
        <v>0.16842105263157892</v>
      </c>
      <c r="AQ187" s="46">
        <v>420024</v>
      </c>
      <c r="AR187" s="45">
        <v>779504</v>
      </c>
      <c r="AS187" s="22">
        <v>4.754619154864186E-4</v>
      </c>
      <c r="AT187" s="22">
        <v>0.97826634052758077</v>
      </c>
      <c r="AU187" s="22" t="s">
        <v>215</v>
      </c>
      <c r="AV187" s="22" t="s">
        <v>166</v>
      </c>
      <c r="AW187" s="22" t="s">
        <v>222</v>
      </c>
      <c r="AX187" s="23">
        <v>55</v>
      </c>
      <c r="AY187" s="24">
        <v>5.9459459459459456</v>
      </c>
      <c r="AZ187" s="23">
        <v>28</v>
      </c>
      <c r="BA187" s="26">
        <v>15</v>
      </c>
      <c r="BB187" s="44" t="s">
        <v>154</v>
      </c>
      <c r="BC187" s="26">
        <v>0.30833333333333335</v>
      </c>
      <c r="BD187" s="23">
        <v>30</v>
      </c>
      <c r="BE187" s="26">
        <v>18.5</v>
      </c>
      <c r="BF187" s="26">
        <v>27.75</v>
      </c>
      <c r="BG187" s="24"/>
      <c r="BI187" s="26"/>
      <c r="BJ187" s="23"/>
      <c r="BK187" s="26"/>
      <c r="BL187" s="27"/>
      <c r="BN187" s="13"/>
      <c r="BO187" s="43"/>
      <c r="BP187" s="42"/>
    </row>
    <row r="188" spans="1:68" s="1" customFormat="1" x14ac:dyDescent="0.3">
      <c r="A188" s="12" t="s">
        <v>446</v>
      </c>
      <c r="B188" s="12">
        <v>108014</v>
      </c>
      <c r="C188" s="13" t="s">
        <v>445</v>
      </c>
      <c r="D188" s="13" t="s">
        <v>339</v>
      </c>
      <c r="E188" s="14">
        <v>1250</v>
      </c>
      <c r="F188" s="15" t="s">
        <v>137</v>
      </c>
      <c r="G188" s="6">
        <v>25</v>
      </c>
      <c r="H188" s="6">
        <v>0</v>
      </c>
      <c r="I188" s="6">
        <v>33</v>
      </c>
      <c r="J188" s="6">
        <v>26</v>
      </c>
      <c r="K188" s="6">
        <v>11</v>
      </c>
      <c r="L188" s="6">
        <v>76</v>
      </c>
      <c r="M188" s="6">
        <v>36</v>
      </c>
      <c r="N188" s="6">
        <v>18</v>
      </c>
      <c r="O188" s="6">
        <v>45</v>
      </c>
      <c r="P188" s="6">
        <v>28</v>
      </c>
      <c r="Q188" s="6">
        <v>1</v>
      </c>
      <c r="R188" s="6">
        <v>0</v>
      </c>
      <c r="S188" s="6">
        <v>33</v>
      </c>
      <c r="T188" s="6">
        <v>61</v>
      </c>
      <c r="U188" s="6">
        <v>29</v>
      </c>
      <c r="V188" s="6">
        <v>25</v>
      </c>
      <c r="W188" s="6">
        <v>37</v>
      </c>
      <c r="X188" s="6">
        <v>13</v>
      </c>
      <c r="Y188" s="6">
        <v>30</v>
      </c>
      <c r="Z188" s="6">
        <v>20</v>
      </c>
      <c r="AA188" s="6">
        <v>0</v>
      </c>
      <c r="AB188" s="6">
        <v>30</v>
      </c>
      <c r="AC188" s="6">
        <v>28</v>
      </c>
      <c r="AD188" s="6">
        <v>13</v>
      </c>
      <c r="AE188" s="6">
        <v>299</v>
      </c>
      <c r="AF188" s="6">
        <v>319</v>
      </c>
      <c r="AG188" s="16">
        <v>618</v>
      </c>
      <c r="AH188" s="17">
        <v>24.916666666666668</v>
      </c>
      <c r="AI188" s="17">
        <v>26.583333333333332</v>
      </c>
      <c r="AJ188" s="17">
        <v>25.75</v>
      </c>
      <c r="AK188" s="49">
        <v>9.1820179188374952E-5</v>
      </c>
      <c r="AL188" s="48">
        <v>15.036067748362045</v>
      </c>
      <c r="AM188" s="19">
        <v>18.380637260088577</v>
      </c>
      <c r="AN188" s="47">
        <v>0.56562010338666002</v>
      </c>
      <c r="AO188" s="20">
        <v>0.71381115573159526</v>
      </c>
      <c r="AP188" s="44">
        <v>6.6889632107023311E-2</v>
      </c>
      <c r="AQ188" s="46">
        <v>398750</v>
      </c>
      <c r="AR188" s="45">
        <v>772500</v>
      </c>
      <c r="AS188" s="22">
        <v>4.7118979468130807E-4</v>
      </c>
      <c r="AT188" s="22">
        <v>0.97873753032226207</v>
      </c>
      <c r="AU188" s="22" t="s">
        <v>215</v>
      </c>
      <c r="AV188" s="22" t="s">
        <v>166</v>
      </c>
      <c r="AW188" s="22" t="s">
        <v>222</v>
      </c>
      <c r="AX188" s="23">
        <v>64</v>
      </c>
      <c r="AY188" s="24">
        <v>2.407523510971787</v>
      </c>
      <c r="AZ188" s="23">
        <v>56</v>
      </c>
      <c r="BA188" s="26">
        <v>30</v>
      </c>
      <c r="BB188" s="44" t="s">
        <v>154</v>
      </c>
      <c r="BC188" s="26">
        <v>0.88611111111111107</v>
      </c>
      <c r="BD188" s="23">
        <v>30</v>
      </c>
      <c r="BE188" s="26">
        <v>53.166666666666664</v>
      </c>
      <c r="BF188" s="26">
        <v>79.75</v>
      </c>
      <c r="BG188" s="24"/>
      <c r="BI188" s="26"/>
      <c r="BJ188" s="23"/>
      <c r="BK188" s="26"/>
      <c r="BL188" s="27"/>
      <c r="BN188" s="13"/>
      <c r="BO188" s="43"/>
      <c r="BP188" s="42"/>
    </row>
    <row r="189" spans="1:68" s="1" customFormat="1" x14ac:dyDescent="0.3">
      <c r="A189" s="12" t="s">
        <v>444</v>
      </c>
      <c r="B189" s="12">
        <v>102125</v>
      </c>
      <c r="C189" s="13" t="s">
        <v>443</v>
      </c>
      <c r="D189" s="13" t="s">
        <v>47</v>
      </c>
      <c r="E189" s="14">
        <v>187611</v>
      </c>
      <c r="F189" s="15" t="s">
        <v>137</v>
      </c>
      <c r="G189" s="6">
        <v>0</v>
      </c>
      <c r="H189" s="6">
        <v>0</v>
      </c>
      <c r="I189" s="6">
        <v>0</v>
      </c>
      <c r="J189" s="6">
        <v>0</v>
      </c>
      <c r="K189" s="6">
        <v>4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4</v>
      </c>
      <c r="AF189" s="6">
        <v>0</v>
      </c>
      <c r="AG189" s="16">
        <v>4</v>
      </c>
      <c r="AH189" s="17">
        <v>0.33333333333333331</v>
      </c>
      <c r="AI189" s="17">
        <v>0</v>
      </c>
      <c r="AJ189" s="17">
        <v>0.16666666666666666</v>
      </c>
      <c r="AK189" s="49">
        <v>0</v>
      </c>
      <c r="AL189" s="48">
        <v>0</v>
      </c>
      <c r="AM189" s="19">
        <v>0.81649658092772603</v>
      </c>
      <c r="AN189" s="48">
        <v>0</v>
      </c>
      <c r="AO189" s="20">
        <v>4.8989794855663567</v>
      </c>
      <c r="AP189" s="44">
        <v>-1</v>
      </c>
      <c r="AQ189" s="46">
        <v>0</v>
      </c>
      <c r="AR189" s="45">
        <v>750444</v>
      </c>
      <c r="AS189" s="22">
        <v>4.5773663984442661E-4</v>
      </c>
      <c r="AT189" s="22">
        <v>0.97966027120894583</v>
      </c>
      <c r="AU189" s="22" t="s">
        <v>215</v>
      </c>
      <c r="AV189" s="22" t="s">
        <v>166</v>
      </c>
      <c r="AW189" s="22" t="s">
        <v>222</v>
      </c>
      <c r="AX189" s="23">
        <v>5</v>
      </c>
      <c r="AY189" s="24" t="e">
        <v>#DIV/0!</v>
      </c>
      <c r="AZ189" s="23">
        <v>2</v>
      </c>
      <c r="BA189" s="23">
        <v>1</v>
      </c>
      <c r="BB189" s="44" t="s">
        <v>154</v>
      </c>
      <c r="BC189" s="26">
        <v>0</v>
      </c>
      <c r="BD189" s="23">
        <v>30</v>
      </c>
      <c r="BE189" s="26">
        <v>0</v>
      </c>
      <c r="BF189" s="26">
        <v>0</v>
      </c>
      <c r="BG189" s="24"/>
      <c r="BI189" s="26"/>
      <c r="BJ189" s="23"/>
      <c r="BK189" s="26"/>
      <c r="BL189" s="27"/>
      <c r="BN189" s="13"/>
      <c r="BO189" s="43"/>
      <c r="BP189" s="42"/>
    </row>
    <row r="190" spans="1:68" s="1" customFormat="1" x14ac:dyDescent="0.3">
      <c r="A190" s="12" t="s">
        <v>442</v>
      </c>
      <c r="B190" s="12">
        <v>105004</v>
      </c>
      <c r="C190" s="13" t="s">
        <v>441</v>
      </c>
      <c r="D190" s="13" t="s">
        <v>137</v>
      </c>
      <c r="E190" s="14">
        <v>8914</v>
      </c>
      <c r="F190" s="15" t="s">
        <v>137</v>
      </c>
      <c r="G190" s="6">
        <v>6</v>
      </c>
      <c r="H190" s="6">
        <v>0</v>
      </c>
      <c r="I190" s="6">
        <v>2</v>
      </c>
      <c r="J190" s="6">
        <v>15</v>
      </c>
      <c r="K190" s="6">
        <v>1</v>
      </c>
      <c r="L190" s="6">
        <v>0</v>
      </c>
      <c r="M190" s="6">
        <v>1</v>
      </c>
      <c r="N190" s="6">
        <v>5</v>
      </c>
      <c r="O190" s="6">
        <v>0</v>
      </c>
      <c r="P190" s="6">
        <v>2</v>
      </c>
      <c r="Q190" s="6">
        <v>8</v>
      </c>
      <c r="R190" s="6">
        <v>1</v>
      </c>
      <c r="S190" s="6">
        <v>3</v>
      </c>
      <c r="T190" s="6">
        <v>2</v>
      </c>
      <c r="U190" s="6">
        <v>0</v>
      </c>
      <c r="V190" s="6">
        <v>5</v>
      </c>
      <c r="W190" s="6">
        <v>2</v>
      </c>
      <c r="X190" s="6">
        <v>6</v>
      </c>
      <c r="Y190" s="6">
        <v>5</v>
      </c>
      <c r="Z190" s="6">
        <v>6</v>
      </c>
      <c r="AA190" s="6">
        <v>9</v>
      </c>
      <c r="AB190" s="6">
        <v>1</v>
      </c>
      <c r="AC190" s="6">
        <v>2</v>
      </c>
      <c r="AD190" s="6">
        <v>2</v>
      </c>
      <c r="AE190" s="6">
        <v>41</v>
      </c>
      <c r="AF190" s="6">
        <v>43</v>
      </c>
      <c r="AG190" s="16">
        <v>84</v>
      </c>
      <c r="AH190" s="17">
        <v>3.4166666666666665</v>
      </c>
      <c r="AI190" s="17">
        <v>3.5833333333333335</v>
      </c>
      <c r="AJ190" s="17">
        <v>3.5</v>
      </c>
      <c r="AK190" s="49">
        <v>1.2377014749530167E-5</v>
      </c>
      <c r="AL190" s="48">
        <v>2.6097137890209456</v>
      </c>
      <c r="AM190" s="19">
        <v>3.5874176251715251</v>
      </c>
      <c r="AN190" s="47">
        <v>0.72829222019189177</v>
      </c>
      <c r="AO190" s="20">
        <v>1.0249764643347214</v>
      </c>
      <c r="AP190" s="44">
        <v>4.8780487804878141E-2</v>
      </c>
      <c r="AQ190" s="46">
        <v>383302</v>
      </c>
      <c r="AR190" s="45">
        <v>748776</v>
      </c>
      <c r="AS190" s="22">
        <v>4.5671923586057105E-4</v>
      </c>
      <c r="AT190" s="22">
        <v>0.98011699044480638</v>
      </c>
      <c r="AU190" s="22" t="s">
        <v>215</v>
      </c>
      <c r="AV190" s="22" t="s">
        <v>166</v>
      </c>
      <c r="AW190" s="22" t="s">
        <v>222</v>
      </c>
      <c r="AX190" s="23">
        <v>14</v>
      </c>
      <c r="AY190" s="24">
        <v>3.9069767441860463</v>
      </c>
      <c r="AZ190" s="23">
        <v>4</v>
      </c>
      <c r="BA190" s="26">
        <v>2</v>
      </c>
      <c r="BB190" s="44" t="s">
        <v>154</v>
      </c>
      <c r="BC190" s="26">
        <v>0.11944444444444445</v>
      </c>
      <c r="BD190" s="23">
        <v>30</v>
      </c>
      <c r="BE190" s="26">
        <v>7.166666666666667</v>
      </c>
      <c r="BF190" s="26">
        <v>10.75</v>
      </c>
      <c r="BG190" s="24"/>
      <c r="BI190" s="26"/>
      <c r="BJ190" s="23"/>
      <c r="BK190" s="26"/>
      <c r="BL190" s="27"/>
      <c r="BN190" s="13"/>
      <c r="BO190" s="43"/>
      <c r="BP190" s="42"/>
    </row>
    <row r="191" spans="1:68" s="1" customFormat="1" x14ac:dyDescent="0.3">
      <c r="A191" s="12" t="s">
        <v>440</v>
      </c>
      <c r="B191" s="12">
        <v>201032</v>
      </c>
      <c r="C191" s="13" t="s">
        <v>439</v>
      </c>
      <c r="D191" s="13" t="s">
        <v>47</v>
      </c>
      <c r="E191" s="14">
        <v>5593</v>
      </c>
      <c r="F191" s="15" t="s">
        <v>137</v>
      </c>
      <c r="G191" s="6">
        <v>0</v>
      </c>
      <c r="H191" s="6">
        <v>0</v>
      </c>
      <c r="I191" s="6">
        <v>0</v>
      </c>
      <c r="J191" s="6">
        <v>47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30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6</v>
      </c>
      <c r="AA191" s="6">
        <v>0</v>
      </c>
      <c r="AB191" s="6">
        <v>30</v>
      </c>
      <c r="AC191" s="6">
        <v>18</v>
      </c>
      <c r="AD191" s="6">
        <v>0</v>
      </c>
      <c r="AE191" s="6">
        <v>47</v>
      </c>
      <c r="AF191" s="6">
        <v>84</v>
      </c>
      <c r="AG191" s="16">
        <v>131</v>
      </c>
      <c r="AH191" s="17">
        <v>3.9166666666666665</v>
      </c>
      <c r="AI191" s="17">
        <v>7</v>
      </c>
      <c r="AJ191" s="17">
        <v>5.458333333333333</v>
      </c>
      <c r="AK191" s="49">
        <v>2.4178354394431022E-5</v>
      </c>
      <c r="AL191" s="48">
        <v>11.954459038747462</v>
      </c>
      <c r="AM191" s="19">
        <v>12.604275212132922</v>
      </c>
      <c r="AN191" s="47">
        <v>1.7077798626782088</v>
      </c>
      <c r="AO191" s="20">
        <v>2.3091801915358028</v>
      </c>
      <c r="AP191" s="44">
        <v>0.78723404255319152</v>
      </c>
      <c r="AQ191" s="46">
        <v>469812</v>
      </c>
      <c r="AR191" s="45">
        <v>732683</v>
      </c>
      <c r="AS191" s="22">
        <v>4.4690323927053054E-4</v>
      </c>
      <c r="AT191" s="22">
        <v>0.98056389368407693</v>
      </c>
      <c r="AU191" s="22" t="s">
        <v>215</v>
      </c>
      <c r="AV191" s="22" t="s">
        <v>166</v>
      </c>
      <c r="AW191" s="22" t="s">
        <v>222</v>
      </c>
      <c r="AX191" s="23">
        <v>52</v>
      </c>
      <c r="AY191" s="24">
        <v>7.4285714285714288</v>
      </c>
      <c r="AZ191" s="23">
        <v>0</v>
      </c>
      <c r="BA191" s="26">
        <v>0</v>
      </c>
      <c r="BB191" s="44" t="s">
        <v>154</v>
      </c>
      <c r="BC191" s="26">
        <v>0.23333333333333334</v>
      </c>
      <c r="BD191" s="23">
        <v>30</v>
      </c>
      <c r="BE191" s="26">
        <v>14</v>
      </c>
      <c r="BF191" s="26">
        <v>21</v>
      </c>
      <c r="BG191" s="24"/>
      <c r="BI191" s="26"/>
      <c r="BJ191" s="23"/>
      <c r="BK191" s="26"/>
      <c r="BL191" s="27"/>
      <c r="BN191" s="13"/>
      <c r="BO191" s="43"/>
      <c r="BP191" s="42"/>
    </row>
    <row r="192" spans="1:68" s="1" customFormat="1" x14ac:dyDescent="0.3">
      <c r="A192" s="12" t="s">
        <v>438</v>
      </c>
      <c r="B192" s="12">
        <v>101031</v>
      </c>
      <c r="C192" s="13" t="s">
        <v>437</v>
      </c>
      <c r="D192" s="13" t="s">
        <v>53</v>
      </c>
      <c r="E192" s="14">
        <v>774</v>
      </c>
      <c r="F192" s="15" t="s">
        <v>137</v>
      </c>
      <c r="G192" s="6">
        <v>81</v>
      </c>
      <c r="H192" s="6">
        <v>143</v>
      </c>
      <c r="I192" s="6">
        <v>285</v>
      </c>
      <c r="J192" s="6">
        <v>3</v>
      </c>
      <c r="K192" s="6">
        <v>0</v>
      </c>
      <c r="L192" s="6">
        <v>0</v>
      </c>
      <c r="M192" s="6">
        <v>51</v>
      </c>
      <c r="N192" s="6">
        <v>30</v>
      </c>
      <c r="O192" s="6">
        <v>0</v>
      </c>
      <c r="P192" s="6">
        <v>0</v>
      </c>
      <c r="Q192" s="6">
        <v>0</v>
      </c>
      <c r="R192" s="6">
        <v>0</v>
      </c>
      <c r="S192" s="6">
        <v>40</v>
      </c>
      <c r="T192" s="6">
        <v>14</v>
      </c>
      <c r="U192" s="6">
        <v>21</v>
      </c>
      <c r="V192" s="6">
        <v>72</v>
      </c>
      <c r="W192" s="6">
        <v>15</v>
      </c>
      <c r="X192" s="6">
        <v>0</v>
      </c>
      <c r="Y192" s="6">
        <v>21</v>
      </c>
      <c r="Z192" s="6">
        <v>84</v>
      </c>
      <c r="AA192" s="6">
        <v>42</v>
      </c>
      <c r="AB192" s="6">
        <v>21</v>
      </c>
      <c r="AC192" s="6">
        <v>0</v>
      </c>
      <c r="AD192" s="6">
        <v>21</v>
      </c>
      <c r="AE192" s="6">
        <v>593</v>
      </c>
      <c r="AF192" s="6">
        <v>351</v>
      </c>
      <c r="AG192" s="16">
        <v>944</v>
      </c>
      <c r="AH192" s="17">
        <v>49.416666666666664</v>
      </c>
      <c r="AI192" s="17">
        <v>29.25</v>
      </c>
      <c r="AJ192" s="17">
        <v>39.333333333333329</v>
      </c>
      <c r="AK192" s="49">
        <v>1.0103098086244392E-4</v>
      </c>
      <c r="AL192" s="48">
        <v>26.150351987897011</v>
      </c>
      <c r="AM192" s="19">
        <v>63.384037674197266</v>
      </c>
      <c r="AN192" s="47">
        <v>0.8940291277913508</v>
      </c>
      <c r="AO192" s="20">
        <v>1.6114585849372187</v>
      </c>
      <c r="AP192" s="44">
        <v>-0.40809443507588528</v>
      </c>
      <c r="AQ192" s="46">
        <v>271674</v>
      </c>
      <c r="AR192" s="45">
        <v>730656</v>
      </c>
      <c r="AS192" s="22">
        <v>4.4566686164746383E-4</v>
      </c>
      <c r="AT192" s="22">
        <v>0.98100956054572441</v>
      </c>
      <c r="AU192" s="22" t="s">
        <v>215</v>
      </c>
      <c r="AV192" s="22" t="s">
        <v>166</v>
      </c>
      <c r="AW192" s="22" t="s">
        <v>222</v>
      </c>
      <c r="AX192" s="23">
        <v>663</v>
      </c>
      <c r="AY192" s="24">
        <v>22.666666666666668</v>
      </c>
      <c r="AZ192" s="23">
        <v>35</v>
      </c>
      <c r="BA192" s="26">
        <v>20</v>
      </c>
      <c r="BB192" s="44" t="s">
        <v>154</v>
      </c>
      <c r="BC192" s="26">
        <v>0.97499999999999998</v>
      </c>
      <c r="BD192" s="23">
        <v>30</v>
      </c>
      <c r="BE192" s="26">
        <v>58.5</v>
      </c>
      <c r="BF192" s="26">
        <v>87.75</v>
      </c>
      <c r="BG192" s="24"/>
      <c r="BI192" s="26"/>
      <c r="BJ192" s="23"/>
      <c r="BK192" s="26"/>
      <c r="BL192" s="27"/>
      <c r="BN192" s="13"/>
      <c r="BO192" s="43"/>
      <c r="BP192" s="42"/>
    </row>
    <row r="193" spans="1:68" s="1" customFormat="1" x14ac:dyDescent="0.3">
      <c r="A193" s="12" t="s">
        <v>436</v>
      </c>
      <c r="B193" s="12">
        <v>103049</v>
      </c>
      <c r="C193" s="13" t="s">
        <v>435</v>
      </c>
      <c r="D193" s="13" t="s">
        <v>44</v>
      </c>
      <c r="E193" s="14">
        <v>655</v>
      </c>
      <c r="F193" s="15" t="s">
        <v>137</v>
      </c>
      <c r="G193" s="6">
        <v>40</v>
      </c>
      <c r="H193" s="6">
        <v>7</v>
      </c>
      <c r="I193" s="6">
        <v>0</v>
      </c>
      <c r="J193" s="6">
        <v>0</v>
      </c>
      <c r="K193" s="6">
        <v>12</v>
      </c>
      <c r="L193" s="6">
        <v>43</v>
      </c>
      <c r="M193" s="6">
        <v>53</v>
      </c>
      <c r="N193" s="6">
        <v>0</v>
      </c>
      <c r="O193" s="6">
        <v>85</v>
      </c>
      <c r="P193" s="6">
        <v>102</v>
      </c>
      <c r="Q193" s="6">
        <v>0</v>
      </c>
      <c r="R193" s="6">
        <v>159</v>
      </c>
      <c r="S193" s="6">
        <v>9</v>
      </c>
      <c r="T193" s="6">
        <v>1</v>
      </c>
      <c r="U193" s="6">
        <v>2</v>
      </c>
      <c r="V193" s="6">
        <v>118</v>
      </c>
      <c r="W193" s="6">
        <v>0</v>
      </c>
      <c r="X193" s="6">
        <v>132</v>
      </c>
      <c r="Y193" s="6">
        <v>0</v>
      </c>
      <c r="Z193" s="6">
        <v>59</v>
      </c>
      <c r="AA193" s="6">
        <v>0</v>
      </c>
      <c r="AB193" s="6">
        <v>214</v>
      </c>
      <c r="AC193" s="6">
        <v>9</v>
      </c>
      <c r="AD193" s="6">
        <v>0</v>
      </c>
      <c r="AE193" s="6">
        <v>501</v>
      </c>
      <c r="AF193" s="6">
        <v>544</v>
      </c>
      <c r="AG193" s="16">
        <v>1045</v>
      </c>
      <c r="AH193" s="17">
        <v>41.75</v>
      </c>
      <c r="AI193" s="17">
        <v>45.333333333333336</v>
      </c>
      <c r="AJ193" s="17">
        <v>43.541666666666671</v>
      </c>
      <c r="AK193" s="49">
        <v>1.5658362845917233E-4</v>
      </c>
      <c r="AL193" s="48">
        <v>71.433800674385779</v>
      </c>
      <c r="AM193" s="19">
        <v>60.667288776870791</v>
      </c>
      <c r="AN193" s="47">
        <v>1.575745603111451</v>
      </c>
      <c r="AO193" s="20">
        <v>1.3933157231051663</v>
      </c>
      <c r="AP193" s="44">
        <v>8.5828343313373315E-2</v>
      </c>
      <c r="AQ193" s="46">
        <v>356320</v>
      </c>
      <c r="AR193" s="45">
        <v>684475</v>
      </c>
      <c r="AS193" s="22">
        <v>4.1749855626470984E-4</v>
      </c>
      <c r="AT193" s="22">
        <v>0.98313829661552299</v>
      </c>
      <c r="AU193" s="22" t="s">
        <v>215</v>
      </c>
      <c r="AV193" s="22" t="s">
        <v>166</v>
      </c>
      <c r="AW193" s="22" t="s">
        <v>222</v>
      </c>
      <c r="AX193" s="23">
        <v>181</v>
      </c>
      <c r="AY193" s="24">
        <v>3.992647058823529</v>
      </c>
      <c r="AZ193" s="23">
        <v>70</v>
      </c>
      <c r="BA193" s="26">
        <v>40</v>
      </c>
      <c r="BB193" s="44" t="s">
        <v>154</v>
      </c>
      <c r="BC193" s="26">
        <v>1.5111111111111113</v>
      </c>
      <c r="BD193" s="23">
        <v>30</v>
      </c>
      <c r="BE193" s="26">
        <v>90.666666666666671</v>
      </c>
      <c r="BF193" s="26">
        <v>136</v>
      </c>
      <c r="BG193" s="24"/>
      <c r="BI193" s="26"/>
      <c r="BJ193" s="23"/>
      <c r="BK193" s="26"/>
      <c r="BL193" s="27"/>
      <c r="BN193" s="13"/>
      <c r="BO193" s="43"/>
      <c r="BP193" s="42"/>
    </row>
    <row r="194" spans="1:68" s="1" customFormat="1" x14ac:dyDescent="0.3">
      <c r="A194" s="12" t="s">
        <v>434</v>
      </c>
      <c r="B194" s="12">
        <v>422004</v>
      </c>
      <c r="C194" s="13" t="s">
        <v>433</v>
      </c>
      <c r="D194" s="13" t="s">
        <v>339</v>
      </c>
      <c r="E194" s="14">
        <v>732</v>
      </c>
      <c r="F194" s="15" t="s">
        <v>137</v>
      </c>
      <c r="G194" s="6">
        <v>1</v>
      </c>
      <c r="H194" s="6">
        <v>30</v>
      </c>
      <c r="I194" s="6">
        <v>75</v>
      </c>
      <c r="J194" s="6">
        <v>61</v>
      </c>
      <c r="K194" s="6">
        <v>26</v>
      </c>
      <c r="L194" s="6">
        <v>53</v>
      </c>
      <c r="M194" s="6">
        <v>52</v>
      </c>
      <c r="N194" s="6">
        <v>83</v>
      </c>
      <c r="O194" s="6">
        <v>64</v>
      </c>
      <c r="P194" s="6">
        <v>68</v>
      </c>
      <c r="Q194" s="6">
        <v>0</v>
      </c>
      <c r="R194" s="6">
        <v>0</v>
      </c>
      <c r="S194" s="6">
        <v>41</v>
      </c>
      <c r="T194" s="6">
        <v>89</v>
      </c>
      <c r="U194" s="6">
        <v>47</v>
      </c>
      <c r="V194" s="6">
        <v>32</v>
      </c>
      <c r="W194" s="6">
        <v>37</v>
      </c>
      <c r="X194" s="6">
        <v>26</v>
      </c>
      <c r="Y194" s="6">
        <v>59</v>
      </c>
      <c r="Z194" s="6">
        <v>49</v>
      </c>
      <c r="AA194" s="6">
        <v>0</v>
      </c>
      <c r="AB194" s="6">
        <v>8</v>
      </c>
      <c r="AC194" s="6">
        <v>12</v>
      </c>
      <c r="AD194" s="6">
        <v>9</v>
      </c>
      <c r="AE194" s="6">
        <v>513</v>
      </c>
      <c r="AF194" s="6">
        <v>409</v>
      </c>
      <c r="AG194" s="16">
        <v>922</v>
      </c>
      <c r="AH194" s="17">
        <v>42.75</v>
      </c>
      <c r="AI194" s="17">
        <v>34.083333333333336</v>
      </c>
      <c r="AJ194" s="17">
        <v>38.416666666666671</v>
      </c>
      <c r="AK194" s="49">
        <v>1.177255588966939E-4</v>
      </c>
      <c r="AL194" s="48">
        <v>25.425321427603812</v>
      </c>
      <c r="AM194" s="19">
        <v>27.72209394605002</v>
      </c>
      <c r="AN194" s="47">
        <v>0.74597520080989177</v>
      </c>
      <c r="AO194" s="20">
        <v>0.7216163283136664</v>
      </c>
      <c r="AP194" s="44">
        <v>-0.20272904483430793</v>
      </c>
      <c r="AQ194" s="46">
        <v>299388</v>
      </c>
      <c r="AR194" s="45">
        <v>674904</v>
      </c>
      <c r="AS194" s="22">
        <v>4.1166068244607578E-4</v>
      </c>
      <c r="AT194" s="22">
        <v>0.98354995729796901</v>
      </c>
      <c r="AU194" s="22" t="s">
        <v>215</v>
      </c>
      <c r="AV194" s="22" t="s">
        <v>166</v>
      </c>
      <c r="AW194" s="22" t="s">
        <v>222</v>
      </c>
      <c r="AX194" s="23">
        <v>118</v>
      </c>
      <c r="AY194" s="24">
        <v>3.4621026894865525</v>
      </c>
      <c r="AZ194" s="23">
        <v>60</v>
      </c>
      <c r="BA194" s="26">
        <v>15</v>
      </c>
      <c r="BB194" s="44" t="s">
        <v>154</v>
      </c>
      <c r="BC194" s="26">
        <v>1.1361111111111113</v>
      </c>
      <c r="BD194" s="23">
        <v>30</v>
      </c>
      <c r="BE194" s="26">
        <v>68.166666666666671</v>
      </c>
      <c r="BF194" s="26">
        <v>102.25</v>
      </c>
      <c r="BG194" s="24"/>
      <c r="BI194" s="26"/>
      <c r="BJ194" s="23"/>
      <c r="BK194" s="26"/>
      <c r="BL194" s="27"/>
      <c r="BN194" s="13"/>
      <c r="BO194" s="43"/>
      <c r="BP194" s="42"/>
    </row>
    <row r="195" spans="1:68" s="1" customFormat="1" x14ac:dyDescent="0.3">
      <c r="A195" s="12" t="s">
        <v>432</v>
      </c>
      <c r="B195" s="12">
        <v>103006</v>
      </c>
      <c r="C195" s="13" t="s">
        <v>431</v>
      </c>
      <c r="D195" s="13" t="s">
        <v>47</v>
      </c>
      <c r="E195" s="14">
        <v>690</v>
      </c>
      <c r="F195" s="15" t="s">
        <v>137</v>
      </c>
      <c r="G195" s="6">
        <v>18</v>
      </c>
      <c r="H195" s="6">
        <v>45</v>
      </c>
      <c r="I195" s="6">
        <v>96</v>
      </c>
      <c r="J195" s="6">
        <v>108</v>
      </c>
      <c r="K195" s="6">
        <v>37</v>
      </c>
      <c r="L195" s="6">
        <v>0</v>
      </c>
      <c r="M195" s="6">
        <v>2</v>
      </c>
      <c r="N195" s="6">
        <v>0</v>
      </c>
      <c r="O195" s="6">
        <v>2</v>
      </c>
      <c r="P195" s="6">
        <v>0</v>
      </c>
      <c r="Q195" s="6">
        <v>0</v>
      </c>
      <c r="R195" s="6">
        <v>16</v>
      </c>
      <c r="S195" s="6">
        <v>0</v>
      </c>
      <c r="T195" s="6">
        <v>51</v>
      </c>
      <c r="U195" s="6">
        <v>90</v>
      </c>
      <c r="V195" s="6">
        <v>60</v>
      </c>
      <c r="W195" s="6">
        <v>86</v>
      </c>
      <c r="X195" s="6">
        <v>48</v>
      </c>
      <c r="Y195" s="6">
        <v>8</v>
      </c>
      <c r="Z195" s="6">
        <v>50</v>
      </c>
      <c r="AA195" s="6">
        <v>159</v>
      </c>
      <c r="AB195" s="6">
        <v>0</v>
      </c>
      <c r="AC195" s="6">
        <v>6</v>
      </c>
      <c r="AD195" s="6">
        <v>50</v>
      </c>
      <c r="AE195" s="6">
        <v>324</v>
      </c>
      <c r="AF195" s="6">
        <v>608</v>
      </c>
      <c r="AG195" s="16">
        <v>932</v>
      </c>
      <c r="AH195" s="17">
        <v>27</v>
      </c>
      <c r="AI195" s="17">
        <v>50.666666666666664</v>
      </c>
      <c r="AJ195" s="17">
        <v>38.833333333333329</v>
      </c>
      <c r="AK195" s="49">
        <v>1.7500523180731027E-4</v>
      </c>
      <c r="AL195" s="48">
        <v>46.296148147911111</v>
      </c>
      <c r="AM195" s="19">
        <v>43.264270494823734</v>
      </c>
      <c r="AN195" s="47">
        <v>0.91373976607719298</v>
      </c>
      <c r="AO195" s="20">
        <v>1.1141013861328002</v>
      </c>
      <c r="AP195" s="44">
        <v>0.87654320987654311</v>
      </c>
      <c r="AQ195" s="46">
        <v>419520</v>
      </c>
      <c r="AR195" s="45">
        <v>643080</v>
      </c>
      <c r="AS195" s="22">
        <v>3.9224949276848618E-4</v>
      </c>
      <c r="AT195" s="22">
        <v>0.98394220679073752</v>
      </c>
      <c r="AU195" s="22" t="s">
        <v>215</v>
      </c>
      <c r="AV195" s="22" t="s">
        <v>166</v>
      </c>
      <c r="AW195" s="22" t="s">
        <v>222</v>
      </c>
      <c r="AX195" s="23">
        <v>163</v>
      </c>
      <c r="AY195" s="24">
        <v>3.2171052631578947</v>
      </c>
      <c r="AZ195" s="23">
        <v>210</v>
      </c>
      <c r="BA195" s="26">
        <v>120</v>
      </c>
      <c r="BB195" s="44" t="s">
        <v>154</v>
      </c>
      <c r="BC195" s="26">
        <v>1.6888888888888889</v>
      </c>
      <c r="BD195" s="23">
        <v>30</v>
      </c>
      <c r="BE195" s="26">
        <v>101.33333333333333</v>
      </c>
      <c r="BF195" s="26">
        <v>152</v>
      </c>
      <c r="BG195" s="24"/>
      <c r="BI195" s="26"/>
      <c r="BJ195" s="23"/>
      <c r="BK195" s="26"/>
      <c r="BL195" s="27"/>
      <c r="BN195" s="13"/>
      <c r="BO195" s="43"/>
      <c r="BP195" s="42"/>
    </row>
    <row r="196" spans="1:68" s="1" customFormat="1" x14ac:dyDescent="0.3">
      <c r="A196" s="12" t="s">
        <v>430</v>
      </c>
      <c r="B196" s="12">
        <v>108010</v>
      </c>
      <c r="C196" s="13" t="s">
        <v>429</v>
      </c>
      <c r="D196" s="13" t="s">
        <v>339</v>
      </c>
      <c r="E196" s="14">
        <v>714</v>
      </c>
      <c r="F196" s="15" t="s">
        <v>137</v>
      </c>
      <c r="G196" s="6">
        <v>27</v>
      </c>
      <c r="H196" s="6">
        <v>164</v>
      </c>
      <c r="I196" s="6">
        <v>19</v>
      </c>
      <c r="J196" s="6">
        <v>72</v>
      </c>
      <c r="K196" s="6">
        <v>119</v>
      </c>
      <c r="L196" s="6">
        <v>24</v>
      </c>
      <c r="M196" s="6">
        <v>35</v>
      </c>
      <c r="N196" s="6">
        <v>30</v>
      </c>
      <c r="O196" s="6">
        <v>11</v>
      </c>
      <c r="P196" s="6">
        <v>4</v>
      </c>
      <c r="Q196" s="6">
        <v>10</v>
      </c>
      <c r="R196" s="6">
        <v>7</v>
      </c>
      <c r="S196" s="6">
        <v>29</v>
      </c>
      <c r="T196" s="6">
        <v>70</v>
      </c>
      <c r="U196" s="6">
        <v>20</v>
      </c>
      <c r="V196" s="6">
        <v>11</v>
      </c>
      <c r="W196" s="6">
        <v>13</v>
      </c>
      <c r="X196" s="6">
        <v>30</v>
      </c>
      <c r="Y196" s="6">
        <v>45</v>
      </c>
      <c r="Z196" s="6">
        <v>57</v>
      </c>
      <c r="AA196" s="6">
        <v>6</v>
      </c>
      <c r="AB196" s="6">
        <v>44</v>
      </c>
      <c r="AC196" s="6">
        <v>48</v>
      </c>
      <c r="AD196" s="6">
        <v>0</v>
      </c>
      <c r="AE196" s="6">
        <v>522</v>
      </c>
      <c r="AF196" s="6">
        <v>373</v>
      </c>
      <c r="AG196" s="16">
        <v>895</v>
      </c>
      <c r="AH196" s="17">
        <v>43.5</v>
      </c>
      <c r="AI196" s="17">
        <v>31.083333333333332</v>
      </c>
      <c r="AJ196" s="17">
        <v>37.291666666666664</v>
      </c>
      <c r="AK196" s="49">
        <v>1.0736340701336632E-4</v>
      </c>
      <c r="AL196" s="48">
        <v>21.923247658109137</v>
      </c>
      <c r="AM196" s="19">
        <v>38.347925703968677</v>
      </c>
      <c r="AN196" s="47">
        <v>0.70530555468447631</v>
      </c>
      <c r="AO196" s="20">
        <v>1.0283242646874282</v>
      </c>
      <c r="AP196" s="44">
        <v>-0.28544061302681994</v>
      </c>
      <c r="AQ196" s="46">
        <v>266322</v>
      </c>
      <c r="AR196" s="45">
        <v>639030</v>
      </c>
      <c r="AS196" s="22">
        <v>3.8977917734005994E-4</v>
      </c>
      <c r="AT196" s="22">
        <v>0.98433198596807758</v>
      </c>
      <c r="AU196" s="22" t="s">
        <v>215</v>
      </c>
      <c r="AV196" s="22" t="s">
        <v>166</v>
      </c>
      <c r="AW196" s="22" t="s">
        <v>222</v>
      </c>
      <c r="AX196" s="23">
        <v>12</v>
      </c>
      <c r="AY196" s="24">
        <v>0.386058981233244</v>
      </c>
      <c r="AZ196" s="23">
        <v>70</v>
      </c>
      <c r="BA196" s="26">
        <v>40</v>
      </c>
      <c r="BB196" s="44" t="s">
        <v>198</v>
      </c>
      <c r="BC196" s="26">
        <v>1.036111111111111</v>
      </c>
      <c r="BD196" s="23">
        <v>30</v>
      </c>
      <c r="BE196" s="26">
        <v>62.166666666666657</v>
      </c>
      <c r="BF196" s="26">
        <v>93.249999999999986</v>
      </c>
      <c r="BG196" s="24"/>
      <c r="BI196" s="26"/>
      <c r="BJ196" s="23"/>
      <c r="BK196" s="26"/>
      <c r="BL196" s="27"/>
      <c r="BN196" s="13"/>
      <c r="BO196" s="43"/>
      <c r="BP196" s="42"/>
    </row>
    <row r="197" spans="1:68" s="1" customFormat="1" x14ac:dyDescent="0.3">
      <c r="A197" s="12" t="s">
        <v>428</v>
      </c>
      <c r="B197" s="12">
        <v>106047</v>
      </c>
      <c r="C197" s="13" t="s">
        <v>427</v>
      </c>
      <c r="D197" s="13" t="s">
        <v>44</v>
      </c>
      <c r="E197" s="14">
        <v>393</v>
      </c>
      <c r="F197" s="15" t="s">
        <v>137</v>
      </c>
      <c r="G197" s="6">
        <v>198</v>
      </c>
      <c r="H197" s="6">
        <v>133</v>
      </c>
      <c r="I197" s="6">
        <v>55</v>
      </c>
      <c r="J197" s="6">
        <v>30</v>
      </c>
      <c r="K197" s="6">
        <v>105</v>
      </c>
      <c r="L197" s="6">
        <v>51</v>
      </c>
      <c r="M197" s="6">
        <v>74</v>
      </c>
      <c r="N197" s="6">
        <v>83</v>
      </c>
      <c r="O197" s="6">
        <v>56</v>
      </c>
      <c r="P197" s="6">
        <v>69</v>
      </c>
      <c r="Q197" s="6">
        <v>13</v>
      </c>
      <c r="R197" s="6">
        <v>73</v>
      </c>
      <c r="S197" s="6">
        <v>31</v>
      </c>
      <c r="T197" s="6">
        <v>52</v>
      </c>
      <c r="U197" s="6">
        <v>38</v>
      </c>
      <c r="V197" s="6">
        <v>55</v>
      </c>
      <c r="W197" s="6">
        <v>145</v>
      </c>
      <c r="X197" s="6">
        <v>97</v>
      </c>
      <c r="Y197" s="6">
        <v>40</v>
      </c>
      <c r="Z197" s="6">
        <v>34</v>
      </c>
      <c r="AA197" s="6">
        <v>113</v>
      </c>
      <c r="AB197" s="6">
        <v>0</v>
      </c>
      <c r="AC197" s="6">
        <v>16</v>
      </c>
      <c r="AD197" s="6">
        <v>14</v>
      </c>
      <c r="AE197" s="6">
        <v>940</v>
      </c>
      <c r="AF197" s="6">
        <v>635</v>
      </c>
      <c r="AG197" s="16">
        <v>1575</v>
      </c>
      <c r="AH197" s="17">
        <v>78.333333333333329</v>
      </c>
      <c r="AI197" s="17">
        <v>52.916666666666664</v>
      </c>
      <c r="AJ197" s="17">
        <v>65.625</v>
      </c>
      <c r="AK197" s="49">
        <v>1.8277684571980595E-4</v>
      </c>
      <c r="AL197" s="48">
        <v>43.633719932542022</v>
      </c>
      <c r="AM197" s="19">
        <v>47.268716099965424</v>
      </c>
      <c r="AN197" s="47">
        <v>0.82457423494567605</v>
      </c>
      <c r="AO197" s="20">
        <v>0.72028519771375887</v>
      </c>
      <c r="AP197" s="44">
        <v>-0.32446808510638298</v>
      </c>
      <c r="AQ197" s="46">
        <v>249555</v>
      </c>
      <c r="AR197" s="45">
        <v>618975</v>
      </c>
      <c r="AS197" s="22">
        <v>3.7754654131114904E-4</v>
      </c>
      <c r="AT197" s="22">
        <v>0.98470953250938875</v>
      </c>
      <c r="AU197" s="22" t="s">
        <v>215</v>
      </c>
      <c r="AV197" s="22" t="s">
        <v>166</v>
      </c>
      <c r="AW197" s="22" t="s">
        <v>222</v>
      </c>
      <c r="AX197" s="23">
        <v>369</v>
      </c>
      <c r="AY197" s="24">
        <v>6.9732283464566933</v>
      </c>
      <c r="AZ197" s="23">
        <v>91</v>
      </c>
      <c r="BA197" s="26">
        <v>52</v>
      </c>
      <c r="BB197" s="44" t="s">
        <v>154</v>
      </c>
      <c r="BC197" s="26">
        <v>1.7638888888888888</v>
      </c>
      <c r="BD197" s="23">
        <v>30</v>
      </c>
      <c r="BE197" s="26">
        <v>105.83333333333333</v>
      </c>
      <c r="BF197" s="26">
        <v>158.75</v>
      </c>
      <c r="BG197" s="24"/>
      <c r="BI197" s="26"/>
      <c r="BJ197" s="23"/>
      <c r="BK197" s="26"/>
      <c r="BL197" s="27"/>
      <c r="BN197" s="13"/>
      <c r="BO197" s="43"/>
      <c r="BP197" s="42"/>
    </row>
    <row r="198" spans="1:68" s="1" customFormat="1" x14ac:dyDescent="0.3">
      <c r="A198" s="12" t="s">
        <v>426</v>
      </c>
      <c r="B198" s="12">
        <v>108027</v>
      </c>
      <c r="C198" s="13" t="s">
        <v>425</v>
      </c>
      <c r="D198" s="13" t="s">
        <v>62</v>
      </c>
      <c r="E198" s="14">
        <v>1035</v>
      </c>
      <c r="F198" s="15" t="s">
        <v>137</v>
      </c>
      <c r="G198" s="6">
        <v>30</v>
      </c>
      <c r="H198" s="6">
        <v>60</v>
      </c>
      <c r="I198" s="6">
        <v>3</v>
      </c>
      <c r="J198" s="6">
        <v>14</v>
      </c>
      <c r="K198" s="6">
        <v>14</v>
      </c>
      <c r="L198" s="6">
        <v>30</v>
      </c>
      <c r="M198" s="6">
        <v>10</v>
      </c>
      <c r="N198" s="6">
        <v>0</v>
      </c>
      <c r="O198" s="6">
        <v>5</v>
      </c>
      <c r="P198" s="6">
        <v>15</v>
      </c>
      <c r="Q198" s="6">
        <v>20</v>
      </c>
      <c r="R198" s="6">
        <v>0</v>
      </c>
      <c r="S198" s="6">
        <v>50</v>
      </c>
      <c r="T198" s="6">
        <v>47</v>
      </c>
      <c r="U198" s="6">
        <v>24</v>
      </c>
      <c r="V198" s="6">
        <v>62</v>
      </c>
      <c r="W198" s="6">
        <v>22</v>
      </c>
      <c r="X198" s="6">
        <v>4</v>
      </c>
      <c r="Y198" s="6">
        <v>0</v>
      </c>
      <c r="Z198" s="6">
        <v>80</v>
      </c>
      <c r="AA198" s="6">
        <v>59</v>
      </c>
      <c r="AB198" s="6">
        <v>0</v>
      </c>
      <c r="AC198" s="6">
        <v>20</v>
      </c>
      <c r="AD198" s="6">
        <v>14</v>
      </c>
      <c r="AE198" s="6">
        <v>201</v>
      </c>
      <c r="AF198" s="6">
        <v>382</v>
      </c>
      <c r="AG198" s="16">
        <v>583</v>
      </c>
      <c r="AH198" s="17">
        <v>16.75</v>
      </c>
      <c r="AI198" s="17">
        <v>31.833333333333332</v>
      </c>
      <c r="AJ198" s="17">
        <v>24.291666666666664</v>
      </c>
      <c r="AK198" s="49">
        <v>1.0995394498419821E-4</v>
      </c>
      <c r="AL198" s="48">
        <v>26.876259660401654</v>
      </c>
      <c r="AM198" s="19">
        <v>23.307918353448351</v>
      </c>
      <c r="AN198" s="47">
        <v>0.84428040818015671</v>
      </c>
      <c r="AO198" s="20">
        <v>0.95950264233749649</v>
      </c>
      <c r="AP198" s="44">
        <v>0.90049751243781084</v>
      </c>
      <c r="AQ198" s="46">
        <v>395370</v>
      </c>
      <c r="AR198" s="45">
        <v>603405</v>
      </c>
      <c r="AS198" s="22">
        <v>3.6804955088631027E-4</v>
      </c>
      <c r="AT198" s="22">
        <v>0.98545068203381503</v>
      </c>
      <c r="AU198" s="22" t="s">
        <v>215</v>
      </c>
      <c r="AV198" s="22" t="s">
        <v>166</v>
      </c>
      <c r="AW198" s="22" t="s">
        <v>222</v>
      </c>
      <c r="AX198" s="23">
        <v>156</v>
      </c>
      <c r="AY198" s="24">
        <v>4.9005235602094244</v>
      </c>
      <c r="AZ198" s="23">
        <v>40</v>
      </c>
      <c r="BA198" s="26">
        <v>20</v>
      </c>
      <c r="BB198" s="44" t="s">
        <v>154</v>
      </c>
      <c r="BC198" s="26">
        <v>1.0611111111111111</v>
      </c>
      <c r="BD198" s="23">
        <v>30</v>
      </c>
      <c r="BE198" s="26">
        <v>63.666666666666664</v>
      </c>
      <c r="BF198" s="26">
        <v>95.5</v>
      </c>
      <c r="BG198" s="24"/>
      <c r="BI198" s="26"/>
      <c r="BJ198" s="23"/>
      <c r="BK198" s="26"/>
      <c r="BL198" s="27"/>
      <c r="BN198" s="13"/>
      <c r="BO198" s="43"/>
      <c r="BP198" s="42"/>
    </row>
    <row r="199" spans="1:68" s="1" customFormat="1" x14ac:dyDescent="0.3">
      <c r="A199" s="12" t="s">
        <v>424</v>
      </c>
      <c r="B199" s="12">
        <v>106057</v>
      </c>
      <c r="C199" s="13" t="s">
        <v>423</v>
      </c>
      <c r="D199" s="13" t="s">
        <v>47</v>
      </c>
      <c r="E199" s="14">
        <v>4165</v>
      </c>
      <c r="F199" s="15" t="s">
        <v>137</v>
      </c>
      <c r="G199" s="6">
        <v>10</v>
      </c>
      <c r="H199" s="6">
        <v>9</v>
      </c>
      <c r="I199" s="6">
        <v>7</v>
      </c>
      <c r="J199" s="6">
        <v>8</v>
      </c>
      <c r="K199" s="6">
        <v>6</v>
      </c>
      <c r="L199" s="6">
        <v>3</v>
      </c>
      <c r="M199" s="6">
        <v>9</v>
      </c>
      <c r="N199" s="6">
        <v>9</v>
      </c>
      <c r="O199" s="6">
        <v>8</v>
      </c>
      <c r="P199" s="6">
        <v>5</v>
      </c>
      <c r="Q199" s="6">
        <v>5</v>
      </c>
      <c r="R199" s="6">
        <v>1</v>
      </c>
      <c r="S199" s="6">
        <v>9</v>
      </c>
      <c r="T199" s="6">
        <v>7</v>
      </c>
      <c r="U199" s="6">
        <v>10</v>
      </c>
      <c r="V199" s="6">
        <v>6</v>
      </c>
      <c r="W199" s="6">
        <v>3</v>
      </c>
      <c r="X199" s="6">
        <v>7</v>
      </c>
      <c r="Y199" s="6">
        <v>8</v>
      </c>
      <c r="Z199" s="6">
        <v>2</v>
      </c>
      <c r="AA199" s="6">
        <v>1</v>
      </c>
      <c r="AB199" s="6">
        <v>2</v>
      </c>
      <c r="AC199" s="6">
        <v>0</v>
      </c>
      <c r="AD199" s="6">
        <v>6</v>
      </c>
      <c r="AE199" s="6">
        <v>80</v>
      </c>
      <c r="AF199" s="6">
        <v>61</v>
      </c>
      <c r="AG199" s="16">
        <v>141</v>
      </c>
      <c r="AH199" s="17">
        <v>6.666666666666667</v>
      </c>
      <c r="AI199" s="17">
        <v>5.083333333333333</v>
      </c>
      <c r="AJ199" s="17">
        <v>5.875</v>
      </c>
      <c r="AK199" s="49">
        <v>1.7558090691193955E-5</v>
      </c>
      <c r="AL199" s="48">
        <v>3.3427896171076075</v>
      </c>
      <c r="AM199" s="19">
        <v>3.0971585855987138</v>
      </c>
      <c r="AN199" s="47">
        <v>0.65759795746379168</v>
      </c>
      <c r="AO199" s="20">
        <v>0.52717592946361091</v>
      </c>
      <c r="AP199" s="44">
        <v>-0.23750000000000007</v>
      </c>
      <c r="AQ199" s="46">
        <v>254065</v>
      </c>
      <c r="AR199" s="45">
        <v>587265</v>
      </c>
      <c r="AS199" s="22">
        <v>3.582048864382115E-4</v>
      </c>
      <c r="AT199" s="22">
        <v>0.98580888692025326</v>
      </c>
      <c r="AU199" s="22" t="s">
        <v>215</v>
      </c>
      <c r="AV199" s="22" t="s">
        <v>166</v>
      </c>
      <c r="AW199" s="22" t="s">
        <v>222</v>
      </c>
      <c r="AX199" s="23">
        <v>11</v>
      </c>
      <c r="AY199" s="24">
        <v>2.1639344262295084</v>
      </c>
      <c r="AZ199" s="23">
        <v>7</v>
      </c>
      <c r="BA199" s="26">
        <v>4</v>
      </c>
      <c r="BB199" s="44" t="s">
        <v>154</v>
      </c>
      <c r="BC199" s="26">
        <v>0.16944444444444443</v>
      </c>
      <c r="BD199" s="23">
        <v>30</v>
      </c>
      <c r="BE199" s="26">
        <v>10.166666666666666</v>
      </c>
      <c r="BF199" s="26">
        <v>15.25</v>
      </c>
      <c r="BG199" s="24"/>
      <c r="BI199" s="26"/>
      <c r="BJ199" s="23"/>
      <c r="BK199" s="26"/>
      <c r="BL199" s="27"/>
      <c r="BN199" s="13"/>
      <c r="BO199" s="43"/>
      <c r="BP199" s="42"/>
    </row>
    <row r="200" spans="1:68" s="1" customFormat="1" x14ac:dyDescent="0.3">
      <c r="A200" s="12" t="s">
        <v>422</v>
      </c>
      <c r="B200" s="12">
        <v>106042</v>
      </c>
      <c r="C200" s="13" t="s">
        <v>421</v>
      </c>
      <c r="D200" s="13" t="s">
        <v>44</v>
      </c>
      <c r="E200" s="14">
        <v>217</v>
      </c>
      <c r="F200" s="15" t="s">
        <v>137</v>
      </c>
      <c r="G200" s="6">
        <v>126</v>
      </c>
      <c r="H200" s="6">
        <v>222</v>
      </c>
      <c r="I200" s="6">
        <v>187</v>
      </c>
      <c r="J200" s="6">
        <v>211</v>
      </c>
      <c r="K200" s="6">
        <v>57</v>
      </c>
      <c r="L200" s="6">
        <v>156</v>
      </c>
      <c r="M200" s="6">
        <v>47</v>
      </c>
      <c r="N200" s="6">
        <v>106</v>
      </c>
      <c r="O200" s="6">
        <v>16</v>
      </c>
      <c r="P200" s="6">
        <v>42</v>
      </c>
      <c r="Q200" s="6">
        <v>146</v>
      </c>
      <c r="R200" s="6">
        <v>142</v>
      </c>
      <c r="S200" s="6">
        <v>50</v>
      </c>
      <c r="T200" s="6">
        <v>24</v>
      </c>
      <c r="U200" s="6">
        <v>48</v>
      </c>
      <c r="V200" s="6">
        <v>74</v>
      </c>
      <c r="W200" s="6">
        <v>42</v>
      </c>
      <c r="X200" s="6">
        <v>6</v>
      </c>
      <c r="Y200" s="6">
        <v>14</v>
      </c>
      <c r="Z200" s="6">
        <v>12</v>
      </c>
      <c r="AA200" s="6">
        <v>50</v>
      </c>
      <c r="AB200" s="6">
        <v>115</v>
      </c>
      <c r="AC200" s="6">
        <v>296</v>
      </c>
      <c r="AD200" s="6">
        <v>298</v>
      </c>
      <c r="AE200" s="6">
        <v>1458</v>
      </c>
      <c r="AF200" s="6">
        <v>1029</v>
      </c>
      <c r="AG200" s="16">
        <v>2487</v>
      </c>
      <c r="AH200" s="17">
        <v>121.5</v>
      </c>
      <c r="AI200" s="17">
        <v>85.75</v>
      </c>
      <c r="AJ200" s="17">
        <v>103.625</v>
      </c>
      <c r="AK200" s="49">
        <v>2.9618484133178002E-4</v>
      </c>
      <c r="AL200" s="48">
        <v>103.09053831903823</v>
      </c>
      <c r="AM200" s="19">
        <v>87.627081628812732</v>
      </c>
      <c r="AN200" s="47">
        <v>1.2022220212132739</v>
      </c>
      <c r="AO200" s="20">
        <v>0.84561719304041238</v>
      </c>
      <c r="AP200" s="44">
        <v>-0.29423868312757201</v>
      </c>
      <c r="AQ200" s="46">
        <v>223293</v>
      </c>
      <c r="AR200" s="45">
        <v>539679</v>
      </c>
      <c r="AS200" s="22">
        <v>3.2917959508584293E-4</v>
      </c>
      <c r="AT200" s="22">
        <v>0.98716489612495151</v>
      </c>
      <c r="AU200" s="22" t="s">
        <v>215</v>
      </c>
      <c r="AV200" s="22" t="s">
        <v>166</v>
      </c>
      <c r="AW200" s="22" t="s">
        <v>222</v>
      </c>
      <c r="AX200" s="23">
        <v>2300</v>
      </c>
      <c r="AY200" s="24">
        <v>26.822157434402332</v>
      </c>
      <c r="AZ200" s="23">
        <v>140</v>
      </c>
      <c r="BA200" s="26">
        <v>80</v>
      </c>
      <c r="BB200" s="44" t="s">
        <v>154</v>
      </c>
      <c r="BC200" s="26">
        <v>2.8583333333333334</v>
      </c>
      <c r="BD200" s="23">
        <v>30</v>
      </c>
      <c r="BE200" s="26">
        <v>171.5</v>
      </c>
      <c r="BF200" s="26">
        <v>257.25</v>
      </c>
      <c r="BG200" s="24"/>
      <c r="BI200" s="26"/>
      <c r="BJ200" s="23"/>
      <c r="BK200" s="26"/>
      <c r="BL200" s="27"/>
      <c r="BN200" s="13"/>
      <c r="BO200" s="43"/>
      <c r="BP200" s="42"/>
    </row>
    <row r="201" spans="1:68" s="1" customFormat="1" x14ac:dyDescent="0.3">
      <c r="A201" s="12" t="s">
        <v>420</v>
      </c>
      <c r="B201" s="12">
        <v>102184</v>
      </c>
      <c r="C201" s="13" t="s">
        <v>419</v>
      </c>
      <c r="D201" s="13" t="s">
        <v>53</v>
      </c>
      <c r="E201" s="14">
        <v>26</v>
      </c>
      <c r="F201" s="15" t="s">
        <v>137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45</v>
      </c>
      <c r="S201" s="6">
        <v>30</v>
      </c>
      <c r="T201" s="6">
        <v>814</v>
      </c>
      <c r="U201" s="6">
        <v>735</v>
      </c>
      <c r="V201" s="6">
        <v>1317</v>
      </c>
      <c r="W201" s="6">
        <v>910</v>
      </c>
      <c r="X201" s="6">
        <v>1286</v>
      </c>
      <c r="Y201" s="6">
        <v>1802</v>
      </c>
      <c r="Z201" s="6">
        <v>1718</v>
      </c>
      <c r="AA201" s="6">
        <v>2219</v>
      </c>
      <c r="AB201" s="6">
        <v>3390</v>
      </c>
      <c r="AC201" s="6">
        <v>2688</v>
      </c>
      <c r="AD201" s="6">
        <v>3288</v>
      </c>
      <c r="AE201" s="6">
        <v>45</v>
      </c>
      <c r="AF201" s="6">
        <v>20197</v>
      </c>
      <c r="AG201" s="16">
        <v>20242</v>
      </c>
      <c r="AH201" s="17">
        <v>3.75</v>
      </c>
      <c r="AI201" s="17">
        <v>1683.0833333333333</v>
      </c>
      <c r="AJ201" s="17">
        <v>843.41666666666663</v>
      </c>
      <c r="AK201" s="49">
        <v>5.8134550440990876E-3</v>
      </c>
      <c r="AL201" s="48">
        <v>1047.852735865401</v>
      </c>
      <c r="AM201" s="19">
        <v>1122.8993495747347</v>
      </c>
      <c r="AN201" s="47">
        <v>0.62257923604420518</v>
      </c>
      <c r="AO201" s="20">
        <v>1.3313696467638394</v>
      </c>
      <c r="AP201" s="44">
        <v>447.82222222222219</v>
      </c>
      <c r="AQ201" s="46">
        <v>525122</v>
      </c>
      <c r="AR201" s="45">
        <v>526292</v>
      </c>
      <c r="AS201" s="22">
        <v>3.2101413517464725E-4</v>
      </c>
      <c r="AT201" s="22">
        <v>0.98780933859492193</v>
      </c>
      <c r="AU201" s="22" t="s">
        <v>215</v>
      </c>
      <c r="AV201" s="22" t="s">
        <v>166</v>
      </c>
      <c r="AW201" s="22" t="s">
        <v>222</v>
      </c>
      <c r="AX201" s="23">
        <v>7196</v>
      </c>
      <c r="AY201" s="24">
        <v>4.2754864583849086</v>
      </c>
      <c r="AZ201" s="23">
        <v>6000</v>
      </c>
      <c r="BA201" s="26">
        <v>3400</v>
      </c>
      <c r="BB201" s="44" t="s">
        <v>154</v>
      </c>
      <c r="BC201" s="26">
        <v>56.102777777777774</v>
      </c>
      <c r="BD201" s="23">
        <v>30</v>
      </c>
      <c r="BE201" s="26">
        <v>3366.1666666666665</v>
      </c>
      <c r="BF201" s="26">
        <v>5049.25</v>
      </c>
      <c r="BG201" s="24"/>
      <c r="BI201" s="26"/>
      <c r="BJ201" s="23"/>
      <c r="BK201" s="26"/>
      <c r="BL201" s="27"/>
      <c r="BN201" s="13"/>
      <c r="BO201" s="43"/>
      <c r="BP201" s="42"/>
    </row>
    <row r="202" spans="1:68" s="1" customFormat="1" x14ac:dyDescent="0.3">
      <c r="A202" s="12" t="s">
        <v>418</v>
      </c>
      <c r="B202" s="12">
        <v>108012</v>
      </c>
      <c r="C202" s="13" t="s">
        <v>417</v>
      </c>
      <c r="D202" s="13" t="s">
        <v>339</v>
      </c>
      <c r="E202" s="14">
        <v>1535</v>
      </c>
      <c r="F202" s="15" t="s">
        <v>137</v>
      </c>
      <c r="G202" s="6">
        <v>22</v>
      </c>
      <c r="H202" s="6">
        <v>20</v>
      </c>
      <c r="I202" s="6">
        <v>20</v>
      </c>
      <c r="J202" s="6">
        <v>0</v>
      </c>
      <c r="K202" s="6">
        <v>44</v>
      </c>
      <c r="L202" s="6">
        <v>0</v>
      </c>
      <c r="M202" s="6">
        <v>20</v>
      </c>
      <c r="N202" s="6">
        <v>0</v>
      </c>
      <c r="O202" s="6">
        <v>40</v>
      </c>
      <c r="P202" s="6">
        <v>0</v>
      </c>
      <c r="Q202" s="6">
        <v>0</v>
      </c>
      <c r="R202" s="6">
        <v>20</v>
      </c>
      <c r="S202" s="6">
        <v>20</v>
      </c>
      <c r="T202" s="6">
        <v>0</v>
      </c>
      <c r="U202" s="6">
        <v>0</v>
      </c>
      <c r="V202" s="6">
        <v>22</v>
      </c>
      <c r="W202" s="6">
        <v>1</v>
      </c>
      <c r="X202" s="6">
        <v>40</v>
      </c>
      <c r="Y202" s="6">
        <v>20</v>
      </c>
      <c r="Z202" s="6">
        <v>0</v>
      </c>
      <c r="AA202" s="6">
        <v>0</v>
      </c>
      <c r="AB202" s="6">
        <v>0</v>
      </c>
      <c r="AC202" s="6">
        <v>45</v>
      </c>
      <c r="AD202" s="6">
        <v>0</v>
      </c>
      <c r="AE202" s="6">
        <v>186</v>
      </c>
      <c r="AF202" s="6">
        <v>148</v>
      </c>
      <c r="AG202" s="16">
        <v>334</v>
      </c>
      <c r="AH202" s="17">
        <v>15.5</v>
      </c>
      <c r="AI202" s="17">
        <v>12.333333333333334</v>
      </c>
      <c r="AJ202" s="17">
        <v>13.916666666666668</v>
      </c>
      <c r="AK202" s="49">
        <v>4.2599957742568944E-5</v>
      </c>
      <c r="AL202" s="48">
        <v>16.745872399616641</v>
      </c>
      <c r="AM202" s="19">
        <v>15.991619181870577</v>
      </c>
      <c r="AN202" s="47">
        <v>1.3577734378067545</v>
      </c>
      <c r="AO202" s="20">
        <v>1.1490983843260294</v>
      </c>
      <c r="AP202" s="44">
        <v>-0.20430107526881716</v>
      </c>
      <c r="AQ202" s="46">
        <v>227180</v>
      </c>
      <c r="AR202" s="45">
        <v>512690</v>
      </c>
      <c r="AS202" s="22">
        <v>3.1271753506169559E-4</v>
      </c>
      <c r="AT202" s="22">
        <v>0.98906743059558155</v>
      </c>
      <c r="AU202" s="22" t="s">
        <v>215</v>
      </c>
      <c r="AV202" s="22" t="s">
        <v>166</v>
      </c>
      <c r="AW202" s="22" t="s">
        <v>222</v>
      </c>
      <c r="AX202" s="23">
        <v>110</v>
      </c>
      <c r="AY202" s="24">
        <v>8.9189189189189193</v>
      </c>
      <c r="AZ202" s="23">
        <v>28</v>
      </c>
      <c r="BA202" s="26">
        <v>20</v>
      </c>
      <c r="BB202" s="44" t="s">
        <v>154</v>
      </c>
      <c r="BC202" s="26">
        <v>0.41111111111111115</v>
      </c>
      <c r="BD202" s="23">
        <v>30</v>
      </c>
      <c r="BE202" s="26">
        <v>24.666666666666668</v>
      </c>
      <c r="BF202" s="26">
        <v>37</v>
      </c>
      <c r="BG202" s="24"/>
      <c r="BI202" s="26"/>
      <c r="BJ202" s="23"/>
      <c r="BK202" s="26"/>
      <c r="BL202" s="27"/>
      <c r="BN202" s="13"/>
      <c r="BO202" s="43"/>
      <c r="BP202" s="42"/>
    </row>
    <row r="203" spans="1:68" s="1" customFormat="1" x14ac:dyDescent="0.3">
      <c r="A203" s="12" t="s">
        <v>416</v>
      </c>
      <c r="B203" s="12">
        <v>106068</v>
      </c>
      <c r="C203" s="13" t="s">
        <v>415</v>
      </c>
      <c r="D203" s="13" t="s">
        <v>44</v>
      </c>
      <c r="E203" s="14">
        <v>2440</v>
      </c>
      <c r="F203" s="15" t="s">
        <v>137</v>
      </c>
      <c r="G203" s="6">
        <v>14</v>
      </c>
      <c r="H203" s="6">
        <v>6</v>
      </c>
      <c r="I203" s="6">
        <v>12</v>
      </c>
      <c r="J203" s="6">
        <v>11</v>
      </c>
      <c r="K203" s="6">
        <v>4</v>
      </c>
      <c r="L203" s="6">
        <v>16</v>
      </c>
      <c r="M203" s="6">
        <v>10</v>
      </c>
      <c r="N203" s="6">
        <v>8</v>
      </c>
      <c r="O203" s="6">
        <v>16</v>
      </c>
      <c r="P203" s="6">
        <v>7</v>
      </c>
      <c r="Q203" s="6">
        <v>8</v>
      </c>
      <c r="R203" s="6">
        <v>3</v>
      </c>
      <c r="S203" s="6">
        <v>14</v>
      </c>
      <c r="T203" s="6">
        <v>2</v>
      </c>
      <c r="U203" s="6">
        <v>5</v>
      </c>
      <c r="V203" s="6">
        <v>6</v>
      </c>
      <c r="W203" s="6">
        <v>6</v>
      </c>
      <c r="X203" s="6">
        <v>3</v>
      </c>
      <c r="Y203" s="6">
        <v>20</v>
      </c>
      <c r="Z203" s="6">
        <v>11</v>
      </c>
      <c r="AA203" s="6">
        <v>7</v>
      </c>
      <c r="AB203" s="6">
        <v>7</v>
      </c>
      <c r="AC203" s="6">
        <v>4</v>
      </c>
      <c r="AD203" s="6">
        <v>10</v>
      </c>
      <c r="AE203" s="6">
        <v>115</v>
      </c>
      <c r="AF203" s="6">
        <v>95</v>
      </c>
      <c r="AG203" s="16">
        <v>210</v>
      </c>
      <c r="AH203" s="17">
        <v>9.5833333333333339</v>
      </c>
      <c r="AI203" s="17">
        <v>7.916666666666667</v>
      </c>
      <c r="AJ203" s="17">
        <v>8.75</v>
      </c>
      <c r="AK203" s="49">
        <v>2.7344567469892228E-5</v>
      </c>
      <c r="AL203" s="48">
        <v>5.1249538061480626</v>
      </c>
      <c r="AM203" s="19">
        <v>4.729647472845234</v>
      </c>
      <c r="AN203" s="47">
        <v>0.64736258603975527</v>
      </c>
      <c r="AO203" s="20">
        <v>0.54053113975374101</v>
      </c>
      <c r="AP203" s="44">
        <v>-0.17391304347826089</v>
      </c>
      <c r="AQ203" s="46">
        <v>231800</v>
      </c>
      <c r="AR203" s="45">
        <v>512400</v>
      </c>
      <c r="AS203" s="22">
        <v>3.125406482779317E-4</v>
      </c>
      <c r="AT203" s="22">
        <v>0.98937997124385946</v>
      </c>
      <c r="AU203" s="22" t="s">
        <v>215</v>
      </c>
      <c r="AV203" s="22" t="s">
        <v>166</v>
      </c>
      <c r="AW203" s="22" t="s">
        <v>222</v>
      </c>
      <c r="AX203" s="23">
        <v>28</v>
      </c>
      <c r="AY203" s="24">
        <v>3.5368421052631578</v>
      </c>
      <c r="AZ203" s="23">
        <v>30</v>
      </c>
      <c r="BA203" s="26">
        <v>15</v>
      </c>
      <c r="BB203" s="44" t="s">
        <v>154</v>
      </c>
      <c r="BC203" s="26">
        <v>0.2638888888888889</v>
      </c>
      <c r="BD203" s="23">
        <v>30</v>
      </c>
      <c r="BE203" s="26">
        <v>15.833333333333334</v>
      </c>
      <c r="BF203" s="26">
        <v>23.75</v>
      </c>
      <c r="BG203" s="24"/>
      <c r="BH203" s="1" t="s">
        <v>414</v>
      </c>
      <c r="BI203" s="26">
        <v>38.884615384615387</v>
      </c>
      <c r="BJ203" s="23">
        <v>4.2599957742568944E-5</v>
      </c>
      <c r="BK203" s="26"/>
      <c r="BL203" s="27"/>
      <c r="BN203" s="13"/>
      <c r="BO203" s="43"/>
      <c r="BP203" s="42"/>
    </row>
    <row r="204" spans="1:68" s="1" customFormat="1" x14ac:dyDescent="0.3">
      <c r="A204" s="12" t="s">
        <v>413</v>
      </c>
      <c r="B204" s="12">
        <v>102101</v>
      </c>
      <c r="C204" s="13" t="s">
        <v>412</v>
      </c>
      <c r="D204" s="13" t="s">
        <v>64</v>
      </c>
      <c r="E204" s="14">
        <v>194</v>
      </c>
      <c r="F204" s="15" t="s">
        <v>137</v>
      </c>
      <c r="G204" s="6">
        <v>152</v>
      </c>
      <c r="H204" s="6">
        <v>190</v>
      </c>
      <c r="I204" s="6">
        <v>415</v>
      </c>
      <c r="J204" s="6">
        <v>510</v>
      </c>
      <c r="K204" s="6">
        <v>120</v>
      </c>
      <c r="L204" s="6">
        <v>135</v>
      </c>
      <c r="M204" s="6">
        <v>40</v>
      </c>
      <c r="N204" s="6">
        <v>65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70</v>
      </c>
      <c r="V204" s="6">
        <v>0</v>
      </c>
      <c r="W204" s="6">
        <v>60</v>
      </c>
      <c r="X204" s="6">
        <v>59</v>
      </c>
      <c r="Y204" s="6">
        <v>35</v>
      </c>
      <c r="Z204" s="6">
        <v>183</v>
      </c>
      <c r="AA204" s="6">
        <v>64</v>
      </c>
      <c r="AB204" s="6">
        <v>199</v>
      </c>
      <c r="AC204" s="6">
        <v>7</v>
      </c>
      <c r="AD204" s="6">
        <v>266</v>
      </c>
      <c r="AE204" s="6">
        <v>1627</v>
      </c>
      <c r="AF204" s="6">
        <v>943</v>
      </c>
      <c r="AG204" s="16">
        <v>2570</v>
      </c>
      <c r="AH204" s="17">
        <v>135.58333333333334</v>
      </c>
      <c r="AI204" s="17">
        <v>78.583333333333329</v>
      </c>
      <c r="AJ204" s="17">
        <v>107.08333333333334</v>
      </c>
      <c r="AK204" s="49">
        <v>2.7143081183271967E-4</v>
      </c>
      <c r="AL204" s="48">
        <v>88.980547755045194</v>
      </c>
      <c r="AM204" s="19">
        <v>134.48320298110829</v>
      </c>
      <c r="AN204" s="47">
        <v>1.1323081368616568</v>
      </c>
      <c r="AO204" s="20">
        <v>1.2558742690842797</v>
      </c>
      <c r="AP204" s="44">
        <v>-0.42040565457897977</v>
      </c>
      <c r="AQ204" s="46">
        <v>182942</v>
      </c>
      <c r="AR204" s="45">
        <v>498580</v>
      </c>
      <c r="AS204" s="22">
        <v>3.0411107809994381E-4</v>
      </c>
      <c r="AT204" s="22">
        <v>0.9899942038909807</v>
      </c>
      <c r="AU204" s="22" t="s">
        <v>215</v>
      </c>
      <c r="AV204" s="22" t="s">
        <v>166</v>
      </c>
      <c r="AW204" s="22" t="s">
        <v>222</v>
      </c>
      <c r="AX204" s="23">
        <v>0</v>
      </c>
      <c r="AY204" s="24">
        <v>0</v>
      </c>
      <c r="AZ204" s="23">
        <v>560</v>
      </c>
      <c r="BA204" s="26">
        <v>315</v>
      </c>
      <c r="BB204" s="44" t="s">
        <v>198</v>
      </c>
      <c r="BC204" s="26">
        <v>2.6194444444444445</v>
      </c>
      <c r="BD204" s="23">
        <v>30</v>
      </c>
      <c r="BE204" s="26">
        <v>157.16666666666666</v>
      </c>
      <c r="BF204" s="26">
        <v>235.75</v>
      </c>
      <c r="BG204" s="24"/>
      <c r="BI204" s="26"/>
      <c r="BJ204" s="23"/>
      <c r="BK204" s="26"/>
      <c r="BL204" s="27"/>
      <c r="BN204" s="13"/>
      <c r="BO204" s="43"/>
      <c r="BP204" s="42"/>
    </row>
    <row r="205" spans="1:68" s="1" customFormat="1" x14ac:dyDescent="0.3">
      <c r="A205" s="12" t="s">
        <v>411</v>
      </c>
      <c r="B205" s="12">
        <v>102134</v>
      </c>
      <c r="C205" s="13" t="s">
        <v>410</v>
      </c>
      <c r="D205" s="13" t="s">
        <v>62</v>
      </c>
      <c r="E205" s="14">
        <v>130</v>
      </c>
      <c r="F205" s="15" t="s">
        <v>137</v>
      </c>
      <c r="G205" s="6">
        <v>120</v>
      </c>
      <c r="H205" s="6">
        <v>60</v>
      </c>
      <c r="I205" s="6">
        <v>60</v>
      </c>
      <c r="J205" s="6">
        <v>0</v>
      </c>
      <c r="K205" s="6">
        <v>171</v>
      </c>
      <c r="L205" s="6">
        <v>240</v>
      </c>
      <c r="M205" s="6">
        <v>247</v>
      </c>
      <c r="N205" s="6">
        <v>226</v>
      </c>
      <c r="O205" s="6">
        <v>137</v>
      </c>
      <c r="P205" s="6">
        <v>117</v>
      </c>
      <c r="Q205" s="6">
        <v>220</v>
      </c>
      <c r="R205" s="6">
        <v>150</v>
      </c>
      <c r="S205" s="6">
        <v>285</v>
      </c>
      <c r="T205" s="6">
        <v>155</v>
      </c>
      <c r="U205" s="6">
        <v>365</v>
      </c>
      <c r="V205" s="6">
        <v>185</v>
      </c>
      <c r="W205" s="6">
        <v>210</v>
      </c>
      <c r="X205" s="6">
        <v>79</v>
      </c>
      <c r="Y205" s="6">
        <v>302</v>
      </c>
      <c r="Z205" s="6">
        <v>28</v>
      </c>
      <c r="AA205" s="6">
        <v>60</v>
      </c>
      <c r="AB205" s="6">
        <v>150</v>
      </c>
      <c r="AC205" s="6">
        <v>111</v>
      </c>
      <c r="AD205" s="6">
        <v>60</v>
      </c>
      <c r="AE205" s="6">
        <v>1748</v>
      </c>
      <c r="AF205" s="6">
        <v>1990</v>
      </c>
      <c r="AG205" s="16">
        <v>3738</v>
      </c>
      <c r="AH205" s="17">
        <v>145.66666666666666</v>
      </c>
      <c r="AI205" s="17">
        <v>165.83333333333334</v>
      </c>
      <c r="AJ205" s="17">
        <v>155.75</v>
      </c>
      <c r="AK205" s="49">
        <v>5.7279672910616345E-4</v>
      </c>
      <c r="AL205" s="48">
        <v>107.46740168182362</v>
      </c>
      <c r="AM205" s="19">
        <v>92.956394639356716</v>
      </c>
      <c r="AN205" s="47">
        <v>0.64804463325722783</v>
      </c>
      <c r="AO205" s="20">
        <v>0.59683078420132718</v>
      </c>
      <c r="AP205" s="44">
        <v>0.13844393592677359</v>
      </c>
      <c r="AQ205" s="46">
        <v>258700</v>
      </c>
      <c r="AR205" s="45">
        <v>485940</v>
      </c>
      <c r="AS205" s="22">
        <v>2.9640125414554674E-4</v>
      </c>
      <c r="AT205" s="22">
        <v>0.99029060514512623</v>
      </c>
      <c r="AU205" s="22" t="s">
        <v>215</v>
      </c>
      <c r="AV205" s="22" t="s">
        <v>166</v>
      </c>
      <c r="AW205" s="22" t="s">
        <v>222</v>
      </c>
      <c r="AX205" s="23">
        <v>1593</v>
      </c>
      <c r="AY205" s="24">
        <v>9.6060301507537691</v>
      </c>
      <c r="AZ205" s="23">
        <v>315</v>
      </c>
      <c r="BA205" s="26">
        <v>100</v>
      </c>
      <c r="BB205" s="44" t="s">
        <v>154</v>
      </c>
      <c r="BC205" s="26">
        <v>5.5277777777777777</v>
      </c>
      <c r="BD205" s="23">
        <v>30</v>
      </c>
      <c r="BE205" s="26">
        <v>331.66666666666669</v>
      </c>
      <c r="BF205" s="26">
        <v>497.5</v>
      </c>
      <c r="BG205" s="24"/>
      <c r="BI205" s="26"/>
      <c r="BJ205" s="23"/>
      <c r="BK205" s="26"/>
      <c r="BL205" s="27"/>
      <c r="BN205" s="13"/>
      <c r="BO205" s="43"/>
      <c r="BP205" s="42"/>
    </row>
    <row r="206" spans="1:68" s="1" customFormat="1" x14ac:dyDescent="0.3">
      <c r="A206" s="12" t="s">
        <v>409</v>
      </c>
      <c r="B206" s="12">
        <v>104041</v>
      </c>
      <c r="C206" s="13" t="s">
        <v>408</v>
      </c>
      <c r="D206" s="13" t="s">
        <v>44</v>
      </c>
      <c r="E206" s="14">
        <v>725</v>
      </c>
      <c r="F206" s="15" t="s">
        <v>137</v>
      </c>
      <c r="G206" s="6">
        <v>40</v>
      </c>
      <c r="H206" s="6">
        <v>12</v>
      </c>
      <c r="I206" s="6">
        <v>44</v>
      </c>
      <c r="J206" s="6">
        <v>58</v>
      </c>
      <c r="K206" s="6">
        <v>15</v>
      </c>
      <c r="L206" s="6">
        <v>18</v>
      </c>
      <c r="M206" s="6">
        <v>150</v>
      </c>
      <c r="N206" s="6">
        <v>120</v>
      </c>
      <c r="O206" s="6">
        <v>17</v>
      </c>
      <c r="P206" s="6">
        <v>28</v>
      </c>
      <c r="Q206" s="6">
        <v>9</v>
      </c>
      <c r="R206" s="6">
        <v>28</v>
      </c>
      <c r="S206" s="6">
        <v>0</v>
      </c>
      <c r="T206" s="6">
        <v>6</v>
      </c>
      <c r="U206" s="6">
        <v>11</v>
      </c>
      <c r="V206" s="6">
        <v>8</v>
      </c>
      <c r="W206" s="6">
        <v>7</v>
      </c>
      <c r="X206" s="6">
        <v>2</v>
      </c>
      <c r="Y206" s="6">
        <v>25</v>
      </c>
      <c r="Z206" s="6">
        <v>36</v>
      </c>
      <c r="AA206" s="6">
        <v>0</v>
      </c>
      <c r="AB206" s="6">
        <v>0</v>
      </c>
      <c r="AC206" s="6">
        <v>4</v>
      </c>
      <c r="AD206" s="6">
        <v>10</v>
      </c>
      <c r="AE206" s="6">
        <v>539</v>
      </c>
      <c r="AF206" s="6">
        <v>109</v>
      </c>
      <c r="AG206" s="16">
        <v>648</v>
      </c>
      <c r="AH206" s="17">
        <v>44.916666666666664</v>
      </c>
      <c r="AI206" s="17">
        <v>9.0833333333333339</v>
      </c>
      <c r="AJ206" s="17">
        <v>27</v>
      </c>
      <c r="AK206" s="49">
        <v>3.1374293202297397E-5</v>
      </c>
      <c r="AL206" s="48">
        <v>10.958254118851841</v>
      </c>
      <c r="AM206" s="19">
        <v>36.858129891930695</v>
      </c>
      <c r="AN206" s="47">
        <v>1.206413297488276</v>
      </c>
      <c r="AO206" s="20">
        <v>1.3651159219233591</v>
      </c>
      <c r="AP206" s="44">
        <v>-0.79777365491651198</v>
      </c>
      <c r="AQ206" s="46">
        <v>79025</v>
      </c>
      <c r="AR206" s="45">
        <v>469800</v>
      </c>
      <c r="AS206" s="22">
        <v>2.8655658969744792E-4</v>
      </c>
      <c r="AT206" s="22">
        <v>0.99087310186342259</v>
      </c>
      <c r="AU206" s="22" t="s">
        <v>215</v>
      </c>
      <c r="AV206" s="22" t="s">
        <v>166</v>
      </c>
      <c r="AW206" s="22" t="s">
        <v>222</v>
      </c>
      <c r="AX206" s="23">
        <v>634</v>
      </c>
      <c r="AY206" s="24">
        <v>69.798165137614674</v>
      </c>
      <c r="AZ206" s="23">
        <v>27</v>
      </c>
      <c r="BA206" s="26">
        <v>15</v>
      </c>
      <c r="BB206" s="44" t="s">
        <v>154</v>
      </c>
      <c r="BC206" s="26">
        <v>0.30277777777777781</v>
      </c>
      <c r="BD206" s="23">
        <v>30</v>
      </c>
      <c r="BE206" s="26">
        <v>18.166666666666668</v>
      </c>
      <c r="BF206" s="26">
        <v>27.25</v>
      </c>
      <c r="BG206" s="24"/>
      <c r="BI206" s="26"/>
      <c r="BJ206" s="23"/>
      <c r="BK206" s="26"/>
      <c r="BL206" s="27"/>
      <c r="BN206" s="13"/>
      <c r="BO206" s="43"/>
      <c r="BP206" s="42"/>
    </row>
    <row r="207" spans="1:68" s="1" customFormat="1" x14ac:dyDescent="0.3">
      <c r="A207" s="12" t="s">
        <v>407</v>
      </c>
      <c r="B207" s="12">
        <v>102187</v>
      </c>
      <c r="C207" s="13" t="s">
        <v>406</v>
      </c>
      <c r="D207" s="13" t="s">
        <v>53</v>
      </c>
      <c r="E207" s="14">
        <v>101</v>
      </c>
      <c r="F207" s="15" t="s">
        <v>137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140</v>
      </c>
      <c r="S207" s="6">
        <v>115</v>
      </c>
      <c r="T207" s="6">
        <v>232</v>
      </c>
      <c r="U207" s="6">
        <v>200</v>
      </c>
      <c r="V207" s="6">
        <v>64</v>
      </c>
      <c r="W207" s="6">
        <v>151</v>
      </c>
      <c r="X207" s="6">
        <v>250</v>
      </c>
      <c r="Y207" s="6">
        <v>322</v>
      </c>
      <c r="Z207" s="6">
        <v>915</v>
      </c>
      <c r="AA207" s="6">
        <v>455</v>
      </c>
      <c r="AB207" s="6">
        <v>634</v>
      </c>
      <c r="AC207" s="6">
        <v>552</v>
      </c>
      <c r="AD207" s="6">
        <v>527</v>
      </c>
      <c r="AE207" s="6">
        <v>140</v>
      </c>
      <c r="AF207" s="6">
        <v>4417</v>
      </c>
      <c r="AG207" s="16">
        <v>4557</v>
      </c>
      <c r="AH207" s="17">
        <v>11.666666666666666</v>
      </c>
      <c r="AI207" s="17">
        <v>368.08333333333331</v>
      </c>
      <c r="AJ207" s="17">
        <v>189.875</v>
      </c>
      <c r="AK207" s="49">
        <v>1.2713784685738313E-3</v>
      </c>
      <c r="AL207" s="48">
        <v>252.79256977477274</v>
      </c>
      <c r="AM207" s="19">
        <v>253.93499895771001</v>
      </c>
      <c r="AN207" s="47">
        <v>0.68678080989297552</v>
      </c>
      <c r="AO207" s="20">
        <v>1.3373798496785254</v>
      </c>
      <c r="AP207" s="44">
        <v>30.549999999999997</v>
      </c>
      <c r="AQ207" s="46">
        <v>446117</v>
      </c>
      <c r="AR207" s="45">
        <v>460257</v>
      </c>
      <c r="AS207" s="22">
        <v>2.8073579460276347E-4</v>
      </c>
      <c r="AT207" s="22">
        <v>0.99115383765802534</v>
      </c>
      <c r="AU207" s="22" t="s">
        <v>215</v>
      </c>
      <c r="AV207" s="22" t="s">
        <v>166</v>
      </c>
      <c r="AW207" s="22" t="s">
        <v>222</v>
      </c>
      <c r="AX207" s="23">
        <v>1872</v>
      </c>
      <c r="AY207" s="24">
        <v>5.085804844917365</v>
      </c>
      <c r="AZ207" s="23">
        <v>910</v>
      </c>
      <c r="BA207" s="26">
        <v>520</v>
      </c>
      <c r="BB207" s="44" t="s">
        <v>154</v>
      </c>
      <c r="BC207" s="26">
        <v>12.269444444444444</v>
      </c>
      <c r="BD207" s="23">
        <v>30</v>
      </c>
      <c r="BE207" s="26">
        <v>736.16666666666663</v>
      </c>
      <c r="BF207" s="26">
        <v>1104.25</v>
      </c>
      <c r="BG207" s="24"/>
      <c r="BI207" s="26"/>
      <c r="BJ207" s="23"/>
      <c r="BK207" s="26"/>
      <c r="BL207" s="27"/>
      <c r="BN207" s="13"/>
      <c r="BO207" s="43"/>
      <c r="BP207" s="42"/>
    </row>
    <row r="208" spans="1:68" s="1" customFormat="1" x14ac:dyDescent="0.3">
      <c r="A208" s="12" t="s">
        <v>405</v>
      </c>
      <c r="B208" s="12">
        <v>105005</v>
      </c>
      <c r="C208" s="13" t="s">
        <v>404</v>
      </c>
      <c r="D208" s="13" t="s">
        <v>277</v>
      </c>
      <c r="E208" s="14">
        <v>5047</v>
      </c>
      <c r="F208" s="15" t="s">
        <v>137</v>
      </c>
      <c r="G208" s="6">
        <v>6</v>
      </c>
      <c r="H208" s="6">
        <v>10</v>
      </c>
      <c r="I208" s="6">
        <v>5</v>
      </c>
      <c r="J208" s="6">
        <v>4</v>
      </c>
      <c r="K208" s="6">
        <v>2</v>
      </c>
      <c r="L208" s="6">
        <v>6</v>
      </c>
      <c r="M208" s="6">
        <v>5</v>
      </c>
      <c r="N208" s="6">
        <v>4</v>
      </c>
      <c r="O208" s="6">
        <v>5</v>
      </c>
      <c r="P208" s="6">
        <v>13</v>
      </c>
      <c r="Q208" s="6">
        <v>3</v>
      </c>
      <c r="R208" s="6">
        <v>1</v>
      </c>
      <c r="S208" s="6">
        <v>0</v>
      </c>
      <c r="T208" s="6">
        <v>1</v>
      </c>
      <c r="U208" s="6">
        <v>2</v>
      </c>
      <c r="V208" s="6">
        <v>6</v>
      </c>
      <c r="W208" s="6">
        <v>0</v>
      </c>
      <c r="X208" s="6">
        <v>1</v>
      </c>
      <c r="Y208" s="6">
        <v>4</v>
      </c>
      <c r="Z208" s="6">
        <v>2</v>
      </c>
      <c r="AA208" s="6">
        <v>4</v>
      </c>
      <c r="AB208" s="6">
        <v>1</v>
      </c>
      <c r="AC208" s="6">
        <v>1</v>
      </c>
      <c r="AD208" s="6">
        <v>2</v>
      </c>
      <c r="AE208" s="6">
        <v>64</v>
      </c>
      <c r="AF208" s="6">
        <v>24</v>
      </c>
      <c r="AG208" s="16">
        <v>88</v>
      </c>
      <c r="AH208" s="17">
        <v>5.333333333333333</v>
      </c>
      <c r="AI208" s="17">
        <v>2</v>
      </c>
      <c r="AJ208" s="17">
        <v>3.6666666666666665</v>
      </c>
      <c r="AK208" s="49">
        <v>6.9081012555517208E-6</v>
      </c>
      <c r="AL208" s="48">
        <v>1.8090680674665818</v>
      </c>
      <c r="AM208" s="19">
        <v>3.1161105448196524</v>
      </c>
      <c r="AN208" s="47">
        <v>0.90453403373329089</v>
      </c>
      <c r="AO208" s="20">
        <v>0.84984833040535979</v>
      </c>
      <c r="AP208" s="44">
        <v>-0.625</v>
      </c>
      <c r="AQ208" s="46">
        <v>121128</v>
      </c>
      <c r="AR208" s="45">
        <v>444136</v>
      </c>
      <c r="AS208" s="22">
        <v>2.709027192887734E-4</v>
      </c>
      <c r="AT208" s="22">
        <v>0.9916960725045193</v>
      </c>
      <c r="AU208" s="22" t="s">
        <v>215</v>
      </c>
      <c r="AV208" s="22" t="s">
        <v>166</v>
      </c>
      <c r="AW208" s="22" t="s">
        <v>222</v>
      </c>
      <c r="AX208" s="23">
        <v>38</v>
      </c>
      <c r="AY208" s="24">
        <v>19</v>
      </c>
      <c r="AZ208" s="23">
        <v>5</v>
      </c>
      <c r="BA208" s="26">
        <v>3</v>
      </c>
      <c r="BB208" s="44" t="s">
        <v>154</v>
      </c>
      <c r="BC208" s="26">
        <v>6.6666666666666666E-2</v>
      </c>
      <c r="BD208" s="23">
        <v>30</v>
      </c>
      <c r="BE208" s="26">
        <v>4</v>
      </c>
      <c r="BF208" s="26">
        <v>6</v>
      </c>
      <c r="BG208" s="24"/>
      <c r="BI208" s="26"/>
      <c r="BJ208" s="23"/>
      <c r="BK208" s="26"/>
      <c r="BL208" s="27"/>
      <c r="BN208" s="13"/>
      <c r="BO208" s="43"/>
      <c r="BP208" s="42"/>
    </row>
    <row r="209" spans="1:68" s="1" customFormat="1" x14ac:dyDescent="0.3">
      <c r="A209" s="12" t="s">
        <v>403</v>
      </c>
      <c r="B209" s="12">
        <v>106025</v>
      </c>
      <c r="C209" s="13" t="s">
        <v>402</v>
      </c>
      <c r="D209" s="13" t="s">
        <v>44</v>
      </c>
      <c r="E209" s="14">
        <v>571</v>
      </c>
      <c r="F209" s="15" t="s">
        <v>137</v>
      </c>
      <c r="G209" s="6">
        <v>22</v>
      </c>
      <c r="H209" s="6">
        <v>25</v>
      </c>
      <c r="I209" s="6">
        <v>52</v>
      </c>
      <c r="J209" s="6">
        <v>0</v>
      </c>
      <c r="K209" s="6">
        <v>27</v>
      </c>
      <c r="L209" s="6">
        <v>46</v>
      </c>
      <c r="M209" s="6">
        <v>25</v>
      </c>
      <c r="N209" s="6">
        <v>30</v>
      </c>
      <c r="O209" s="6">
        <v>50</v>
      </c>
      <c r="P209" s="6">
        <v>46</v>
      </c>
      <c r="Q209" s="6">
        <v>26</v>
      </c>
      <c r="R209" s="6">
        <v>36</v>
      </c>
      <c r="S209" s="6">
        <v>12</v>
      </c>
      <c r="T209" s="6">
        <v>31</v>
      </c>
      <c r="U209" s="6">
        <v>51</v>
      </c>
      <c r="V209" s="6">
        <v>16</v>
      </c>
      <c r="W209" s="6">
        <v>27</v>
      </c>
      <c r="X209" s="6">
        <v>14</v>
      </c>
      <c r="Y209" s="6">
        <v>19</v>
      </c>
      <c r="Z209" s="6">
        <v>26</v>
      </c>
      <c r="AA209" s="6">
        <v>111</v>
      </c>
      <c r="AB209" s="6">
        <v>57</v>
      </c>
      <c r="AC209" s="6">
        <v>9</v>
      </c>
      <c r="AD209" s="6">
        <v>13</v>
      </c>
      <c r="AE209" s="6">
        <v>385</v>
      </c>
      <c r="AF209" s="6">
        <v>386</v>
      </c>
      <c r="AG209" s="16">
        <v>771</v>
      </c>
      <c r="AH209" s="17">
        <v>32.083333333333336</v>
      </c>
      <c r="AI209" s="17">
        <v>32.166666666666664</v>
      </c>
      <c r="AJ209" s="17">
        <v>32.125</v>
      </c>
      <c r="AK209" s="49">
        <v>1.1110529519345684E-4</v>
      </c>
      <c r="AL209" s="48">
        <v>29.11991924730728</v>
      </c>
      <c r="AM209" s="19">
        <v>22.599177553330485</v>
      </c>
      <c r="AN209" s="47">
        <v>0.90528246364685849</v>
      </c>
      <c r="AO209" s="20">
        <v>0.70347634407254422</v>
      </c>
      <c r="AP209" s="44">
        <v>2.5974025974024495E-3</v>
      </c>
      <c r="AQ209" s="46">
        <v>220406</v>
      </c>
      <c r="AR209" s="45">
        <v>440241</v>
      </c>
      <c r="AS209" s="22">
        <v>2.6852694679649672E-4</v>
      </c>
      <c r="AT209" s="22">
        <v>0.99196459945131576</v>
      </c>
      <c r="AU209" s="22" t="s">
        <v>215</v>
      </c>
      <c r="AV209" s="22" t="s">
        <v>166</v>
      </c>
      <c r="AW209" s="22" t="s">
        <v>222</v>
      </c>
      <c r="AX209" s="23">
        <v>97</v>
      </c>
      <c r="AY209" s="24">
        <v>3.0155440414507773</v>
      </c>
      <c r="AZ209" s="23">
        <v>74</v>
      </c>
      <c r="BA209" s="26">
        <v>35</v>
      </c>
      <c r="BB209" s="44" t="s">
        <v>154</v>
      </c>
      <c r="BC209" s="26">
        <v>1.0722222222222222</v>
      </c>
      <c r="BD209" s="23">
        <v>30</v>
      </c>
      <c r="BE209" s="26">
        <v>64.333333333333329</v>
      </c>
      <c r="BF209" s="26">
        <v>96.5</v>
      </c>
      <c r="BG209" s="24"/>
      <c r="BI209" s="26"/>
      <c r="BJ209" s="23"/>
      <c r="BK209" s="26"/>
      <c r="BL209" s="27"/>
      <c r="BN209" s="13"/>
      <c r="BO209" s="43"/>
      <c r="BP209" s="42"/>
    </row>
    <row r="210" spans="1:68" s="1" customFormat="1" x14ac:dyDescent="0.3">
      <c r="A210" s="12" t="s">
        <v>401</v>
      </c>
      <c r="B210" s="12">
        <v>103045</v>
      </c>
      <c r="C210" s="13" t="s">
        <v>400</v>
      </c>
      <c r="D210" s="13" t="s">
        <v>53</v>
      </c>
      <c r="E210" s="14">
        <v>196</v>
      </c>
      <c r="F210" s="15" t="s">
        <v>137</v>
      </c>
      <c r="G210" s="6">
        <v>126</v>
      </c>
      <c r="H210" s="6">
        <v>56</v>
      </c>
      <c r="I210" s="6">
        <v>56</v>
      </c>
      <c r="J210" s="6">
        <v>20</v>
      </c>
      <c r="K210" s="6">
        <v>151</v>
      </c>
      <c r="L210" s="6">
        <v>132</v>
      </c>
      <c r="M210" s="6">
        <v>93</v>
      </c>
      <c r="N210" s="6">
        <v>196</v>
      </c>
      <c r="O210" s="6">
        <v>66</v>
      </c>
      <c r="P210" s="6">
        <v>98</v>
      </c>
      <c r="Q210" s="6">
        <v>96</v>
      </c>
      <c r="R210" s="6">
        <v>34</v>
      </c>
      <c r="S210" s="6">
        <v>56</v>
      </c>
      <c r="T210" s="6">
        <v>76</v>
      </c>
      <c r="U210" s="6">
        <v>76</v>
      </c>
      <c r="V210" s="6">
        <v>110</v>
      </c>
      <c r="W210" s="6">
        <v>136</v>
      </c>
      <c r="X210" s="6">
        <v>58</v>
      </c>
      <c r="Y210" s="6">
        <v>94</v>
      </c>
      <c r="Z210" s="6">
        <v>88</v>
      </c>
      <c r="AA210" s="6">
        <v>56</v>
      </c>
      <c r="AB210" s="6">
        <v>200</v>
      </c>
      <c r="AC210" s="6">
        <v>96</v>
      </c>
      <c r="AD210" s="6">
        <v>28</v>
      </c>
      <c r="AE210" s="6">
        <v>1124</v>
      </c>
      <c r="AF210" s="6">
        <v>1074</v>
      </c>
      <c r="AG210" s="16">
        <v>2198</v>
      </c>
      <c r="AH210" s="17">
        <v>93.666666666666671</v>
      </c>
      <c r="AI210" s="17">
        <v>89.5</v>
      </c>
      <c r="AJ210" s="17">
        <v>91.583333333333343</v>
      </c>
      <c r="AK210" s="49">
        <v>3.0913753118593949E-4</v>
      </c>
      <c r="AL210" s="48">
        <v>44.965643450406567</v>
      </c>
      <c r="AM210" s="19">
        <v>47.19701231025639</v>
      </c>
      <c r="AN210" s="47">
        <v>0.50240942402688904</v>
      </c>
      <c r="AO210" s="20">
        <v>0.51534499337859563</v>
      </c>
      <c r="AP210" s="44">
        <v>-4.4483985765124606E-2</v>
      </c>
      <c r="AQ210" s="46">
        <v>210504</v>
      </c>
      <c r="AR210" s="45">
        <v>430808</v>
      </c>
      <c r="AS210" s="22">
        <v>2.627732466887572E-4</v>
      </c>
      <c r="AT210" s="22">
        <v>0.99222737269800454</v>
      </c>
      <c r="AU210" s="22" t="s">
        <v>215</v>
      </c>
      <c r="AV210" s="22" t="s">
        <v>166</v>
      </c>
      <c r="AW210" s="22" t="s">
        <v>222</v>
      </c>
      <c r="AX210" s="23">
        <v>169</v>
      </c>
      <c r="AY210" s="24">
        <v>1.8882681564245809</v>
      </c>
      <c r="AZ210" s="23">
        <v>187</v>
      </c>
      <c r="BA210" s="26">
        <v>100</v>
      </c>
      <c r="BB210" s="44" t="s">
        <v>154</v>
      </c>
      <c r="BC210" s="26">
        <v>2.9833333333333334</v>
      </c>
      <c r="BD210" s="23">
        <v>30</v>
      </c>
      <c r="BE210" s="26">
        <v>179</v>
      </c>
      <c r="BF210" s="26">
        <v>268.5</v>
      </c>
      <c r="BG210" s="24"/>
      <c r="BI210" s="26"/>
      <c r="BJ210" s="23"/>
      <c r="BK210" s="26"/>
      <c r="BL210" s="27"/>
      <c r="BN210" s="13"/>
      <c r="BO210" s="43"/>
      <c r="BP210" s="42"/>
    </row>
    <row r="211" spans="1:68" s="1" customFormat="1" x14ac:dyDescent="0.3">
      <c r="A211" s="12" t="s">
        <v>399</v>
      </c>
      <c r="B211" s="12">
        <v>103009</v>
      </c>
      <c r="C211" s="13" t="s">
        <v>398</v>
      </c>
      <c r="D211" s="13" t="s">
        <v>44</v>
      </c>
      <c r="E211" s="14">
        <v>571</v>
      </c>
      <c r="F211" s="15" t="s">
        <v>137</v>
      </c>
      <c r="G211" s="6">
        <v>19</v>
      </c>
      <c r="H211" s="6">
        <v>39</v>
      </c>
      <c r="I211" s="6">
        <v>51</v>
      </c>
      <c r="J211" s="6">
        <v>37</v>
      </c>
      <c r="K211" s="6">
        <v>12</v>
      </c>
      <c r="L211" s="6">
        <v>24</v>
      </c>
      <c r="M211" s="6">
        <v>64</v>
      </c>
      <c r="N211" s="6">
        <v>62</v>
      </c>
      <c r="O211" s="6">
        <v>10</v>
      </c>
      <c r="P211" s="6">
        <v>72</v>
      </c>
      <c r="Q211" s="6">
        <v>18</v>
      </c>
      <c r="R211" s="6">
        <v>4</v>
      </c>
      <c r="S211" s="6">
        <v>44</v>
      </c>
      <c r="T211" s="6">
        <v>36</v>
      </c>
      <c r="U211" s="6">
        <v>10</v>
      </c>
      <c r="V211" s="6">
        <v>9</v>
      </c>
      <c r="W211" s="6">
        <v>62</v>
      </c>
      <c r="X211" s="6">
        <v>7</v>
      </c>
      <c r="Y211" s="6">
        <v>11</v>
      </c>
      <c r="Z211" s="6">
        <v>9</v>
      </c>
      <c r="AA211" s="6">
        <v>39</v>
      </c>
      <c r="AB211" s="6">
        <v>17</v>
      </c>
      <c r="AC211" s="6">
        <v>44</v>
      </c>
      <c r="AD211" s="6">
        <v>37</v>
      </c>
      <c r="AE211" s="6">
        <v>412</v>
      </c>
      <c r="AF211" s="6">
        <v>325</v>
      </c>
      <c r="AG211" s="16">
        <v>737</v>
      </c>
      <c r="AH211" s="17">
        <v>34.333333333333336</v>
      </c>
      <c r="AI211" s="17">
        <v>27.083333333333332</v>
      </c>
      <c r="AJ211" s="17">
        <v>30.708333333333336</v>
      </c>
      <c r="AK211" s="49">
        <v>9.3547204502262879E-5</v>
      </c>
      <c r="AL211" s="48">
        <v>18.637490727189125</v>
      </c>
      <c r="AM211" s="19">
        <v>20.983387148691797</v>
      </c>
      <c r="AN211" s="47">
        <v>0.68815350377313689</v>
      </c>
      <c r="AO211" s="20">
        <v>0.68331247159919006</v>
      </c>
      <c r="AP211" s="44">
        <v>-0.21116504854368942</v>
      </c>
      <c r="AQ211" s="46">
        <v>185575</v>
      </c>
      <c r="AR211" s="45">
        <v>420827</v>
      </c>
      <c r="AS211" s="22">
        <v>2.5668529155514671E-4</v>
      </c>
      <c r="AT211" s="22">
        <v>0.99248405798955963</v>
      </c>
      <c r="AU211" s="22" t="s">
        <v>215</v>
      </c>
      <c r="AV211" s="22" t="s">
        <v>166</v>
      </c>
      <c r="AW211" s="22" t="s">
        <v>222</v>
      </c>
      <c r="AX211" s="23">
        <v>511</v>
      </c>
      <c r="AY211" s="24">
        <v>18.867692307692309</v>
      </c>
      <c r="AZ211" s="23">
        <v>21</v>
      </c>
      <c r="BA211" s="26">
        <v>12</v>
      </c>
      <c r="BB211" s="44" t="s">
        <v>154</v>
      </c>
      <c r="BC211" s="26">
        <v>0.90277777777777779</v>
      </c>
      <c r="BD211" s="23">
        <v>30</v>
      </c>
      <c r="BE211" s="26">
        <v>54.166666666666664</v>
      </c>
      <c r="BF211" s="26">
        <v>81.25</v>
      </c>
      <c r="BG211" s="24"/>
      <c r="BI211" s="26"/>
      <c r="BJ211" s="23"/>
      <c r="BK211" s="26"/>
      <c r="BL211" s="27"/>
      <c r="BN211" s="13"/>
      <c r="BO211" s="43"/>
      <c r="BP211" s="42"/>
    </row>
    <row r="212" spans="1:68" s="1" customFormat="1" x14ac:dyDescent="0.3">
      <c r="A212" s="12" t="s">
        <v>397</v>
      </c>
      <c r="B212" s="12">
        <v>102139</v>
      </c>
      <c r="C212" s="13" t="s">
        <v>396</v>
      </c>
      <c r="D212" s="13" t="s">
        <v>62</v>
      </c>
      <c r="E212" s="14">
        <v>30</v>
      </c>
      <c r="F212" s="15" t="s">
        <v>137</v>
      </c>
      <c r="G212" s="6">
        <v>1049</v>
      </c>
      <c r="H212" s="6">
        <v>447</v>
      </c>
      <c r="I212" s="6">
        <v>1146</v>
      </c>
      <c r="J212" s="6">
        <v>660</v>
      </c>
      <c r="K212" s="6">
        <v>1224</v>
      </c>
      <c r="L212" s="6">
        <v>722</v>
      </c>
      <c r="M212" s="6">
        <v>340</v>
      </c>
      <c r="N212" s="6">
        <v>903</v>
      </c>
      <c r="O212" s="6">
        <v>387</v>
      </c>
      <c r="P212" s="6">
        <v>561</v>
      </c>
      <c r="Q212" s="6">
        <v>520</v>
      </c>
      <c r="R212" s="6">
        <v>210</v>
      </c>
      <c r="S212" s="6">
        <v>255</v>
      </c>
      <c r="T212" s="6">
        <v>210</v>
      </c>
      <c r="U212" s="6">
        <v>315</v>
      </c>
      <c r="V212" s="6">
        <v>450</v>
      </c>
      <c r="W212" s="6">
        <v>167</v>
      </c>
      <c r="X212" s="6">
        <v>60</v>
      </c>
      <c r="Y212" s="6">
        <v>550</v>
      </c>
      <c r="Z212" s="6">
        <v>407</v>
      </c>
      <c r="AA212" s="6">
        <v>479</v>
      </c>
      <c r="AB212" s="6">
        <v>353</v>
      </c>
      <c r="AC212" s="6">
        <v>364</v>
      </c>
      <c r="AD212" s="6">
        <v>525</v>
      </c>
      <c r="AE212" s="6">
        <v>8169</v>
      </c>
      <c r="AF212" s="6">
        <v>4135</v>
      </c>
      <c r="AG212" s="16">
        <v>12304</v>
      </c>
      <c r="AH212" s="17">
        <v>680.75</v>
      </c>
      <c r="AI212" s="17">
        <v>344.58333333333331</v>
      </c>
      <c r="AJ212" s="17">
        <v>512.66666666666663</v>
      </c>
      <c r="AK212" s="49">
        <v>1.1902082788210985E-3</v>
      </c>
      <c r="AL212" s="48">
        <v>150.09297623523736</v>
      </c>
      <c r="AM212" s="19">
        <v>305.27203359094921</v>
      </c>
      <c r="AN212" s="47">
        <v>0.43557816561616647</v>
      </c>
      <c r="AO212" s="20">
        <v>0.59545910323332096</v>
      </c>
      <c r="AP212" s="44">
        <v>-0.4938180927898152</v>
      </c>
      <c r="AQ212" s="46">
        <v>124050</v>
      </c>
      <c r="AR212" s="45">
        <v>369120</v>
      </c>
      <c r="AS212" s="22">
        <v>2.2514637801005104E-4</v>
      </c>
      <c r="AT212" s="22">
        <v>0.99295439506795236</v>
      </c>
      <c r="AU212" s="22" t="s">
        <v>215</v>
      </c>
      <c r="AV212" s="22" t="s">
        <v>166</v>
      </c>
      <c r="AW212" s="22" t="s">
        <v>222</v>
      </c>
      <c r="AX212" s="23">
        <v>1064</v>
      </c>
      <c r="AY212" s="24">
        <v>3.0877871825876664</v>
      </c>
      <c r="AZ212" s="23">
        <v>740</v>
      </c>
      <c r="BA212" s="26">
        <v>420</v>
      </c>
      <c r="BB212" s="44" t="s">
        <v>154</v>
      </c>
      <c r="BC212" s="26">
        <v>11.486111111111111</v>
      </c>
      <c r="BD212" s="23">
        <v>30</v>
      </c>
      <c r="BE212" s="26">
        <v>689.16666666666663</v>
      </c>
      <c r="BF212" s="26">
        <v>1033.75</v>
      </c>
      <c r="BG212" s="24"/>
      <c r="BI212" s="26"/>
      <c r="BJ212" s="23"/>
      <c r="BK212" s="26"/>
      <c r="BL212" s="27"/>
      <c r="BN212" s="13"/>
      <c r="BO212" s="43"/>
      <c r="BP212" s="42"/>
    </row>
    <row r="213" spans="1:68" s="1" customFormat="1" x14ac:dyDescent="0.3">
      <c r="A213" s="12" t="s">
        <v>395</v>
      </c>
      <c r="B213" s="12">
        <v>103036</v>
      </c>
      <c r="C213" s="13" t="s">
        <v>394</v>
      </c>
      <c r="D213" s="13" t="s">
        <v>53</v>
      </c>
      <c r="E213" s="14">
        <v>46</v>
      </c>
      <c r="F213" s="15" t="s">
        <v>137</v>
      </c>
      <c r="G213" s="6">
        <v>258</v>
      </c>
      <c r="H213" s="6">
        <v>126</v>
      </c>
      <c r="I213" s="6">
        <v>442</v>
      </c>
      <c r="J213" s="6">
        <v>126</v>
      </c>
      <c r="K213" s="6">
        <v>787</v>
      </c>
      <c r="L213" s="6">
        <v>571</v>
      </c>
      <c r="M213" s="6">
        <v>248</v>
      </c>
      <c r="N213" s="6">
        <v>518</v>
      </c>
      <c r="O213" s="6">
        <v>203</v>
      </c>
      <c r="P213" s="6">
        <v>182</v>
      </c>
      <c r="Q213" s="6">
        <v>328</v>
      </c>
      <c r="R213" s="6">
        <v>161</v>
      </c>
      <c r="S213" s="6">
        <v>286</v>
      </c>
      <c r="T213" s="6">
        <v>228</v>
      </c>
      <c r="U213" s="6">
        <v>126</v>
      </c>
      <c r="V213" s="6">
        <v>406</v>
      </c>
      <c r="W213" s="6">
        <v>349</v>
      </c>
      <c r="X213" s="6">
        <v>230</v>
      </c>
      <c r="Y213" s="6">
        <v>384</v>
      </c>
      <c r="Z213" s="6">
        <v>460</v>
      </c>
      <c r="AA213" s="6">
        <v>253</v>
      </c>
      <c r="AB213" s="6">
        <v>719</v>
      </c>
      <c r="AC213" s="6">
        <v>239</v>
      </c>
      <c r="AD213" s="6">
        <v>107</v>
      </c>
      <c r="AE213" s="6">
        <v>3950</v>
      </c>
      <c r="AF213" s="6">
        <v>3787</v>
      </c>
      <c r="AG213" s="16">
        <v>7737</v>
      </c>
      <c r="AH213" s="17">
        <v>329.16666666666669</v>
      </c>
      <c r="AI213" s="17">
        <v>315.58333333333331</v>
      </c>
      <c r="AJ213" s="17">
        <v>322.375</v>
      </c>
      <c r="AK213" s="49">
        <v>1.0900408106155985E-3</v>
      </c>
      <c r="AL213" s="48">
        <v>165.87917746104097</v>
      </c>
      <c r="AM213" s="19">
        <v>184.19385168892038</v>
      </c>
      <c r="AN213" s="47">
        <v>0.52562717970226869</v>
      </c>
      <c r="AO213" s="20">
        <v>0.57136518554143578</v>
      </c>
      <c r="AP213" s="44">
        <v>-4.1265822784810238E-2</v>
      </c>
      <c r="AQ213" s="46">
        <v>174202</v>
      </c>
      <c r="AR213" s="45">
        <v>355902</v>
      </c>
      <c r="AS213" s="22">
        <v>2.170840003969798E-4</v>
      </c>
      <c r="AT213" s="22">
        <v>0.99361497083251094</v>
      </c>
      <c r="AU213" s="22" t="s">
        <v>215</v>
      </c>
      <c r="AV213" s="22" t="s">
        <v>166</v>
      </c>
      <c r="AW213" s="22" t="s">
        <v>222</v>
      </c>
      <c r="AX213" s="23">
        <v>1650</v>
      </c>
      <c r="AY213" s="24">
        <v>5.2284129918141016</v>
      </c>
      <c r="AZ213" s="23">
        <v>658</v>
      </c>
      <c r="BA213" s="26">
        <v>350</v>
      </c>
      <c r="BB213" s="44" t="s">
        <v>154</v>
      </c>
      <c r="BC213" s="26">
        <v>10.519444444444444</v>
      </c>
      <c r="BD213" s="23">
        <v>30</v>
      </c>
      <c r="BE213" s="26">
        <v>631.16666666666663</v>
      </c>
      <c r="BF213" s="26">
        <v>946.75</v>
      </c>
      <c r="BG213" s="24"/>
      <c r="BI213" s="26"/>
      <c r="BJ213" s="23"/>
      <c r="BK213" s="26"/>
      <c r="BL213" s="27"/>
      <c r="BN213" s="13"/>
      <c r="BO213" s="43"/>
      <c r="BP213" s="42"/>
    </row>
    <row r="214" spans="1:68" s="1" customFormat="1" x14ac:dyDescent="0.3">
      <c r="A214" s="12" t="s">
        <v>393</v>
      </c>
      <c r="B214" s="12">
        <v>104045</v>
      </c>
      <c r="C214" s="13" t="s">
        <v>392</v>
      </c>
      <c r="D214" s="13" t="s">
        <v>53</v>
      </c>
      <c r="E214" s="14">
        <v>20</v>
      </c>
      <c r="F214" s="15" t="s">
        <v>137</v>
      </c>
      <c r="G214" s="6">
        <v>806</v>
      </c>
      <c r="H214" s="6">
        <v>540</v>
      </c>
      <c r="I214" s="6">
        <v>686</v>
      </c>
      <c r="J214" s="6">
        <v>640</v>
      </c>
      <c r="K214" s="6">
        <v>600</v>
      </c>
      <c r="L214" s="6">
        <v>599</v>
      </c>
      <c r="M214" s="6">
        <v>428</v>
      </c>
      <c r="N214" s="6">
        <v>1116</v>
      </c>
      <c r="O214" s="6">
        <v>604</v>
      </c>
      <c r="P214" s="6">
        <v>646</v>
      </c>
      <c r="Q214" s="6">
        <v>747</v>
      </c>
      <c r="R214" s="6">
        <v>747</v>
      </c>
      <c r="S214" s="6">
        <v>390</v>
      </c>
      <c r="T214" s="6">
        <v>1431</v>
      </c>
      <c r="U214" s="6">
        <v>559</v>
      </c>
      <c r="V214" s="6">
        <v>736</v>
      </c>
      <c r="W214" s="6">
        <v>341</v>
      </c>
      <c r="X214" s="6">
        <v>605</v>
      </c>
      <c r="Y214" s="6">
        <v>464</v>
      </c>
      <c r="Z214" s="6">
        <v>2199</v>
      </c>
      <c r="AA214" s="6">
        <v>368</v>
      </c>
      <c r="AB214" s="6">
        <v>578</v>
      </c>
      <c r="AC214" s="6">
        <v>657</v>
      </c>
      <c r="AD214" s="6">
        <v>726</v>
      </c>
      <c r="AE214" s="6">
        <v>8159</v>
      </c>
      <c r="AF214" s="6">
        <v>9054</v>
      </c>
      <c r="AG214" s="16">
        <v>17213</v>
      </c>
      <c r="AH214" s="17">
        <v>679.91666666666663</v>
      </c>
      <c r="AI214" s="17">
        <v>754.5</v>
      </c>
      <c r="AJ214" s="17">
        <v>717.20833333333326</v>
      </c>
      <c r="AK214" s="49">
        <v>2.6060811986568866E-3</v>
      </c>
      <c r="AL214" s="48">
        <v>538.02931653818405</v>
      </c>
      <c r="AM214" s="19">
        <v>392.16178772749294</v>
      </c>
      <c r="AN214" s="47">
        <v>0.71309385889752686</v>
      </c>
      <c r="AO214" s="20">
        <v>0.54678922357868076</v>
      </c>
      <c r="AP214" s="44">
        <v>0.1096948155411203</v>
      </c>
      <c r="AQ214" s="46">
        <v>181080</v>
      </c>
      <c r="AR214" s="45">
        <v>344260</v>
      </c>
      <c r="AS214" s="22">
        <v>2.0998291096050112E-4</v>
      </c>
      <c r="AT214" s="22">
        <v>0.99382495374347146</v>
      </c>
      <c r="AU214" s="22" t="s">
        <v>215</v>
      </c>
      <c r="AV214" s="22" t="s">
        <v>166</v>
      </c>
      <c r="AW214" s="22" t="s">
        <v>222</v>
      </c>
      <c r="AX214" s="23">
        <v>7424</v>
      </c>
      <c r="AY214" s="24">
        <v>9.8396288933068252</v>
      </c>
      <c r="AZ214" s="23">
        <v>910</v>
      </c>
      <c r="BA214" s="26">
        <v>520</v>
      </c>
      <c r="BB214" s="44" t="s">
        <v>154</v>
      </c>
      <c r="BC214" s="26">
        <v>25.15</v>
      </c>
      <c r="BD214" s="23">
        <v>30</v>
      </c>
      <c r="BE214" s="26">
        <v>1509</v>
      </c>
      <c r="BF214" s="26">
        <v>2263.5</v>
      </c>
      <c r="BG214" s="24"/>
      <c r="BI214" s="26"/>
      <c r="BJ214" s="23"/>
      <c r="BK214" s="26"/>
      <c r="BL214" s="27"/>
      <c r="BN214" s="13"/>
      <c r="BO214" s="43"/>
      <c r="BP214" s="42"/>
    </row>
    <row r="215" spans="1:68" s="1" customFormat="1" x14ac:dyDescent="0.3">
      <c r="A215" s="12" t="s">
        <v>391</v>
      </c>
      <c r="B215" s="12">
        <v>102049</v>
      </c>
      <c r="C215" s="13" t="s">
        <v>390</v>
      </c>
      <c r="D215" s="13" t="s">
        <v>53</v>
      </c>
      <c r="E215" s="14">
        <v>334</v>
      </c>
      <c r="F215" s="15" t="s">
        <v>137</v>
      </c>
      <c r="G215" s="6">
        <v>35</v>
      </c>
      <c r="H215" s="6">
        <v>21</v>
      </c>
      <c r="I215" s="6">
        <v>44</v>
      </c>
      <c r="J215" s="6">
        <v>10</v>
      </c>
      <c r="K215" s="6">
        <v>114</v>
      </c>
      <c r="L215" s="6">
        <v>52</v>
      </c>
      <c r="M215" s="6">
        <v>32</v>
      </c>
      <c r="N215" s="6">
        <v>39</v>
      </c>
      <c r="O215" s="6">
        <v>44</v>
      </c>
      <c r="P215" s="6">
        <v>43</v>
      </c>
      <c r="Q215" s="6">
        <v>16</v>
      </c>
      <c r="R215" s="6">
        <v>41</v>
      </c>
      <c r="S215" s="6">
        <v>18</v>
      </c>
      <c r="T215" s="6">
        <v>39</v>
      </c>
      <c r="U215" s="6">
        <v>52</v>
      </c>
      <c r="V215" s="6">
        <v>18</v>
      </c>
      <c r="W215" s="6">
        <v>42</v>
      </c>
      <c r="X215" s="6">
        <v>85</v>
      </c>
      <c r="Y215" s="6">
        <v>23</v>
      </c>
      <c r="Z215" s="6">
        <v>55</v>
      </c>
      <c r="AA215" s="6">
        <v>36</v>
      </c>
      <c r="AB215" s="6">
        <v>99</v>
      </c>
      <c r="AC215" s="6">
        <v>17</v>
      </c>
      <c r="AD215" s="6">
        <v>24</v>
      </c>
      <c r="AE215" s="6">
        <v>491</v>
      </c>
      <c r="AF215" s="6">
        <v>508</v>
      </c>
      <c r="AG215" s="16">
        <v>999</v>
      </c>
      <c r="AH215" s="17">
        <v>40.916666666666664</v>
      </c>
      <c r="AI215" s="17">
        <v>42.333333333333336</v>
      </c>
      <c r="AJ215" s="17">
        <v>41.625</v>
      </c>
      <c r="AK215" s="49">
        <v>1.4622147657584474E-4</v>
      </c>
      <c r="AL215" s="48">
        <v>26.752513334207869</v>
      </c>
      <c r="AM215" s="19">
        <v>25.929356369550138</v>
      </c>
      <c r="AN215" s="47">
        <v>0.63194913387892604</v>
      </c>
      <c r="AO215" s="20">
        <v>0.62292748034955292</v>
      </c>
      <c r="AP215" s="44">
        <v>3.4623217922607044E-2</v>
      </c>
      <c r="AQ215" s="46">
        <v>169672</v>
      </c>
      <c r="AR215" s="45">
        <v>333666</v>
      </c>
      <c r="AS215" s="22">
        <v>2.0352105376327938E-4</v>
      </c>
      <c r="AT215" s="22">
        <v>0.99402847479723477</v>
      </c>
      <c r="AU215" s="22" t="s">
        <v>215</v>
      </c>
      <c r="AV215" s="22" t="s">
        <v>166</v>
      </c>
      <c r="AW215" s="22" t="s">
        <v>222</v>
      </c>
      <c r="AX215" s="23">
        <v>262</v>
      </c>
      <c r="AY215" s="24">
        <v>6.1889763779527556</v>
      </c>
      <c r="AZ215" s="23">
        <v>80</v>
      </c>
      <c r="BA215" s="26">
        <v>50</v>
      </c>
      <c r="BB215" s="44" t="s">
        <v>154</v>
      </c>
      <c r="BC215" s="26">
        <v>1.4111111111111112</v>
      </c>
      <c r="BD215" s="23">
        <v>30</v>
      </c>
      <c r="BE215" s="26">
        <v>84.666666666666671</v>
      </c>
      <c r="BF215" s="26">
        <v>127</v>
      </c>
      <c r="BG215" s="24"/>
      <c r="BI215" s="26"/>
      <c r="BJ215" s="23"/>
      <c r="BK215" s="26"/>
      <c r="BL215" s="27"/>
      <c r="BN215" s="13"/>
      <c r="BO215" s="43"/>
      <c r="BP215" s="42"/>
    </row>
    <row r="216" spans="1:68" s="1" customFormat="1" x14ac:dyDescent="0.3">
      <c r="A216" s="12" t="s">
        <v>389</v>
      </c>
      <c r="B216" s="12">
        <v>102177</v>
      </c>
      <c r="C216" s="13" t="s">
        <v>388</v>
      </c>
      <c r="D216" s="13" t="s">
        <v>53</v>
      </c>
      <c r="E216" s="14">
        <v>66</v>
      </c>
      <c r="F216" s="15" t="s">
        <v>137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25</v>
      </c>
      <c r="Q216" s="6">
        <v>239</v>
      </c>
      <c r="R216" s="6">
        <v>444</v>
      </c>
      <c r="S216" s="6">
        <v>298</v>
      </c>
      <c r="T216" s="6">
        <v>156</v>
      </c>
      <c r="U216" s="6">
        <v>252</v>
      </c>
      <c r="V216" s="6">
        <v>372</v>
      </c>
      <c r="W216" s="6">
        <v>360</v>
      </c>
      <c r="X216" s="6">
        <v>235</v>
      </c>
      <c r="Y216" s="6">
        <v>403</v>
      </c>
      <c r="Z216" s="6">
        <v>509</v>
      </c>
      <c r="AA216" s="6">
        <v>465</v>
      </c>
      <c r="AB216" s="6">
        <v>520</v>
      </c>
      <c r="AC216" s="6">
        <v>299</v>
      </c>
      <c r="AD216" s="6">
        <v>237</v>
      </c>
      <c r="AE216" s="6">
        <v>708</v>
      </c>
      <c r="AF216" s="6">
        <v>4106</v>
      </c>
      <c r="AG216" s="16">
        <v>4814</v>
      </c>
      <c r="AH216" s="17">
        <v>59</v>
      </c>
      <c r="AI216" s="17">
        <v>342.16666666666669</v>
      </c>
      <c r="AJ216" s="17">
        <v>200.58333333333334</v>
      </c>
      <c r="AK216" s="49">
        <v>1.1818609898039734E-3</v>
      </c>
      <c r="AL216" s="48">
        <v>116.22926664245297</v>
      </c>
      <c r="AM216" s="19">
        <v>191.42620707108833</v>
      </c>
      <c r="AN216" s="47">
        <v>0.33968611780551278</v>
      </c>
      <c r="AO216" s="20">
        <v>0.95434752175033644</v>
      </c>
      <c r="AP216" s="44">
        <v>4.7994350282485883</v>
      </c>
      <c r="AQ216" s="46">
        <v>270996</v>
      </c>
      <c r="AR216" s="45">
        <v>317724</v>
      </c>
      <c r="AS216" s="22">
        <v>1.9379716029168146E-4</v>
      </c>
      <c r="AT216" s="22">
        <v>0.99422227195752644</v>
      </c>
      <c r="AU216" s="22" t="s">
        <v>215</v>
      </c>
      <c r="AV216" s="22" t="s">
        <v>166</v>
      </c>
      <c r="AW216" s="22" t="s">
        <v>222</v>
      </c>
      <c r="AX216" s="23">
        <v>521</v>
      </c>
      <c r="AY216" s="24">
        <v>1.5226497808085728</v>
      </c>
      <c r="AZ216" s="23">
        <v>285</v>
      </c>
      <c r="BA216" s="26">
        <v>220</v>
      </c>
      <c r="BB216" s="44" t="s">
        <v>154</v>
      </c>
      <c r="BC216" s="26">
        <v>11.405555555555557</v>
      </c>
      <c r="BD216" s="23">
        <v>30</v>
      </c>
      <c r="BE216" s="26">
        <v>684.33333333333337</v>
      </c>
      <c r="BF216" s="26">
        <v>1026.5</v>
      </c>
      <c r="BG216" s="24"/>
      <c r="BI216" s="26"/>
      <c r="BJ216" s="23"/>
      <c r="BK216" s="26"/>
      <c r="BL216" s="27"/>
      <c r="BN216" s="13"/>
      <c r="BO216" s="43"/>
      <c r="BP216" s="42"/>
    </row>
    <row r="217" spans="1:68" s="1" customFormat="1" x14ac:dyDescent="0.3">
      <c r="A217" s="12" t="s">
        <v>387</v>
      </c>
      <c r="B217" s="12">
        <v>422005</v>
      </c>
      <c r="C217" s="13" t="s">
        <v>386</v>
      </c>
      <c r="D217" s="13" t="s">
        <v>339</v>
      </c>
      <c r="E217" s="14">
        <v>1666</v>
      </c>
      <c r="F217" s="15" t="s">
        <v>137</v>
      </c>
      <c r="G217" s="6">
        <v>4</v>
      </c>
      <c r="H217" s="6">
        <v>10</v>
      </c>
      <c r="I217" s="6">
        <v>4</v>
      </c>
      <c r="J217" s="6">
        <v>1</v>
      </c>
      <c r="K217" s="6">
        <v>0</v>
      </c>
      <c r="L217" s="6">
        <v>8</v>
      </c>
      <c r="M217" s="6">
        <v>7</v>
      </c>
      <c r="N217" s="6">
        <v>20</v>
      </c>
      <c r="O217" s="6">
        <v>12</v>
      </c>
      <c r="P217" s="6">
        <v>5</v>
      </c>
      <c r="Q217" s="6">
        <v>7</v>
      </c>
      <c r="R217" s="6">
        <v>0</v>
      </c>
      <c r="S217" s="6">
        <v>2</v>
      </c>
      <c r="T217" s="6">
        <v>7</v>
      </c>
      <c r="U217" s="6">
        <v>21</v>
      </c>
      <c r="V217" s="6">
        <v>6</v>
      </c>
      <c r="W217" s="6">
        <v>0</v>
      </c>
      <c r="X217" s="6">
        <v>9</v>
      </c>
      <c r="Y217" s="6">
        <v>12</v>
      </c>
      <c r="Z217" s="6">
        <v>16</v>
      </c>
      <c r="AA217" s="6">
        <v>3</v>
      </c>
      <c r="AB217" s="6">
        <v>4</v>
      </c>
      <c r="AC217" s="6">
        <v>0</v>
      </c>
      <c r="AD217" s="6">
        <v>24</v>
      </c>
      <c r="AE217" s="6">
        <v>78</v>
      </c>
      <c r="AF217" s="6">
        <v>104</v>
      </c>
      <c r="AG217" s="16">
        <v>182</v>
      </c>
      <c r="AH217" s="17">
        <v>6.5</v>
      </c>
      <c r="AI217" s="17">
        <v>8.6666666666666661</v>
      </c>
      <c r="AJ217" s="17">
        <v>7.583333333333333</v>
      </c>
      <c r="AK217" s="49">
        <v>2.9935105440724122E-5</v>
      </c>
      <c r="AL217" s="48">
        <v>8.0377895348199182</v>
      </c>
      <c r="AM217" s="19">
        <v>6.9025305168634992</v>
      </c>
      <c r="AN217" s="47">
        <v>0.92743725401768295</v>
      </c>
      <c r="AO217" s="20">
        <v>0.91022380442156037</v>
      </c>
      <c r="AP217" s="44">
        <v>0.33333333333333326</v>
      </c>
      <c r="AQ217" s="46">
        <v>173264</v>
      </c>
      <c r="AR217" s="45">
        <v>303212</v>
      </c>
      <c r="AS217" s="22">
        <v>1.8494550165036735E-4</v>
      </c>
      <c r="AT217" s="22">
        <v>0.99478401985608722</v>
      </c>
      <c r="AU217" s="22" t="s">
        <v>215</v>
      </c>
      <c r="AV217" s="22" t="s">
        <v>166</v>
      </c>
      <c r="AW217" s="22" t="s">
        <v>222</v>
      </c>
      <c r="AX217" s="23">
        <v>31</v>
      </c>
      <c r="AY217" s="24">
        <v>3.5769230769230771</v>
      </c>
      <c r="AZ217" s="23">
        <v>28</v>
      </c>
      <c r="BA217" s="26">
        <v>14</v>
      </c>
      <c r="BB217" s="44" t="s">
        <v>154</v>
      </c>
      <c r="BC217" s="26">
        <v>0.28888888888888886</v>
      </c>
      <c r="BD217" s="23">
        <v>30</v>
      </c>
      <c r="BE217" s="26">
        <v>17.333333333333332</v>
      </c>
      <c r="BF217" s="26">
        <v>26</v>
      </c>
      <c r="BG217" s="24"/>
      <c r="BI217" s="26"/>
      <c r="BJ217" s="23"/>
      <c r="BK217" s="26"/>
      <c r="BL217" s="27"/>
      <c r="BN217" s="13"/>
      <c r="BO217" s="43"/>
      <c r="BP217" s="42"/>
    </row>
    <row r="218" spans="1:68" s="1" customFormat="1" x14ac:dyDescent="0.3">
      <c r="A218" s="12" t="s">
        <v>385</v>
      </c>
      <c r="B218" s="12">
        <v>102159</v>
      </c>
      <c r="C218" s="13" t="s">
        <v>384</v>
      </c>
      <c r="D218" s="13" t="s">
        <v>44</v>
      </c>
      <c r="E218" s="14">
        <v>7364</v>
      </c>
      <c r="F218" s="15" t="s">
        <v>137</v>
      </c>
      <c r="G218" s="6">
        <v>3</v>
      </c>
      <c r="H218" s="6">
        <v>8</v>
      </c>
      <c r="I218" s="6">
        <v>1</v>
      </c>
      <c r="J218" s="6">
        <v>2</v>
      </c>
      <c r="K218" s="6">
        <v>0</v>
      </c>
      <c r="L218" s="6">
        <v>3</v>
      </c>
      <c r="M218" s="6">
        <v>1</v>
      </c>
      <c r="N218" s="6">
        <v>2</v>
      </c>
      <c r="O218" s="6">
        <v>0</v>
      </c>
      <c r="P218" s="6">
        <v>5</v>
      </c>
      <c r="Q218" s="6">
        <v>0</v>
      </c>
      <c r="R218" s="6">
        <v>0</v>
      </c>
      <c r="S218" s="6">
        <v>2</v>
      </c>
      <c r="T218" s="6">
        <v>1</v>
      </c>
      <c r="U218" s="6">
        <v>2</v>
      </c>
      <c r="V218" s="6">
        <v>0</v>
      </c>
      <c r="W218" s="6">
        <v>6</v>
      </c>
      <c r="X218" s="6">
        <v>0</v>
      </c>
      <c r="Y218" s="6">
        <v>1</v>
      </c>
      <c r="Z218" s="6">
        <v>0</v>
      </c>
      <c r="AA218" s="6">
        <v>3</v>
      </c>
      <c r="AB218" s="6">
        <v>0</v>
      </c>
      <c r="AC218" s="6">
        <v>1</v>
      </c>
      <c r="AD218" s="6">
        <v>0</v>
      </c>
      <c r="AE218" s="6">
        <v>25</v>
      </c>
      <c r="AF218" s="6">
        <v>16</v>
      </c>
      <c r="AG218" s="16">
        <v>41</v>
      </c>
      <c r="AH218" s="17">
        <v>2.0833333333333335</v>
      </c>
      <c r="AI218" s="17">
        <v>1.3333333333333333</v>
      </c>
      <c r="AJ218" s="17">
        <v>1.7083333333333335</v>
      </c>
      <c r="AK218" s="49">
        <v>4.6054008370344805E-6</v>
      </c>
      <c r="AL218" s="48">
        <v>1.7752507291971891</v>
      </c>
      <c r="AM218" s="19">
        <v>2.1157621027332723</v>
      </c>
      <c r="AN218" s="47">
        <v>1.3314380468978919</v>
      </c>
      <c r="AO218" s="20">
        <v>1.2384948894048422</v>
      </c>
      <c r="AP218" s="44">
        <v>-0.3600000000000001</v>
      </c>
      <c r="AQ218" s="46">
        <v>117824</v>
      </c>
      <c r="AR218" s="45">
        <v>301924</v>
      </c>
      <c r="AS218" s="22">
        <v>1.8415988034868513E-4</v>
      </c>
      <c r="AT218" s="22">
        <v>0.99496817973643592</v>
      </c>
      <c r="AU218" s="22" t="s">
        <v>215</v>
      </c>
      <c r="AV218" s="22" t="s">
        <v>166</v>
      </c>
      <c r="AW218" s="22" t="s">
        <v>222</v>
      </c>
      <c r="AX218" s="23">
        <v>17</v>
      </c>
      <c r="AY218" s="24">
        <v>12.75</v>
      </c>
      <c r="AZ218" s="23">
        <v>4</v>
      </c>
      <c r="BA218" s="26">
        <v>2</v>
      </c>
      <c r="BB218" s="44" t="s">
        <v>154</v>
      </c>
      <c r="BC218" s="26">
        <v>4.4444444444444439E-2</v>
      </c>
      <c r="BD218" s="23">
        <v>30</v>
      </c>
      <c r="BE218" s="26">
        <v>2.6666666666666665</v>
      </c>
      <c r="BF218" s="26">
        <v>4</v>
      </c>
      <c r="BG218" s="24"/>
      <c r="BI218" s="26"/>
      <c r="BJ218" s="23"/>
      <c r="BK218" s="26"/>
      <c r="BL218" s="27"/>
      <c r="BN218" s="13"/>
      <c r="BO218" s="43"/>
      <c r="BP218" s="42"/>
    </row>
    <row r="219" spans="1:68" s="1" customFormat="1" x14ac:dyDescent="0.3">
      <c r="A219" s="12" t="s">
        <v>383</v>
      </c>
      <c r="B219" s="12">
        <v>104017</v>
      </c>
      <c r="C219" s="13" t="s">
        <v>382</v>
      </c>
      <c r="D219" s="13" t="s">
        <v>53</v>
      </c>
      <c r="E219" s="14">
        <v>84</v>
      </c>
      <c r="F219" s="15" t="s">
        <v>137</v>
      </c>
      <c r="G219" s="6">
        <v>324</v>
      </c>
      <c r="H219" s="6">
        <v>154</v>
      </c>
      <c r="I219" s="6">
        <v>155</v>
      </c>
      <c r="J219" s="6">
        <v>190</v>
      </c>
      <c r="K219" s="6">
        <v>106</v>
      </c>
      <c r="L219" s="6">
        <v>85</v>
      </c>
      <c r="M219" s="6">
        <v>161</v>
      </c>
      <c r="N219" s="6">
        <v>244</v>
      </c>
      <c r="O219" s="6">
        <v>144</v>
      </c>
      <c r="P219" s="6">
        <v>113</v>
      </c>
      <c r="Q219" s="6">
        <v>198</v>
      </c>
      <c r="R219" s="6">
        <v>0</v>
      </c>
      <c r="S219" s="6">
        <v>98</v>
      </c>
      <c r="T219" s="6">
        <v>61</v>
      </c>
      <c r="U219" s="6">
        <v>18</v>
      </c>
      <c r="V219" s="6">
        <v>49</v>
      </c>
      <c r="W219" s="6">
        <v>118</v>
      </c>
      <c r="X219" s="6">
        <v>146</v>
      </c>
      <c r="Y219" s="6">
        <v>97</v>
      </c>
      <c r="Z219" s="6">
        <v>156</v>
      </c>
      <c r="AA219" s="6">
        <v>113</v>
      </c>
      <c r="AB219" s="6">
        <v>233</v>
      </c>
      <c r="AC219" s="6">
        <v>205</v>
      </c>
      <c r="AD219" s="6">
        <v>254</v>
      </c>
      <c r="AE219" s="6">
        <v>1874</v>
      </c>
      <c r="AF219" s="6">
        <v>1548</v>
      </c>
      <c r="AG219" s="16">
        <v>3422</v>
      </c>
      <c r="AH219" s="17">
        <v>156.16666666666666</v>
      </c>
      <c r="AI219" s="17">
        <v>129</v>
      </c>
      <c r="AJ219" s="17">
        <v>142.58333333333331</v>
      </c>
      <c r="AK219" s="49">
        <v>4.4557253098308599E-4</v>
      </c>
      <c r="AL219" s="48">
        <v>73.200844505809059</v>
      </c>
      <c r="AM219" s="19">
        <v>76.940924072313095</v>
      </c>
      <c r="AN219" s="47">
        <v>0.56744840702177568</v>
      </c>
      <c r="AO219" s="20">
        <v>0.53962074159424733</v>
      </c>
      <c r="AP219" s="44">
        <v>-0.17395944503735319</v>
      </c>
      <c r="AQ219" s="46">
        <v>130032</v>
      </c>
      <c r="AR219" s="45">
        <v>287448</v>
      </c>
      <c r="AS219" s="22">
        <v>1.7533018006673481E-4</v>
      </c>
      <c r="AT219" s="22">
        <v>0.99514350991650269</v>
      </c>
      <c r="AU219" s="22" t="s">
        <v>215</v>
      </c>
      <c r="AV219" s="22" t="s">
        <v>166</v>
      </c>
      <c r="AW219" s="22" t="s">
        <v>222</v>
      </c>
      <c r="AX219" s="23">
        <v>144</v>
      </c>
      <c r="AY219" s="24">
        <v>1.1162790697674418</v>
      </c>
      <c r="AZ219" s="23">
        <v>350</v>
      </c>
      <c r="BA219" s="26">
        <v>200</v>
      </c>
      <c r="BB219" s="44" t="s">
        <v>198</v>
      </c>
      <c r="BC219" s="26">
        <v>4.3</v>
      </c>
      <c r="BD219" s="23">
        <v>30</v>
      </c>
      <c r="BE219" s="26">
        <v>258</v>
      </c>
      <c r="BF219" s="26">
        <v>387</v>
      </c>
      <c r="BG219" s="24"/>
      <c r="BI219" s="26"/>
      <c r="BJ219" s="23"/>
      <c r="BK219" s="26"/>
      <c r="BL219" s="27"/>
      <c r="BN219" s="13"/>
      <c r="BO219" s="43"/>
      <c r="BP219" s="42"/>
    </row>
    <row r="220" spans="1:68" s="1" customFormat="1" x14ac:dyDescent="0.3">
      <c r="A220" s="12" t="s">
        <v>381</v>
      </c>
      <c r="B220" s="12">
        <v>106035</v>
      </c>
      <c r="C220" s="13" t="s">
        <v>380</v>
      </c>
      <c r="D220" s="13" t="s">
        <v>44</v>
      </c>
      <c r="E220" s="14">
        <v>4060</v>
      </c>
      <c r="F220" s="15" t="s">
        <v>137</v>
      </c>
      <c r="G220" s="6">
        <v>1</v>
      </c>
      <c r="H220" s="6">
        <v>1</v>
      </c>
      <c r="I220" s="6">
        <v>0</v>
      </c>
      <c r="J220" s="6">
        <v>4</v>
      </c>
      <c r="K220" s="6">
        <v>3</v>
      </c>
      <c r="L220" s="6">
        <v>1</v>
      </c>
      <c r="M220" s="6">
        <v>5</v>
      </c>
      <c r="N220" s="6">
        <v>1</v>
      </c>
      <c r="O220" s="6">
        <v>4</v>
      </c>
      <c r="P220" s="6">
        <v>7</v>
      </c>
      <c r="Q220" s="6">
        <v>7</v>
      </c>
      <c r="R220" s="6">
        <v>2</v>
      </c>
      <c r="S220" s="6">
        <v>2</v>
      </c>
      <c r="T220" s="6">
        <v>0</v>
      </c>
      <c r="U220" s="6">
        <v>0</v>
      </c>
      <c r="V220" s="6">
        <v>9</v>
      </c>
      <c r="W220" s="6">
        <v>0</v>
      </c>
      <c r="X220" s="6">
        <v>0</v>
      </c>
      <c r="Y220" s="6">
        <v>8</v>
      </c>
      <c r="Z220" s="6">
        <v>10</v>
      </c>
      <c r="AA220" s="6">
        <v>4</v>
      </c>
      <c r="AB220" s="6">
        <v>0</v>
      </c>
      <c r="AC220" s="6">
        <v>1</v>
      </c>
      <c r="AD220" s="6">
        <v>0</v>
      </c>
      <c r="AE220" s="6">
        <v>36</v>
      </c>
      <c r="AF220" s="6">
        <v>34</v>
      </c>
      <c r="AG220" s="16">
        <v>70</v>
      </c>
      <c r="AH220" s="17">
        <v>3</v>
      </c>
      <c r="AI220" s="17">
        <v>2.8333333333333335</v>
      </c>
      <c r="AJ220" s="17">
        <v>2.916666666666667</v>
      </c>
      <c r="AK220" s="49">
        <v>9.7864767786982707E-6</v>
      </c>
      <c r="AL220" s="48">
        <v>3.9273709303097952</v>
      </c>
      <c r="AM220" s="19">
        <v>3.1885210782848321</v>
      </c>
      <c r="AN220" s="47">
        <v>1.3861309165799276</v>
      </c>
      <c r="AO220" s="20">
        <v>1.0932072268405137</v>
      </c>
      <c r="AP220" s="44">
        <v>-5.5555555555555504E-2</v>
      </c>
      <c r="AQ220" s="46">
        <v>138040</v>
      </c>
      <c r="AR220" s="45">
        <v>284200</v>
      </c>
      <c r="AS220" s="22">
        <v>1.7334904808857961E-4</v>
      </c>
      <c r="AT220" s="22">
        <v>0.99531685896459132</v>
      </c>
      <c r="AU220" s="22" t="s">
        <v>215</v>
      </c>
      <c r="AV220" s="22" t="s">
        <v>166</v>
      </c>
      <c r="AW220" s="22" t="s">
        <v>222</v>
      </c>
      <c r="AX220" s="23">
        <v>3</v>
      </c>
      <c r="AY220" s="24">
        <v>1.0588235294117647</v>
      </c>
      <c r="AZ220" s="23">
        <v>0</v>
      </c>
      <c r="BA220" s="26">
        <v>0</v>
      </c>
      <c r="BB220" s="44" t="s">
        <v>154</v>
      </c>
      <c r="BC220" s="26">
        <v>9.4444444444444456E-2</v>
      </c>
      <c r="BD220" s="23">
        <v>30</v>
      </c>
      <c r="BE220" s="26">
        <v>5.666666666666667</v>
      </c>
      <c r="BF220" s="26">
        <v>8.5</v>
      </c>
      <c r="BG220" s="24"/>
      <c r="BI220" s="26"/>
      <c r="BJ220" s="23"/>
      <c r="BK220" s="26"/>
      <c r="BL220" s="27"/>
      <c r="BN220" s="13"/>
      <c r="BO220" s="43"/>
      <c r="BP220" s="42"/>
    </row>
    <row r="221" spans="1:68" s="1" customFormat="1" x14ac:dyDescent="0.3">
      <c r="A221" s="12" t="s">
        <v>379</v>
      </c>
      <c r="B221" s="12">
        <v>106044</v>
      </c>
      <c r="C221" s="13" t="s">
        <v>378</v>
      </c>
      <c r="D221" s="13" t="s">
        <v>44</v>
      </c>
      <c r="E221" s="14">
        <v>117</v>
      </c>
      <c r="F221" s="15" t="s">
        <v>137</v>
      </c>
      <c r="G221" s="6">
        <v>102</v>
      </c>
      <c r="H221" s="6">
        <v>105</v>
      </c>
      <c r="I221" s="6">
        <v>190</v>
      </c>
      <c r="J221" s="6">
        <v>44</v>
      </c>
      <c r="K221" s="6">
        <v>122</v>
      </c>
      <c r="L221" s="6">
        <v>114</v>
      </c>
      <c r="M221" s="6">
        <v>66</v>
      </c>
      <c r="N221" s="6">
        <v>99</v>
      </c>
      <c r="O221" s="6">
        <v>62</v>
      </c>
      <c r="P221" s="6">
        <v>133</v>
      </c>
      <c r="Q221" s="6">
        <v>76</v>
      </c>
      <c r="R221" s="6">
        <v>173</v>
      </c>
      <c r="S221" s="6">
        <v>155</v>
      </c>
      <c r="T221" s="6">
        <v>186</v>
      </c>
      <c r="U221" s="6">
        <v>56</v>
      </c>
      <c r="V221" s="6">
        <v>160</v>
      </c>
      <c r="W221" s="6">
        <v>96</v>
      </c>
      <c r="X221" s="6">
        <v>20</v>
      </c>
      <c r="Y221" s="6">
        <v>93</v>
      </c>
      <c r="Z221" s="6">
        <v>38</v>
      </c>
      <c r="AA221" s="6">
        <v>58</v>
      </c>
      <c r="AB221" s="6">
        <v>95</v>
      </c>
      <c r="AC221" s="6">
        <v>74</v>
      </c>
      <c r="AD221" s="6">
        <v>27</v>
      </c>
      <c r="AE221" s="6">
        <v>1286</v>
      </c>
      <c r="AF221" s="6">
        <v>1058</v>
      </c>
      <c r="AG221" s="16">
        <v>2344</v>
      </c>
      <c r="AH221" s="17">
        <v>107.16666666666667</v>
      </c>
      <c r="AI221" s="17">
        <v>88.166666666666671</v>
      </c>
      <c r="AJ221" s="17">
        <v>97.666666666666671</v>
      </c>
      <c r="AK221" s="49">
        <v>3.04532130348905E-4</v>
      </c>
      <c r="AL221" s="48">
        <v>54.255009543875865</v>
      </c>
      <c r="AM221" s="19">
        <v>49.10916558981161</v>
      </c>
      <c r="AN221" s="47">
        <v>0.61536872828592659</v>
      </c>
      <c r="AO221" s="20">
        <v>0.50282422105609159</v>
      </c>
      <c r="AP221" s="44">
        <v>-0.17729393468118196</v>
      </c>
      <c r="AQ221" s="46">
        <v>123786</v>
      </c>
      <c r="AR221" s="45">
        <v>274248</v>
      </c>
      <c r="AS221" s="22">
        <v>1.6727878163334546E-4</v>
      </c>
      <c r="AT221" s="22">
        <v>0.99548413774622468</v>
      </c>
      <c r="AU221" s="22" t="s">
        <v>215</v>
      </c>
      <c r="AV221" s="22" t="s">
        <v>166</v>
      </c>
      <c r="AW221" s="22" t="s">
        <v>222</v>
      </c>
      <c r="AX221" s="23">
        <v>2967</v>
      </c>
      <c r="AY221" s="24">
        <v>33.652173913043477</v>
      </c>
      <c r="AZ221" s="23">
        <v>87</v>
      </c>
      <c r="BA221" s="26">
        <v>50</v>
      </c>
      <c r="BB221" s="44" t="s">
        <v>154</v>
      </c>
      <c r="BC221" s="26">
        <v>2.9388888888888891</v>
      </c>
      <c r="BD221" s="23">
        <v>30</v>
      </c>
      <c r="BE221" s="26">
        <v>176.33333333333334</v>
      </c>
      <c r="BF221" s="26">
        <v>264.5</v>
      </c>
      <c r="BG221" s="24"/>
      <c r="BI221" s="26"/>
      <c r="BJ221" s="23"/>
      <c r="BK221" s="26"/>
      <c r="BL221" s="27"/>
      <c r="BN221" s="13"/>
      <c r="BO221" s="43"/>
      <c r="BP221" s="42"/>
    </row>
    <row r="222" spans="1:68" s="1" customFormat="1" x14ac:dyDescent="0.3">
      <c r="A222" s="12" t="s">
        <v>377</v>
      </c>
      <c r="B222" s="12">
        <v>102031</v>
      </c>
      <c r="C222" s="13" t="s">
        <v>376</v>
      </c>
      <c r="D222" s="13" t="s">
        <v>44</v>
      </c>
      <c r="E222" s="14">
        <v>470</v>
      </c>
      <c r="F222" s="15" t="s">
        <v>137</v>
      </c>
      <c r="G222" s="6">
        <v>36</v>
      </c>
      <c r="H222" s="6">
        <v>7</v>
      </c>
      <c r="I222" s="6">
        <v>13</v>
      </c>
      <c r="J222" s="6">
        <v>24</v>
      </c>
      <c r="K222" s="6">
        <v>6</v>
      </c>
      <c r="L222" s="6">
        <v>44</v>
      </c>
      <c r="M222" s="6">
        <v>22</v>
      </c>
      <c r="N222" s="6">
        <v>1</v>
      </c>
      <c r="O222" s="6">
        <v>8</v>
      </c>
      <c r="P222" s="6">
        <v>17</v>
      </c>
      <c r="Q222" s="6">
        <v>1</v>
      </c>
      <c r="R222" s="6">
        <v>50</v>
      </c>
      <c r="S222" s="6">
        <v>30</v>
      </c>
      <c r="T222" s="6">
        <v>6</v>
      </c>
      <c r="U222" s="6">
        <v>17</v>
      </c>
      <c r="V222" s="6">
        <v>13</v>
      </c>
      <c r="W222" s="6">
        <v>97</v>
      </c>
      <c r="X222" s="6">
        <v>56</v>
      </c>
      <c r="Y222" s="6">
        <v>6</v>
      </c>
      <c r="Z222" s="6">
        <v>26</v>
      </c>
      <c r="AA222" s="6">
        <v>7</v>
      </c>
      <c r="AB222" s="6">
        <v>52</v>
      </c>
      <c r="AC222" s="6">
        <v>18</v>
      </c>
      <c r="AD222" s="6">
        <v>25</v>
      </c>
      <c r="AE222" s="6">
        <v>229</v>
      </c>
      <c r="AF222" s="6">
        <v>353</v>
      </c>
      <c r="AG222" s="16">
        <v>582</v>
      </c>
      <c r="AH222" s="17">
        <v>19.083333333333332</v>
      </c>
      <c r="AI222" s="17">
        <v>29.416666666666668</v>
      </c>
      <c r="AJ222" s="17">
        <v>24.25</v>
      </c>
      <c r="AK222" s="49">
        <v>1.0160665596707322E-4</v>
      </c>
      <c r="AL222" s="48">
        <v>26.915552561613325</v>
      </c>
      <c r="AM222" s="19">
        <v>22.496859684235353</v>
      </c>
      <c r="AN222" s="47">
        <v>0.91497629104634526</v>
      </c>
      <c r="AO222" s="20">
        <v>0.92770555398908672</v>
      </c>
      <c r="AP222" s="44">
        <v>0.54148471615720539</v>
      </c>
      <c r="AQ222" s="46">
        <v>165910</v>
      </c>
      <c r="AR222" s="45">
        <v>273540</v>
      </c>
      <c r="AS222" s="22">
        <v>1.6684693389919095E-4</v>
      </c>
      <c r="AT222" s="22">
        <v>0.99565098468012392</v>
      </c>
      <c r="AU222" s="22" t="s">
        <v>215</v>
      </c>
      <c r="AV222" s="22" t="s">
        <v>166</v>
      </c>
      <c r="AW222" s="22" t="s">
        <v>222</v>
      </c>
      <c r="AX222" s="23">
        <v>253</v>
      </c>
      <c r="AY222" s="24">
        <v>8.6005665722379607</v>
      </c>
      <c r="AZ222" s="23">
        <v>35</v>
      </c>
      <c r="BA222" s="26">
        <v>20</v>
      </c>
      <c r="BB222" s="44" t="s">
        <v>154</v>
      </c>
      <c r="BC222" s="26">
        <v>0.98055555555555562</v>
      </c>
      <c r="BD222" s="23">
        <v>30</v>
      </c>
      <c r="BE222" s="26">
        <v>58.833333333333336</v>
      </c>
      <c r="BF222" s="26">
        <v>88.25</v>
      </c>
      <c r="BG222" s="24"/>
      <c r="BI222" s="26"/>
      <c r="BJ222" s="23"/>
      <c r="BK222" s="26"/>
      <c r="BL222" s="27"/>
      <c r="BN222" s="13"/>
      <c r="BO222" s="43"/>
      <c r="BP222" s="42"/>
    </row>
    <row r="223" spans="1:68" s="1" customFormat="1" x14ac:dyDescent="0.3">
      <c r="A223" s="12" t="s">
        <v>375</v>
      </c>
      <c r="B223" s="12">
        <v>106081</v>
      </c>
      <c r="C223" s="13" t="s">
        <v>374</v>
      </c>
      <c r="D223" s="13" t="s">
        <v>47</v>
      </c>
      <c r="E223" s="14">
        <v>2694</v>
      </c>
      <c r="F223" s="15" t="s">
        <v>137</v>
      </c>
      <c r="G223" s="6">
        <v>4</v>
      </c>
      <c r="H223" s="6">
        <v>3</v>
      </c>
      <c r="I223" s="6">
        <v>9</v>
      </c>
      <c r="J223" s="6">
        <v>5</v>
      </c>
      <c r="K223" s="6">
        <v>5</v>
      </c>
      <c r="L223" s="6">
        <v>3</v>
      </c>
      <c r="M223" s="6">
        <v>10</v>
      </c>
      <c r="N223" s="6">
        <v>8</v>
      </c>
      <c r="O223" s="6">
        <v>3</v>
      </c>
      <c r="P223" s="6">
        <v>6</v>
      </c>
      <c r="Q223" s="6">
        <v>8</v>
      </c>
      <c r="R223" s="6">
        <v>4</v>
      </c>
      <c r="S223" s="6">
        <v>4</v>
      </c>
      <c r="T223" s="6">
        <v>6</v>
      </c>
      <c r="U223" s="6">
        <v>17</v>
      </c>
      <c r="V223" s="6">
        <v>2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68</v>
      </c>
      <c r="AF223" s="6">
        <v>29</v>
      </c>
      <c r="AG223" s="16">
        <v>97</v>
      </c>
      <c r="AH223" s="17">
        <v>5.666666666666667</v>
      </c>
      <c r="AI223" s="17">
        <v>2.4166666666666665</v>
      </c>
      <c r="AJ223" s="17">
        <v>4.041666666666667</v>
      </c>
      <c r="AK223" s="49">
        <v>8.3472890171249958E-6</v>
      </c>
      <c r="AL223" s="48">
        <v>4.9992423668416244</v>
      </c>
      <c r="AM223" s="19">
        <v>4.20640470945321</v>
      </c>
      <c r="AN223" s="47">
        <v>2.0686520138655</v>
      </c>
      <c r="AO223" s="20">
        <v>1.0407599281121342</v>
      </c>
      <c r="AP223" s="44">
        <v>-0.57352941176470595</v>
      </c>
      <c r="AQ223" s="46">
        <v>78126</v>
      </c>
      <c r="AR223" s="45">
        <v>261318</v>
      </c>
      <c r="AS223" s="22">
        <v>1.5939207089518453E-4</v>
      </c>
      <c r="AT223" s="22">
        <v>0.99597553777088277</v>
      </c>
      <c r="AU223" s="22" t="s">
        <v>215</v>
      </c>
      <c r="AV223" s="22" t="s">
        <v>166</v>
      </c>
      <c r="AW223" s="22" t="s">
        <v>222</v>
      </c>
      <c r="AX223" s="23">
        <v>30</v>
      </c>
      <c r="AY223" s="24">
        <v>12.413793103448276</v>
      </c>
      <c r="AZ223" s="23">
        <v>7</v>
      </c>
      <c r="BA223" s="26">
        <v>4</v>
      </c>
      <c r="BB223" s="44" t="s">
        <v>154</v>
      </c>
      <c r="BC223" s="26">
        <v>8.0555555555555547E-2</v>
      </c>
      <c r="BD223" s="23">
        <v>30</v>
      </c>
      <c r="BE223" s="26">
        <v>4.833333333333333</v>
      </c>
      <c r="BF223" s="26">
        <v>7.25</v>
      </c>
      <c r="BG223" s="24"/>
      <c r="BI223" s="26"/>
      <c r="BJ223" s="23"/>
      <c r="BK223" s="26"/>
      <c r="BL223" s="27"/>
      <c r="BN223" s="13"/>
      <c r="BO223" s="43"/>
      <c r="BP223" s="42"/>
    </row>
    <row r="224" spans="1:68" s="1" customFormat="1" x14ac:dyDescent="0.3">
      <c r="A224" s="12" t="s">
        <v>373</v>
      </c>
      <c r="B224" s="12">
        <v>108001</v>
      </c>
      <c r="C224" s="13" t="s">
        <v>372</v>
      </c>
      <c r="D224" s="13" t="s">
        <v>62</v>
      </c>
      <c r="E224" s="14">
        <v>4820</v>
      </c>
      <c r="F224" s="15" t="s">
        <v>137</v>
      </c>
      <c r="G224" s="6">
        <v>0</v>
      </c>
      <c r="H224" s="6">
        <v>0</v>
      </c>
      <c r="I224" s="6">
        <v>0</v>
      </c>
      <c r="J224" s="6">
        <v>3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30</v>
      </c>
      <c r="X224" s="6">
        <v>8</v>
      </c>
      <c r="Y224" s="6">
        <v>0</v>
      </c>
      <c r="Z224" s="6">
        <v>5</v>
      </c>
      <c r="AA224" s="6">
        <v>0</v>
      </c>
      <c r="AB224" s="6">
        <v>3</v>
      </c>
      <c r="AC224" s="6">
        <v>0</v>
      </c>
      <c r="AD224" s="6">
        <v>4</v>
      </c>
      <c r="AE224" s="6">
        <v>3</v>
      </c>
      <c r="AF224" s="6">
        <v>50</v>
      </c>
      <c r="AG224" s="16">
        <v>53</v>
      </c>
      <c r="AH224" s="17">
        <v>0.25</v>
      </c>
      <c r="AI224" s="17">
        <v>4.166666666666667</v>
      </c>
      <c r="AJ224" s="17">
        <v>2.2083333333333335</v>
      </c>
      <c r="AK224" s="49">
        <v>1.4391877615732751E-5</v>
      </c>
      <c r="AL224" s="48">
        <v>8.5581787923847585</v>
      </c>
      <c r="AM224" s="19">
        <v>6.2761049030129499</v>
      </c>
      <c r="AN224" s="47">
        <v>2.0539629101723418</v>
      </c>
      <c r="AO224" s="20">
        <v>2.8420097674020903</v>
      </c>
      <c r="AP224" s="44">
        <v>15.666666666666668</v>
      </c>
      <c r="AQ224" s="46">
        <v>241000</v>
      </c>
      <c r="AR224" s="45">
        <v>255460</v>
      </c>
      <c r="AS224" s="22">
        <v>1.5581895786315463E-4</v>
      </c>
      <c r="AT224" s="22">
        <v>0.99613135672874598</v>
      </c>
      <c r="AU224" s="22" t="s">
        <v>215</v>
      </c>
      <c r="AV224" s="22" t="s">
        <v>166</v>
      </c>
      <c r="AW224" s="22" t="s">
        <v>222</v>
      </c>
      <c r="AX224" s="23">
        <v>0</v>
      </c>
      <c r="AY224" s="24">
        <v>0</v>
      </c>
      <c r="AZ224" s="23">
        <v>10</v>
      </c>
      <c r="BA224" s="26">
        <v>3</v>
      </c>
      <c r="BB224" s="44" t="s">
        <v>198</v>
      </c>
      <c r="BC224" s="26">
        <v>0.1388888888888889</v>
      </c>
      <c r="BD224" s="23">
        <v>30</v>
      </c>
      <c r="BE224" s="26">
        <v>8.3333333333333339</v>
      </c>
      <c r="BF224" s="26">
        <v>12.5</v>
      </c>
      <c r="BG224" s="24"/>
      <c r="BI224" s="26"/>
      <c r="BJ224" s="23"/>
      <c r="BK224" s="26"/>
      <c r="BL224" s="27"/>
      <c r="BN224" s="13"/>
      <c r="BO224" s="43"/>
      <c r="BP224" s="42"/>
    </row>
    <row r="225" spans="1:68" s="1" customFormat="1" x14ac:dyDescent="0.3">
      <c r="A225" s="12" t="s">
        <v>371</v>
      </c>
      <c r="B225" s="12">
        <v>106022</v>
      </c>
      <c r="C225" s="13" t="s">
        <v>370</v>
      </c>
      <c r="D225" s="13" t="s">
        <v>55</v>
      </c>
      <c r="E225" s="14">
        <v>2380</v>
      </c>
      <c r="F225" s="15" t="s">
        <v>137</v>
      </c>
      <c r="G225" s="6">
        <v>1</v>
      </c>
      <c r="H225" s="6">
        <v>0</v>
      </c>
      <c r="I225" s="6">
        <v>0</v>
      </c>
      <c r="J225" s="6">
        <v>4</v>
      </c>
      <c r="K225" s="6">
        <v>7</v>
      </c>
      <c r="L225" s="6">
        <v>3</v>
      </c>
      <c r="M225" s="6">
        <v>8</v>
      </c>
      <c r="N225" s="6">
        <v>39</v>
      </c>
      <c r="O225" s="6">
        <v>5</v>
      </c>
      <c r="P225" s="6">
        <v>0</v>
      </c>
      <c r="Q225" s="6">
        <v>2</v>
      </c>
      <c r="R225" s="6">
        <v>0</v>
      </c>
      <c r="S225" s="6">
        <v>16</v>
      </c>
      <c r="T225" s="6">
        <v>0</v>
      </c>
      <c r="U225" s="6">
        <v>1</v>
      </c>
      <c r="V225" s="6">
        <v>2</v>
      </c>
      <c r="W225" s="6">
        <v>3</v>
      </c>
      <c r="X225" s="6">
        <v>3</v>
      </c>
      <c r="Y225" s="6">
        <v>0</v>
      </c>
      <c r="Z225" s="6">
        <v>0</v>
      </c>
      <c r="AA225" s="6">
        <v>1</v>
      </c>
      <c r="AB225" s="6">
        <v>5</v>
      </c>
      <c r="AC225" s="6">
        <v>1</v>
      </c>
      <c r="AD225" s="6">
        <v>0</v>
      </c>
      <c r="AE225" s="6">
        <v>69</v>
      </c>
      <c r="AF225" s="6">
        <v>32</v>
      </c>
      <c r="AG225" s="16">
        <v>101</v>
      </c>
      <c r="AH225" s="17">
        <v>5.75</v>
      </c>
      <c r="AI225" s="17">
        <v>2.6666666666666665</v>
      </c>
      <c r="AJ225" s="17">
        <v>4.208333333333333</v>
      </c>
      <c r="AK225" s="49">
        <v>9.2108016740689611E-6</v>
      </c>
      <c r="AL225" s="48">
        <v>4.4789067930250637</v>
      </c>
      <c r="AM225" s="19">
        <v>8.2619040160857882</v>
      </c>
      <c r="AN225" s="47">
        <v>1.679590047384399</v>
      </c>
      <c r="AO225" s="20">
        <v>1.9632247166936527</v>
      </c>
      <c r="AP225" s="44">
        <v>-0.53623188405797106</v>
      </c>
      <c r="AQ225" s="46">
        <v>76160</v>
      </c>
      <c r="AR225" s="45">
        <v>240380</v>
      </c>
      <c r="AS225" s="22">
        <v>1.466208451074341E-4</v>
      </c>
      <c r="AT225" s="22">
        <v>0.99627797757385339</v>
      </c>
      <c r="AU225" s="22" t="s">
        <v>215</v>
      </c>
      <c r="AV225" s="22" t="s">
        <v>166</v>
      </c>
      <c r="AW225" s="22" t="s">
        <v>222</v>
      </c>
      <c r="AX225" s="23">
        <v>43</v>
      </c>
      <c r="AY225" s="24">
        <v>16.125</v>
      </c>
      <c r="AZ225" s="23">
        <v>6</v>
      </c>
      <c r="BA225" s="26">
        <v>3</v>
      </c>
      <c r="BB225" s="44" t="s">
        <v>154</v>
      </c>
      <c r="BC225" s="26">
        <v>8.8888888888888878E-2</v>
      </c>
      <c r="BD225" s="23">
        <v>30</v>
      </c>
      <c r="BE225" s="26">
        <v>5.333333333333333</v>
      </c>
      <c r="BF225" s="26">
        <v>8</v>
      </c>
      <c r="BG225" s="24"/>
      <c r="BI225" s="26"/>
      <c r="BJ225" s="23"/>
      <c r="BK225" s="26"/>
      <c r="BL225" s="27"/>
      <c r="BN225" s="13"/>
      <c r="BO225" s="43"/>
      <c r="BP225" s="42"/>
    </row>
    <row r="226" spans="1:68" s="1" customFormat="1" x14ac:dyDescent="0.3">
      <c r="A226" s="12" t="s">
        <v>369</v>
      </c>
      <c r="B226" s="12">
        <v>102179</v>
      </c>
      <c r="C226" s="13" t="s">
        <v>368</v>
      </c>
      <c r="D226" s="13" t="s">
        <v>44</v>
      </c>
      <c r="E226" s="14">
        <v>11305</v>
      </c>
      <c r="F226" s="15" t="s">
        <v>137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4</v>
      </c>
      <c r="Y226" s="6">
        <v>6</v>
      </c>
      <c r="Z226" s="6">
        <v>4</v>
      </c>
      <c r="AA226" s="6">
        <v>0</v>
      </c>
      <c r="AB226" s="6">
        <v>0</v>
      </c>
      <c r="AC226" s="6">
        <v>2</v>
      </c>
      <c r="AD226" s="6">
        <v>4</v>
      </c>
      <c r="AE226" s="6">
        <v>0</v>
      </c>
      <c r="AF226" s="6">
        <v>20</v>
      </c>
      <c r="AG226" s="16">
        <v>20</v>
      </c>
      <c r="AH226" s="17">
        <v>0</v>
      </c>
      <c r="AI226" s="17">
        <v>1.6666666666666667</v>
      </c>
      <c r="AJ226" s="17">
        <v>0.83333333333333337</v>
      </c>
      <c r="AK226" s="49">
        <v>5.7567510462931007E-6</v>
      </c>
      <c r="AL226" s="48">
        <v>2.2292817160908509</v>
      </c>
      <c r="AM226" s="19">
        <v>1.7610932046210157</v>
      </c>
      <c r="AN226" s="47">
        <v>1.3375690296545104</v>
      </c>
      <c r="AO226" s="20">
        <v>2.1133118455452187</v>
      </c>
      <c r="AP226" s="44">
        <v>0</v>
      </c>
      <c r="AQ226" s="46">
        <v>226100</v>
      </c>
      <c r="AR226" s="45">
        <v>226100</v>
      </c>
      <c r="AS226" s="22">
        <v>1.3791069589313108E-4</v>
      </c>
      <c r="AT226" s="22">
        <v>0.9965618601233438</v>
      </c>
      <c r="AU226" s="22" t="s">
        <v>215</v>
      </c>
      <c r="AV226" s="22" t="s">
        <v>166</v>
      </c>
      <c r="AW226" s="22" t="s">
        <v>222</v>
      </c>
      <c r="AX226" s="23">
        <v>57</v>
      </c>
      <c r="AY226" s="24">
        <v>34.199999999999996</v>
      </c>
      <c r="AZ226" s="23">
        <v>6</v>
      </c>
      <c r="BA226" s="26">
        <v>2</v>
      </c>
      <c r="BB226" s="44" t="s">
        <v>154</v>
      </c>
      <c r="BC226" s="26">
        <v>5.5555555555555559E-2</v>
      </c>
      <c r="BD226" s="23">
        <v>30</v>
      </c>
      <c r="BE226" s="26">
        <v>3.3333333333333335</v>
      </c>
      <c r="BF226" s="26">
        <v>5</v>
      </c>
      <c r="BG226" s="24"/>
      <c r="BI226" s="26"/>
      <c r="BJ226" s="23"/>
      <c r="BK226" s="26"/>
      <c r="BL226" s="27"/>
      <c r="BN226" s="13"/>
      <c r="BO226" s="43"/>
      <c r="BP226" s="42"/>
    </row>
    <row r="227" spans="1:68" s="1" customFormat="1" x14ac:dyDescent="0.3">
      <c r="A227" s="12" t="s">
        <v>367</v>
      </c>
      <c r="B227" s="12">
        <v>106070</v>
      </c>
      <c r="C227" s="13" t="s">
        <v>366</v>
      </c>
      <c r="D227" s="13" t="s">
        <v>47</v>
      </c>
      <c r="E227" s="14">
        <v>36958</v>
      </c>
      <c r="F227" s="15" t="s">
        <v>137</v>
      </c>
      <c r="G227" s="6">
        <v>1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1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2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2</v>
      </c>
      <c r="AA227" s="6">
        <v>0</v>
      </c>
      <c r="AB227" s="6">
        <v>0</v>
      </c>
      <c r="AC227" s="6">
        <v>0</v>
      </c>
      <c r="AD227" s="6">
        <v>0</v>
      </c>
      <c r="AE227" s="6">
        <v>2</v>
      </c>
      <c r="AF227" s="6">
        <v>4</v>
      </c>
      <c r="AG227" s="16">
        <v>6</v>
      </c>
      <c r="AH227" s="17">
        <v>0.16666666666666666</v>
      </c>
      <c r="AI227" s="17">
        <v>0.33333333333333331</v>
      </c>
      <c r="AJ227" s="17">
        <v>0.25</v>
      </c>
      <c r="AK227" s="49">
        <v>1.1513502092586201E-6</v>
      </c>
      <c r="AL227" s="48">
        <v>0.77849894416152299</v>
      </c>
      <c r="AM227" s="19">
        <v>0.60791875887432878</v>
      </c>
      <c r="AN227" s="47">
        <v>2.3354968324845693</v>
      </c>
      <c r="AO227" s="20">
        <v>2.4316750354973151</v>
      </c>
      <c r="AP227" s="44">
        <v>1</v>
      </c>
      <c r="AQ227" s="46">
        <v>147832</v>
      </c>
      <c r="AR227" s="45">
        <v>221748</v>
      </c>
      <c r="AS227" s="22">
        <v>1.3525617422781967E-4</v>
      </c>
      <c r="AT227" s="22">
        <v>0.99683272136573153</v>
      </c>
      <c r="AU227" s="22" t="s">
        <v>215</v>
      </c>
      <c r="AV227" s="22" t="s">
        <v>166</v>
      </c>
      <c r="AW227" s="22" t="s">
        <v>222</v>
      </c>
      <c r="AX227" s="23">
        <v>6</v>
      </c>
      <c r="AY227" s="24">
        <v>18</v>
      </c>
      <c r="AZ227" s="23">
        <v>2</v>
      </c>
      <c r="BA227" s="26">
        <v>1</v>
      </c>
      <c r="BB227" s="44" t="s">
        <v>154</v>
      </c>
      <c r="BC227" s="26">
        <v>1.111111111111111E-2</v>
      </c>
      <c r="BD227" s="23">
        <v>30</v>
      </c>
      <c r="BE227" s="26">
        <v>0.66666666666666663</v>
      </c>
      <c r="BF227" s="26">
        <v>1</v>
      </c>
      <c r="BG227" s="24"/>
      <c r="BI227" s="26"/>
      <c r="BJ227" s="23"/>
      <c r="BK227" s="26"/>
      <c r="BL227" s="27"/>
      <c r="BN227" s="13"/>
      <c r="BO227" s="43"/>
      <c r="BP227" s="42"/>
    </row>
    <row r="228" spans="1:68" s="1" customFormat="1" x14ac:dyDescent="0.3">
      <c r="A228" s="12" t="s">
        <v>365</v>
      </c>
      <c r="B228" s="12">
        <v>102136</v>
      </c>
      <c r="C228" s="13" t="s">
        <v>364</v>
      </c>
      <c r="D228" s="13" t="s">
        <v>116</v>
      </c>
      <c r="E228" s="14">
        <v>490</v>
      </c>
      <c r="F228" s="15" t="s">
        <v>137</v>
      </c>
      <c r="G228" s="6">
        <v>0</v>
      </c>
      <c r="H228" s="6">
        <v>30</v>
      </c>
      <c r="I228" s="6">
        <v>50</v>
      </c>
      <c r="J228" s="6">
        <v>120</v>
      </c>
      <c r="K228" s="6">
        <v>0</v>
      </c>
      <c r="L228" s="6">
        <v>0</v>
      </c>
      <c r="M228" s="6">
        <v>20</v>
      </c>
      <c r="N228" s="6">
        <v>0</v>
      </c>
      <c r="O228" s="6">
        <v>5</v>
      </c>
      <c r="P228" s="6">
        <v>0</v>
      </c>
      <c r="Q228" s="6">
        <v>14</v>
      </c>
      <c r="R228" s="6">
        <v>9</v>
      </c>
      <c r="S228" s="6">
        <v>9</v>
      </c>
      <c r="T228" s="6">
        <v>0</v>
      </c>
      <c r="U228" s="6">
        <v>63</v>
      </c>
      <c r="V228" s="6">
        <v>12</v>
      </c>
      <c r="W228" s="6">
        <v>0</v>
      </c>
      <c r="X228" s="6">
        <v>3</v>
      </c>
      <c r="Y228" s="6">
        <v>6</v>
      </c>
      <c r="Z228" s="6">
        <v>25</v>
      </c>
      <c r="AA228" s="6">
        <v>24</v>
      </c>
      <c r="AB228" s="6">
        <v>16</v>
      </c>
      <c r="AC228" s="6">
        <v>5</v>
      </c>
      <c r="AD228" s="6">
        <v>6</v>
      </c>
      <c r="AE228" s="6">
        <v>248</v>
      </c>
      <c r="AF228" s="6">
        <v>169</v>
      </c>
      <c r="AG228" s="16">
        <v>417</v>
      </c>
      <c r="AH228" s="17">
        <v>20.666666666666668</v>
      </c>
      <c r="AI228" s="17">
        <v>14.083333333333334</v>
      </c>
      <c r="AJ228" s="17">
        <v>17.375</v>
      </c>
      <c r="AK228" s="49">
        <v>4.8644546341176696E-5</v>
      </c>
      <c r="AL228" s="48">
        <v>17.521199280940341</v>
      </c>
      <c r="AM228" s="19">
        <v>27.197845982484651</v>
      </c>
      <c r="AN228" s="47">
        <v>1.2441088246821543</v>
      </c>
      <c r="AO228" s="20">
        <v>1.5653436536681813</v>
      </c>
      <c r="AP228" s="44">
        <v>-0.31854838709677419</v>
      </c>
      <c r="AQ228" s="46">
        <v>82810</v>
      </c>
      <c r="AR228" s="45">
        <v>204330</v>
      </c>
      <c r="AS228" s="22">
        <v>1.2463198802230638E-4</v>
      </c>
      <c r="AT228" s="22">
        <v>0.99708968906618622</v>
      </c>
      <c r="AU228" s="22" t="s">
        <v>215</v>
      </c>
      <c r="AV228" s="22" t="s">
        <v>166</v>
      </c>
      <c r="AW228" s="22" t="s">
        <v>222</v>
      </c>
      <c r="AX228" s="23">
        <v>53</v>
      </c>
      <c r="AY228" s="24">
        <v>3.7633136094674553</v>
      </c>
      <c r="AZ228" s="23">
        <v>18</v>
      </c>
      <c r="BA228" s="26">
        <v>10</v>
      </c>
      <c r="BB228" s="44" t="s">
        <v>154</v>
      </c>
      <c r="BC228" s="26">
        <v>0.46944444444444444</v>
      </c>
      <c r="BD228" s="23">
        <v>30</v>
      </c>
      <c r="BE228" s="26">
        <v>28.166666666666668</v>
      </c>
      <c r="BF228" s="26">
        <v>42.25</v>
      </c>
      <c r="BG228" s="24"/>
      <c r="BI228" s="26"/>
      <c r="BJ228" s="23"/>
      <c r="BK228" s="26"/>
      <c r="BL228" s="27"/>
      <c r="BN228" s="13"/>
      <c r="BO228" s="43"/>
      <c r="BP228" s="42"/>
    </row>
    <row r="229" spans="1:68" s="1" customFormat="1" x14ac:dyDescent="0.3">
      <c r="A229" s="12" t="s">
        <v>363</v>
      </c>
      <c r="B229" s="12">
        <v>101006</v>
      </c>
      <c r="C229" s="13" t="s">
        <v>362</v>
      </c>
      <c r="D229" s="13" t="s">
        <v>44</v>
      </c>
      <c r="E229" s="14">
        <v>2261</v>
      </c>
      <c r="F229" s="15" t="s">
        <v>137</v>
      </c>
      <c r="G229" s="6">
        <v>2</v>
      </c>
      <c r="H229" s="6">
        <v>0</v>
      </c>
      <c r="I229" s="6">
        <v>2</v>
      </c>
      <c r="J229" s="6">
        <v>2</v>
      </c>
      <c r="K229" s="6">
        <v>0</v>
      </c>
      <c r="L229" s="6">
        <v>2</v>
      </c>
      <c r="M229" s="6">
        <v>3</v>
      </c>
      <c r="N229" s="6">
        <v>2</v>
      </c>
      <c r="O229" s="6">
        <v>9</v>
      </c>
      <c r="P229" s="6">
        <v>3</v>
      </c>
      <c r="Q229" s="6">
        <v>6</v>
      </c>
      <c r="R229" s="6">
        <v>5</v>
      </c>
      <c r="S229" s="6">
        <v>1</v>
      </c>
      <c r="T229" s="6">
        <v>10</v>
      </c>
      <c r="U229" s="6">
        <v>2</v>
      </c>
      <c r="V229" s="6">
        <v>10</v>
      </c>
      <c r="W229" s="6">
        <v>2</v>
      </c>
      <c r="X229" s="6">
        <v>4</v>
      </c>
      <c r="Y229" s="6">
        <v>13</v>
      </c>
      <c r="Z229" s="6">
        <v>2</v>
      </c>
      <c r="AA229" s="6">
        <v>3</v>
      </c>
      <c r="AB229" s="6">
        <v>3</v>
      </c>
      <c r="AC229" s="6">
        <v>0</v>
      </c>
      <c r="AD229" s="6">
        <v>3</v>
      </c>
      <c r="AE229" s="6">
        <v>36</v>
      </c>
      <c r="AF229" s="6">
        <v>53</v>
      </c>
      <c r="AG229" s="16">
        <v>89</v>
      </c>
      <c r="AH229" s="17">
        <v>3</v>
      </c>
      <c r="AI229" s="17">
        <v>4.416666666666667</v>
      </c>
      <c r="AJ229" s="17">
        <v>3.7083333333333335</v>
      </c>
      <c r="AK229" s="49">
        <v>1.5255390272676717E-5</v>
      </c>
      <c r="AL229" s="48">
        <v>4.1660605619770585</v>
      </c>
      <c r="AM229" s="19">
        <v>3.4575584080283495</v>
      </c>
      <c r="AN229" s="47">
        <v>0.94325899516461698</v>
      </c>
      <c r="AO229" s="20">
        <v>0.93237530104135258</v>
      </c>
      <c r="AP229" s="44">
        <v>0.47222222222222232</v>
      </c>
      <c r="AQ229" s="46">
        <v>119833</v>
      </c>
      <c r="AR229" s="45">
        <v>201229</v>
      </c>
      <c r="AS229" s="22">
        <v>1.2274051934488666E-4</v>
      </c>
      <c r="AT229" s="22">
        <v>0.9974599765398644</v>
      </c>
      <c r="AU229" s="22" t="s">
        <v>215</v>
      </c>
      <c r="AV229" s="22" t="s">
        <v>166</v>
      </c>
      <c r="AW229" s="22" t="s">
        <v>222</v>
      </c>
      <c r="AX229" s="23">
        <v>47</v>
      </c>
      <c r="AY229" s="24">
        <v>10.641509433962263</v>
      </c>
      <c r="AZ229" s="23">
        <v>10</v>
      </c>
      <c r="BA229" s="26">
        <v>6</v>
      </c>
      <c r="BB229" s="44" t="s">
        <v>154</v>
      </c>
      <c r="BC229" s="26">
        <v>0.14722222222222223</v>
      </c>
      <c r="BD229" s="23">
        <v>30</v>
      </c>
      <c r="BE229" s="26">
        <v>8.8333333333333339</v>
      </c>
      <c r="BF229" s="26">
        <v>13.25</v>
      </c>
      <c r="BG229" s="24"/>
      <c r="BI229" s="26"/>
      <c r="BJ229" s="23"/>
      <c r="BK229" s="26"/>
      <c r="BL229" s="27"/>
      <c r="BN229" s="13"/>
      <c r="BO229" s="43"/>
      <c r="BP229" s="42"/>
    </row>
    <row r="230" spans="1:68" s="1" customFormat="1" x14ac:dyDescent="0.3">
      <c r="A230" s="12" t="s">
        <v>361</v>
      </c>
      <c r="B230" s="12">
        <v>105008</v>
      </c>
      <c r="C230" s="13" t="s">
        <v>360</v>
      </c>
      <c r="D230" s="13" t="s">
        <v>137</v>
      </c>
      <c r="E230" s="14">
        <v>1309</v>
      </c>
      <c r="F230" s="15" t="s">
        <v>137</v>
      </c>
      <c r="G230" s="6">
        <v>4</v>
      </c>
      <c r="H230" s="6">
        <v>2</v>
      </c>
      <c r="I230" s="6">
        <v>11</v>
      </c>
      <c r="J230" s="6">
        <v>8</v>
      </c>
      <c r="K230" s="6">
        <v>8</v>
      </c>
      <c r="L230" s="6">
        <v>7</v>
      </c>
      <c r="M230" s="6">
        <v>4</v>
      </c>
      <c r="N230" s="6">
        <v>0</v>
      </c>
      <c r="O230" s="6">
        <v>2</v>
      </c>
      <c r="P230" s="6">
        <v>11</v>
      </c>
      <c r="Q230" s="6">
        <v>6</v>
      </c>
      <c r="R230" s="6">
        <v>5</v>
      </c>
      <c r="S230" s="6">
        <v>10</v>
      </c>
      <c r="T230" s="6">
        <v>19</v>
      </c>
      <c r="U230" s="6">
        <v>7</v>
      </c>
      <c r="V230" s="6">
        <v>11</v>
      </c>
      <c r="W230" s="6">
        <v>7</v>
      </c>
      <c r="X230" s="6">
        <v>2</v>
      </c>
      <c r="Y230" s="6">
        <v>13</v>
      </c>
      <c r="Z230" s="6">
        <v>3</v>
      </c>
      <c r="AA230" s="6">
        <v>4</v>
      </c>
      <c r="AB230" s="6">
        <v>5</v>
      </c>
      <c r="AC230" s="6">
        <v>1</v>
      </c>
      <c r="AD230" s="6">
        <v>2</v>
      </c>
      <c r="AE230" s="6">
        <v>68</v>
      </c>
      <c r="AF230" s="6">
        <v>84</v>
      </c>
      <c r="AG230" s="16">
        <v>152</v>
      </c>
      <c r="AH230" s="17">
        <v>5.666666666666667</v>
      </c>
      <c r="AI230" s="17">
        <v>7</v>
      </c>
      <c r="AJ230" s="17">
        <v>6.3333333333333339</v>
      </c>
      <c r="AK230" s="49">
        <v>2.4178354394431022E-5</v>
      </c>
      <c r="AL230" s="48">
        <v>5.3935988997059363</v>
      </c>
      <c r="AM230" s="19">
        <v>4.4979866671624338</v>
      </c>
      <c r="AN230" s="47">
        <v>0.77051412852941947</v>
      </c>
      <c r="AO230" s="20">
        <v>0.71020842113091054</v>
      </c>
      <c r="AP230" s="44">
        <v>0.23529411764705876</v>
      </c>
      <c r="AQ230" s="46">
        <v>109956</v>
      </c>
      <c r="AR230" s="45">
        <v>198968</v>
      </c>
      <c r="AS230" s="22">
        <v>1.2136141238595535E-4</v>
      </c>
      <c r="AT230" s="22">
        <v>0.99758133795225035</v>
      </c>
      <c r="AU230" s="22" t="s">
        <v>215</v>
      </c>
      <c r="AV230" s="22" t="s">
        <v>166</v>
      </c>
      <c r="AW230" s="22" t="s">
        <v>222</v>
      </c>
      <c r="AX230" s="23">
        <v>70</v>
      </c>
      <c r="AY230" s="24">
        <v>10</v>
      </c>
      <c r="AZ230" s="23">
        <v>26</v>
      </c>
      <c r="BA230" s="26">
        <v>11</v>
      </c>
      <c r="BB230" s="44" t="s">
        <v>154</v>
      </c>
      <c r="BC230" s="26">
        <v>0.23333333333333334</v>
      </c>
      <c r="BD230" s="23">
        <v>30</v>
      </c>
      <c r="BE230" s="26">
        <v>14</v>
      </c>
      <c r="BF230" s="26">
        <v>21</v>
      </c>
      <c r="BG230" s="24"/>
      <c r="BI230" s="26"/>
      <c r="BJ230" s="23"/>
      <c r="BK230" s="26"/>
      <c r="BL230" s="27"/>
      <c r="BN230" s="13"/>
      <c r="BO230" s="43"/>
      <c r="BP230" s="42"/>
    </row>
    <row r="231" spans="1:68" s="1" customFormat="1" x14ac:dyDescent="0.3">
      <c r="A231" s="12" t="s">
        <v>359</v>
      </c>
      <c r="B231" s="12">
        <v>106096</v>
      </c>
      <c r="C231" s="13" t="s">
        <v>358</v>
      </c>
      <c r="D231" s="13" t="s">
        <v>44</v>
      </c>
      <c r="E231" s="14">
        <v>1940</v>
      </c>
      <c r="F231" s="15" t="s">
        <v>137</v>
      </c>
      <c r="G231" s="6">
        <v>2</v>
      </c>
      <c r="H231" s="6">
        <v>6</v>
      </c>
      <c r="I231" s="6">
        <v>3</v>
      </c>
      <c r="J231" s="6">
        <v>8</v>
      </c>
      <c r="K231" s="6">
        <v>0</v>
      </c>
      <c r="L231" s="6">
        <v>3</v>
      </c>
      <c r="M231" s="6">
        <v>7</v>
      </c>
      <c r="N231" s="6">
        <v>9</v>
      </c>
      <c r="O231" s="6">
        <v>4</v>
      </c>
      <c r="P231" s="6">
        <v>5</v>
      </c>
      <c r="Q231" s="6">
        <v>0</v>
      </c>
      <c r="R231" s="6">
        <v>0</v>
      </c>
      <c r="S231" s="6">
        <v>12</v>
      </c>
      <c r="T231" s="6">
        <v>7</v>
      </c>
      <c r="U231" s="6">
        <v>6</v>
      </c>
      <c r="V231" s="6">
        <v>6</v>
      </c>
      <c r="W231" s="6">
        <v>1</v>
      </c>
      <c r="X231" s="6">
        <v>0</v>
      </c>
      <c r="Y231" s="6">
        <v>1</v>
      </c>
      <c r="Z231" s="6">
        <v>6</v>
      </c>
      <c r="AA231" s="6">
        <v>2</v>
      </c>
      <c r="AB231" s="6">
        <v>3</v>
      </c>
      <c r="AC231" s="6">
        <v>3</v>
      </c>
      <c r="AD231" s="6">
        <v>6</v>
      </c>
      <c r="AE231" s="6">
        <v>47</v>
      </c>
      <c r="AF231" s="6">
        <v>53</v>
      </c>
      <c r="AG231" s="16">
        <v>100</v>
      </c>
      <c r="AH231" s="17">
        <v>3.9166666666666665</v>
      </c>
      <c r="AI231" s="17">
        <v>4.416666666666667</v>
      </c>
      <c r="AJ231" s="17">
        <v>4.166666666666667</v>
      </c>
      <c r="AK231" s="49">
        <v>1.5255390272676717E-5</v>
      </c>
      <c r="AL231" s="48">
        <v>3.3967453227875044</v>
      </c>
      <c r="AM231" s="19">
        <v>3.2122952198871983</v>
      </c>
      <c r="AN231" s="47">
        <v>0.7690744127066047</v>
      </c>
      <c r="AO231" s="20">
        <v>0.77095085277292752</v>
      </c>
      <c r="AP231" s="44">
        <v>0.12765957446808524</v>
      </c>
      <c r="AQ231" s="46">
        <v>102820</v>
      </c>
      <c r="AR231" s="45">
        <v>194000</v>
      </c>
      <c r="AS231" s="22">
        <v>1.1833115879375244E-4</v>
      </c>
      <c r="AT231" s="22">
        <v>0.99769966911104413</v>
      </c>
      <c r="AU231" s="22" t="s">
        <v>215</v>
      </c>
      <c r="AV231" s="22" t="s">
        <v>166</v>
      </c>
      <c r="AW231" s="22" t="s">
        <v>222</v>
      </c>
      <c r="AX231" s="23">
        <v>6</v>
      </c>
      <c r="AY231" s="24">
        <v>1.3584905660377358</v>
      </c>
      <c r="AZ231" s="23">
        <v>7</v>
      </c>
      <c r="BA231" s="26">
        <v>4</v>
      </c>
      <c r="BB231" s="44" t="s">
        <v>154</v>
      </c>
      <c r="BC231" s="26">
        <v>0.14722222222222223</v>
      </c>
      <c r="BD231" s="23">
        <v>30</v>
      </c>
      <c r="BE231" s="26">
        <v>8.8333333333333339</v>
      </c>
      <c r="BF231" s="26">
        <v>13.25</v>
      </c>
      <c r="BG231" s="24"/>
      <c r="BI231" s="26"/>
      <c r="BJ231" s="23"/>
      <c r="BK231" s="26"/>
      <c r="BL231" s="27"/>
      <c r="BN231" s="13"/>
      <c r="BO231" s="43"/>
      <c r="BP231" s="42"/>
    </row>
    <row r="232" spans="1:68" s="1" customFormat="1" x14ac:dyDescent="0.3">
      <c r="A232" s="12" t="s">
        <v>357</v>
      </c>
      <c r="B232" s="12">
        <v>108003</v>
      </c>
      <c r="C232" s="13" t="s">
        <v>356</v>
      </c>
      <c r="D232" s="13" t="s">
        <v>339</v>
      </c>
      <c r="E232" s="14">
        <v>655</v>
      </c>
      <c r="F232" s="15" t="s">
        <v>137</v>
      </c>
      <c r="G232" s="6">
        <v>0</v>
      </c>
      <c r="H232" s="6">
        <v>20</v>
      </c>
      <c r="I232" s="6">
        <v>1</v>
      </c>
      <c r="J232" s="6">
        <v>17</v>
      </c>
      <c r="K232" s="6">
        <v>18</v>
      </c>
      <c r="L232" s="6">
        <v>15</v>
      </c>
      <c r="M232" s="6">
        <v>11</v>
      </c>
      <c r="N232" s="6">
        <v>23</v>
      </c>
      <c r="O232" s="6">
        <v>10</v>
      </c>
      <c r="P232" s="6">
        <v>19</v>
      </c>
      <c r="Q232" s="6">
        <v>2</v>
      </c>
      <c r="R232" s="6">
        <v>5</v>
      </c>
      <c r="S232" s="6">
        <v>3</v>
      </c>
      <c r="T232" s="6">
        <v>23</v>
      </c>
      <c r="U232" s="6">
        <v>0</v>
      </c>
      <c r="V232" s="6">
        <v>8</v>
      </c>
      <c r="W232" s="6">
        <v>21</v>
      </c>
      <c r="X232" s="6">
        <v>12</v>
      </c>
      <c r="Y232" s="6">
        <v>10</v>
      </c>
      <c r="Z232" s="6">
        <v>9</v>
      </c>
      <c r="AA232" s="6">
        <v>30</v>
      </c>
      <c r="AB232" s="6">
        <v>20</v>
      </c>
      <c r="AC232" s="6">
        <v>5</v>
      </c>
      <c r="AD232" s="6">
        <v>8</v>
      </c>
      <c r="AE232" s="6">
        <v>141</v>
      </c>
      <c r="AF232" s="6">
        <v>149</v>
      </c>
      <c r="AG232" s="16">
        <v>290</v>
      </c>
      <c r="AH232" s="17">
        <v>11.75</v>
      </c>
      <c r="AI232" s="17">
        <v>12.416666666666666</v>
      </c>
      <c r="AJ232" s="17">
        <v>12.083333333333332</v>
      </c>
      <c r="AK232" s="49">
        <v>4.2887795294883596E-5</v>
      </c>
      <c r="AL232" s="48">
        <v>9.0800313709243152</v>
      </c>
      <c r="AM232" s="19">
        <v>8.4231392819019</v>
      </c>
      <c r="AN232" s="47">
        <v>0.73127769430262946</v>
      </c>
      <c r="AO232" s="20">
        <v>0.6970873888470539</v>
      </c>
      <c r="AP232" s="44">
        <v>5.673758865248222E-2</v>
      </c>
      <c r="AQ232" s="46">
        <v>97595</v>
      </c>
      <c r="AR232" s="45">
        <v>189950</v>
      </c>
      <c r="AS232" s="22">
        <v>1.1586084336532616E-4</v>
      </c>
      <c r="AT232" s="22">
        <v>0.99781552995440947</v>
      </c>
      <c r="AU232" s="22" t="s">
        <v>215</v>
      </c>
      <c r="AV232" s="22" t="s">
        <v>166</v>
      </c>
      <c r="AW232" s="22" t="s">
        <v>222</v>
      </c>
      <c r="AX232" s="23">
        <v>22</v>
      </c>
      <c r="AY232" s="24">
        <v>1.7718120805369129</v>
      </c>
      <c r="AZ232" s="23">
        <v>56</v>
      </c>
      <c r="BA232" s="26">
        <v>30</v>
      </c>
      <c r="BB232" s="44" t="s">
        <v>198</v>
      </c>
      <c r="BC232" s="26">
        <v>0.41388888888888886</v>
      </c>
      <c r="BD232" s="23">
        <v>30</v>
      </c>
      <c r="BE232" s="26">
        <v>24.833333333333332</v>
      </c>
      <c r="BF232" s="26">
        <v>37.25</v>
      </c>
      <c r="BG232" s="24"/>
      <c r="BI232" s="26"/>
      <c r="BJ232" s="23"/>
      <c r="BK232" s="26"/>
      <c r="BL232" s="27"/>
      <c r="BN232" s="13"/>
      <c r="BO232" s="43"/>
      <c r="BP232" s="42"/>
    </row>
    <row r="233" spans="1:68" s="1" customFormat="1" x14ac:dyDescent="0.3">
      <c r="A233" s="12" t="s">
        <v>355</v>
      </c>
      <c r="B233" s="12">
        <v>106055</v>
      </c>
      <c r="C233" s="13" t="s">
        <v>354</v>
      </c>
      <c r="D233" s="13" t="s">
        <v>47</v>
      </c>
      <c r="E233" s="14">
        <v>1702</v>
      </c>
      <c r="F233" s="15" t="s">
        <v>137</v>
      </c>
      <c r="G233" s="6">
        <v>7</v>
      </c>
      <c r="H233" s="6">
        <v>10</v>
      </c>
      <c r="I233" s="6">
        <v>7</v>
      </c>
      <c r="J233" s="6">
        <v>10</v>
      </c>
      <c r="K233" s="6">
        <v>4</v>
      </c>
      <c r="L233" s="6">
        <v>7</v>
      </c>
      <c r="M233" s="6">
        <v>12</v>
      </c>
      <c r="N233" s="6">
        <v>6</v>
      </c>
      <c r="O233" s="6">
        <v>10</v>
      </c>
      <c r="P233" s="6">
        <v>4</v>
      </c>
      <c r="Q233" s="6">
        <v>0</v>
      </c>
      <c r="R233" s="6">
        <v>0</v>
      </c>
      <c r="S233" s="6">
        <v>7</v>
      </c>
      <c r="T233" s="6">
        <v>4</v>
      </c>
      <c r="U233" s="6">
        <v>0</v>
      </c>
      <c r="V233" s="6">
        <v>2</v>
      </c>
      <c r="W233" s="6">
        <v>4</v>
      </c>
      <c r="X233" s="6">
        <v>2</v>
      </c>
      <c r="Y233" s="6">
        <v>4</v>
      </c>
      <c r="Z233" s="6">
        <v>0</v>
      </c>
      <c r="AA233" s="6">
        <v>1</v>
      </c>
      <c r="AB233" s="6">
        <v>3</v>
      </c>
      <c r="AC233" s="6">
        <v>0</v>
      </c>
      <c r="AD233" s="6">
        <v>2</v>
      </c>
      <c r="AE233" s="6">
        <v>77</v>
      </c>
      <c r="AF233" s="6">
        <v>29</v>
      </c>
      <c r="AG233" s="16">
        <v>106</v>
      </c>
      <c r="AH233" s="17">
        <v>6.416666666666667</v>
      </c>
      <c r="AI233" s="17">
        <v>2.4166666666666665</v>
      </c>
      <c r="AJ233" s="17">
        <v>4.416666666666667</v>
      </c>
      <c r="AK233" s="49">
        <v>8.3472890171249958E-6</v>
      </c>
      <c r="AL233" s="48">
        <v>2.1087839379532691</v>
      </c>
      <c r="AM233" s="19">
        <v>3.6702880667263194</v>
      </c>
      <c r="AN233" s="47">
        <v>0.87260025018755971</v>
      </c>
      <c r="AO233" s="20">
        <v>0.83100861888143074</v>
      </c>
      <c r="AP233" s="44">
        <v>-0.62337662337662336</v>
      </c>
      <c r="AQ233" s="46">
        <v>49358</v>
      </c>
      <c r="AR233" s="45">
        <v>180412</v>
      </c>
      <c r="AS233" s="22">
        <v>1.100430980427756E-4</v>
      </c>
      <c r="AT233" s="22">
        <v>0.9980398772921204</v>
      </c>
      <c r="AU233" s="22" t="s">
        <v>215</v>
      </c>
      <c r="AV233" s="22" t="s">
        <v>166</v>
      </c>
      <c r="AW233" s="22" t="s">
        <v>222</v>
      </c>
      <c r="AX233" s="23">
        <v>69</v>
      </c>
      <c r="AY233" s="24">
        <v>28.551724137931036</v>
      </c>
      <c r="AZ233" s="23">
        <v>7</v>
      </c>
      <c r="BA233" s="26">
        <v>4</v>
      </c>
      <c r="BB233" s="44" t="s">
        <v>154</v>
      </c>
      <c r="BC233" s="26">
        <v>8.0555555555555547E-2</v>
      </c>
      <c r="BD233" s="23">
        <v>30</v>
      </c>
      <c r="BE233" s="26">
        <v>4.833333333333333</v>
      </c>
      <c r="BF233" s="26">
        <v>7.25</v>
      </c>
      <c r="BG233" s="24"/>
      <c r="BI233" s="26"/>
      <c r="BJ233" s="23"/>
      <c r="BK233" s="26"/>
      <c r="BL233" s="27"/>
      <c r="BN233" s="13"/>
      <c r="BO233" s="43"/>
      <c r="BP233" s="42"/>
    </row>
    <row r="234" spans="1:68" s="1" customFormat="1" x14ac:dyDescent="0.3">
      <c r="A234" s="12" t="s">
        <v>353</v>
      </c>
      <c r="B234" s="12">
        <v>108004</v>
      </c>
      <c r="C234" s="13" t="s">
        <v>352</v>
      </c>
      <c r="D234" s="13" t="s">
        <v>339</v>
      </c>
      <c r="E234" s="14">
        <v>928</v>
      </c>
      <c r="F234" s="15" t="s">
        <v>137</v>
      </c>
      <c r="G234" s="6">
        <v>0</v>
      </c>
      <c r="H234" s="6">
        <v>2</v>
      </c>
      <c r="I234" s="6">
        <v>12</v>
      </c>
      <c r="J234" s="6">
        <v>6</v>
      </c>
      <c r="K234" s="6">
        <v>21</v>
      </c>
      <c r="L234" s="6">
        <v>0</v>
      </c>
      <c r="M234" s="6">
        <v>14</v>
      </c>
      <c r="N234" s="6">
        <v>4</v>
      </c>
      <c r="O234" s="6">
        <v>2</v>
      </c>
      <c r="P234" s="6">
        <v>50</v>
      </c>
      <c r="Q234" s="6">
        <v>25</v>
      </c>
      <c r="R234" s="6">
        <v>0</v>
      </c>
      <c r="S234" s="6">
        <v>3</v>
      </c>
      <c r="T234" s="6">
        <v>0</v>
      </c>
      <c r="U234" s="6">
        <v>4</v>
      </c>
      <c r="V234" s="6">
        <v>0</v>
      </c>
      <c r="W234" s="6">
        <v>0</v>
      </c>
      <c r="X234" s="6">
        <v>10</v>
      </c>
      <c r="Y234" s="6">
        <v>0</v>
      </c>
      <c r="Z234" s="6">
        <v>0</v>
      </c>
      <c r="AA234" s="6">
        <v>0</v>
      </c>
      <c r="AB234" s="6">
        <v>15</v>
      </c>
      <c r="AC234" s="6">
        <v>19</v>
      </c>
      <c r="AD234" s="6">
        <v>0</v>
      </c>
      <c r="AE234" s="6">
        <v>136</v>
      </c>
      <c r="AF234" s="6">
        <v>51</v>
      </c>
      <c r="AG234" s="16">
        <v>187</v>
      </c>
      <c r="AH234" s="17">
        <v>11.333333333333334</v>
      </c>
      <c r="AI234" s="17">
        <v>4.25</v>
      </c>
      <c r="AJ234" s="17">
        <v>7.791666666666667</v>
      </c>
      <c r="AK234" s="49">
        <v>1.4679715168047407E-5</v>
      </c>
      <c r="AL234" s="48">
        <v>6.7031200333738754</v>
      </c>
      <c r="AM234" s="19">
        <v>11.832083012124158</v>
      </c>
      <c r="AN234" s="47">
        <v>1.5772047137350296</v>
      </c>
      <c r="AO234" s="20">
        <v>1.5185561085079133</v>
      </c>
      <c r="AP234" s="44">
        <v>-0.625</v>
      </c>
      <c r="AQ234" s="46">
        <v>47328</v>
      </c>
      <c r="AR234" s="45">
        <v>173536</v>
      </c>
      <c r="AS234" s="22">
        <v>1.0584905140429187E-4</v>
      </c>
      <c r="AT234" s="22">
        <v>0.99814572634352472</v>
      </c>
      <c r="AU234" s="22" t="s">
        <v>215</v>
      </c>
      <c r="AV234" s="22" t="s">
        <v>166</v>
      </c>
      <c r="AW234" s="22" t="s">
        <v>222</v>
      </c>
      <c r="AX234" s="23">
        <v>59</v>
      </c>
      <c r="AY234" s="24">
        <v>13.882352941176471</v>
      </c>
      <c r="AZ234" s="23">
        <v>40</v>
      </c>
      <c r="BA234" s="26">
        <v>20</v>
      </c>
      <c r="BB234" s="44" t="s">
        <v>154</v>
      </c>
      <c r="BC234" s="26">
        <v>0.14166666666666666</v>
      </c>
      <c r="BD234" s="23">
        <v>30</v>
      </c>
      <c r="BE234" s="26">
        <v>8.5</v>
      </c>
      <c r="BF234" s="26">
        <v>12.75</v>
      </c>
      <c r="BG234" s="24"/>
      <c r="BI234" s="26"/>
      <c r="BJ234" s="23"/>
      <c r="BK234" s="26"/>
      <c r="BL234" s="27"/>
      <c r="BN234" s="13"/>
      <c r="BO234" s="43"/>
      <c r="BP234" s="42"/>
    </row>
    <row r="235" spans="1:68" s="1" customFormat="1" x14ac:dyDescent="0.3">
      <c r="A235" s="12" t="s">
        <v>351</v>
      </c>
      <c r="B235" s="12">
        <v>102111</v>
      </c>
      <c r="C235" s="13" t="s">
        <v>350</v>
      </c>
      <c r="D235" s="13" t="s">
        <v>53</v>
      </c>
      <c r="E235" s="14">
        <v>39</v>
      </c>
      <c r="F235" s="15" t="s">
        <v>137</v>
      </c>
      <c r="G235" s="6">
        <v>30</v>
      </c>
      <c r="H235" s="6">
        <v>90</v>
      </c>
      <c r="I235" s="6">
        <v>127</v>
      </c>
      <c r="J235" s="6">
        <v>120</v>
      </c>
      <c r="K235" s="6">
        <v>157</v>
      </c>
      <c r="L235" s="6">
        <v>172</v>
      </c>
      <c r="M235" s="6">
        <v>204</v>
      </c>
      <c r="N235" s="6">
        <v>442</v>
      </c>
      <c r="O235" s="6">
        <v>579</v>
      </c>
      <c r="P235" s="6">
        <v>153</v>
      </c>
      <c r="Q235" s="6">
        <v>192</v>
      </c>
      <c r="R235" s="6">
        <v>108</v>
      </c>
      <c r="S235" s="6">
        <v>204</v>
      </c>
      <c r="T235" s="6">
        <v>120</v>
      </c>
      <c r="U235" s="6">
        <v>54</v>
      </c>
      <c r="V235" s="6">
        <v>156</v>
      </c>
      <c r="W235" s="6">
        <v>196</v>
      </c>
      <c r="X235" s="6">
        <v>120</v>
      </c>
      <c r="Y235" s="6">
        <v>171</v>
      </c>
      <c r="Z235" s="6">
        <v>81</v>
      </c>
      <c r="AA235" s="6">
        <v>120</v>
      </c>
      <c r="AB235" s="6">
        <v>40</v>
      </c>
      <c r="AC235" s="6">
        <v>75</v>
      </c>
      <c r="AD235" s="6">
        <v>45</v>
      </c>
      <c r="AE235" s="6">
        <v>2374</v>
      </c>
      <c r="AF235" s="6">
        <v>1382</v>
      </c>
      <c r="AG235" s="16">
        <v>3756</v>
      </c>
      <c r="AH235" s="17">
        <v>197.83333333333334</v>
      </c>
      <c r="AI235" s="17">
        <v>115.16666666666667</v>
      </c>
      <c r="AJ235" s="17">
        <v>156.5</v>
      </c>
      <c r="AK235" s="49">
        <v>3.9779149729885323E-4</v>
      </c>
      <c r="AL235" s="48">
        <v>57.505467460744867</v>
      </c>
      <c r="AM235" s="19">
        <v>122.58838869761793</v>
      </c>
      <c r="AN235" s="47">
        <v>0.49932388533208277</v>
      </c>
      <c r="AO235" s="20">
        <v>0.78331238784420398</v>
      </c>
      <c r="AP235" s="44">
        <v>-0.417860151642797</v>
      </c>
      <c r="AQ235" s="46">
        <v>53898</v>
      </c>
      <c r="AR235" s="45">
        <v>146484</v>
      </c>
      <c r="AS235" s="22">
        <v>8.9348564251257899E-5</v>
      </c>
      <c r="AT235" s="22">
        <v>0.99833812182854365</v>
      </c>
      <c r="AU235" s="22" t="s">
        <v>215</v>
      </c>
      <c r="AV235" s="22" t="s">
        <v>166</v>
      </c>
      <c r="AW235" s="22" t="s">
        <v>222</v>
      </c>
      <c r="AX235" s="23">
        <v>1391</v>
      </c>
      <c r="AY235" s="24">
        <v>12.078147612156295</v>
      </c>
      <c r="AZ235" s="23">
        <v>175</v>
      </c>
      <c r="BA235" s="26">
        <v>100</v>
      </c>
      <c r="BB235" s="44" t="s">
        <v>154</v>
      </c>
      <c r="BC235" s="26">
        <v>3.838888888888889</v>
      </c>
      <c r="BD235" s="23">
        <v>30</v>
      </c>
      <c r="BE235" s="26">
        <v>230.33333333333334</v>
      </c>
      <c r="BF235" s="26">
        <v>345.5</v>
      </c>
      <c r="BG235" s="24"/>
      <c r="BI235" s="26"/>
      <c r="BJ235" s="23"/>
      <c r="BK235" s="26"/>
      <c r="BL235" s="27"/>
      <c r="BN235" s="13"/>
      <c r="BO235" s="43"/>
      <c r="BP235" s="42"/>
    </row>
    <row r="236" spans="1:68" s="1" customFormat="1" x14ac:dyDescent="0.3">
      <c r="A236" s="12" t="s">
        <v>349</v>
      </c>
      <c r="B236" s="12">
        <v>105015</v>
      </c>
      <c r="C236" s="13" t="s">
        <v>348</v>
      </c>
      <c r="D236" s="13" t="s">
        <v>137</v>
      </c>
      <c r="E236" s="14">
        <v>3897</v>
      </c>
      <c r="F236" s="15" t="s">
        <v>137</v>
      </c>
      <c r="G236" s="6">
        <v>0</v>
      </c>
      <c r="H236" s="6">
        <v>8</v>
      </c>
      <c r="I236" s="6">
        <v>0</v>
      </c>
      <c r="J236" s="6">
        <v>6</v>
      </c>
      <c r="K236" s="6">
        <v>5</v>
      </c>
      <c r="L236" s="6">
        <v>0</v>
      </c>
      <c r="M236" s="6">
        <v>2</v>
      </c>
      <c r="N236" s="6">
        <v>1</v>
      </c>
      <c r="O236" s="6">
        <v>5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1</v>
      </c>
      <c r="W236" s="6">
        <v>0</v>
      </c>
      <c r="X236" s="6">
        <v>3</v>
      </c>
      <c r="Y236" s="6">
        <v>4</v>
      </c>
      <c r="Z236" s="6">
        <v>0</v>
      </c>
      <c r="AA236" s="6">
        <v>0</v>
      </c>
      <c r="AB236" s="6">
        <v>2</v>
      </c>
      <c r="AC236" s="6">
        <v>0</v>
      </c>
      <c r="AD236" s="6">
        <v>0</v>
      </c>
      <c r="AE236" s="6">
        <v>27</v>
      </c>
      <c r="AF236" s="6">
        <v>10</v>
      </c>
      <c r="AG236" s="16">
        <v>37</v>
      </c>
      <c r="AH236" s="17">
        <v>2.25</v>
      </c>
      <c r="AI236" s="17">
        <v>0.83333333333333337</v>
      </c>
      <c r="AJ236" s="17">
        <v>1.5416666666666667</v>
      </c>
      <c r="AK236" s="49">
        <v>2.8783755231465503E-6</v>
      </c>
      <c r="AL236" s="48">
        <v>1.403458930534474</v>
      </c>
      <c r="AM236" s="19">
        <v>2.358687303798757</v>
      </c>
      <c r="AN236" s="47">
        <v>1.6841507166413687</v>
      </c>
      <c r="AO236" s="20">
        <v>1.5299593321937883</v>
      </c>
      <c r="AP236" s="44">
        <v>-0.62962962962962954</v>
      </c>
      <c r="AQ236" s="46">
        <v>38970</v>
      </c>
      <c r="AR236" s="45">
        <v>144189</v>
      </c>
      <c r="AS236" s="22">
        <v>8.7948718841816345E-5</v>
      </c>
      <c r="AT236" s="22">
        <v>0.99851540691254814</v>
      </c>
      <c r="AU236" s="22" t="s">
        <v>215</v>
      </c>
      <c r="AV236" s="22" t="s">
        <v>166</v>
      </c>
      <c r="AW236" s="22" t="s">
        <v>222</v>
      </c>
      <c r="AX236" s="23">
        <v>4</v>
      </c>
      <c r="AY236" s="24">
        <v>4.8</v>
      </c>
      <c r="AZ236" s="23">
        <v>2</v>
      </c>
      <c r="BA236" s="26">
        <v>1</v>
      </c>
      <c r="BB236" s="44" t="s">
        <v>154</v>
      </c>
      <c r="BC236" s="26">
        <v>2.777777777777778E-2</v>
      </c>
      <c r="BD236" s="23">
        <v>30</v>
      </c>
      <c r="BE236" s="26">
        <v>1.6666666666666667</v>
      </c>
      <c r="BF236" s="26">
        <v>2.5</v>
      </c>
      <c r="BG236" s="24"/>
      <c r="BI236" s="26"/>
      <c r="BJ236" s="23"/>
      <c r="BK236" s="26"/>
      <c r="BL236" s="27"/>
      <c r="BN236" s="13"/>
      <c r="BO236" s="43"/>
      <c r="BP236" s="42"/>
    </row>
    <row r="237" spans="1:68" s="1" customFormat="1" x14ac:dyDescent="0.3">
      <c r="A237" s="12" t="s">
        <v>347</v>
      </c>
      <c r="B237" s="12">
        <v>106003</v>
      </c>
      <c r="C237" s="13" t="s">
        <v>346</v>
      </c>
      <c r="D237" s="13" t="s">
        <v>44</v>
      </c>
      <c r="E237" s="14">
        <v>363</v>
      </c>
      <c r="F237" s="15" t="s">
        <v>137</v>
      </c>
      <c r="G237" s="6">
        <v>14</v>
      </c>
      <c r="H237" s="6">
        <v>11</v>
      </c>
      <c r="I237" s="6">
        <v>9</v>
      </c>
      <c r="J237" s="6">
        <v>41</v>
      </c>
      <c r="K237" s="6">
        <v>6</v>
      </c>
      <c r="L237" s="6">
        <v>19</v>
      </c>
      <c r="M237" s="6">
        <v>5</v>
      </c>
      <c r="N237" s="6">
        <v>12</v>
      </c>
      <c r="O237" s="6">
        <v>11</v>
      </c>
      <c r="P237" s="6">
        <v>7</v>
      </c>
      <c r="Q237" s="6">
        <v>0</v>
      </c>
      <c r="R237" s="6">
        <v>20</v>
      </c>
      <c r="S237" s="6">
        <v>9</v>
      </c>
      <c r="T237" s="6">
        <v>26</v>
      </c>
      <c r="U237" s="6">
        <v>43</v>
      </c>
      <c r="V237" s="6">
        <v>42</v>
      </c>
      <c r="W237" s="6">
        <v>6</v>
      </c>
      <c r="X237" s="6">
        <v>8</v>
      </c>
      <c r="Y237" s="6">
        <v>7</v>
      </c>
      <c r="Z237" s="6">
        <v>6</v>
      </c>
      <c r="AA237" s="6">
        <v>16</v>
      </c>
      <c r="AB237" s="6">
        <v>20</v>
      </c>
      <c r="AC237" s="6">
        <v>0</v>
      </c>
      <c r="AD237" s="6">
        <v>16</v>
      </c>
      <c r="AE237" s="6">
        <v>155</v>
      </c>
      <c r="AF237" s="6">
        <v>199</v>
      </c>
      <c r="AG237" s="16">
        <v>354</v>
      </c>
      <c r="AH237" s="17">
        <v>12.916666666666666</v>
      </c>
      <c r="AI237" s="17">
        <v>16.583333333333332</v>
      </c>
      <c r="AJ237" s="17">
        <v>14.75</v>
      </c>
      <c r="AK237" s="49">
        <v>5.7279672910616353E-5</v>
      </c>
      <c r="AL237" s="48">
        <v>14.035398969834246</v>
      </c>
      <c r="AM237" s="19">
        <v>12.266071976762994</v>
      </c>
      <c r="AN237" s="47">
        <v>0.8463557167739244</v>
      </c>
      <c r="AO237" s="20">
        <v>0.83159810011952506</v>
      </c>
      <c r="AP237" s="44">
        <v>0.28387096774193543</v>
      </c>
      <c r="AQ237" s="46">
        <v>72237</v>
      </c>
      <c r="AR237" s="45">
        <v>128502</v>
      </c>
      <c r="AS237" s="22">
        <v>7.838036374904524E-5</v>
      </c>
      <c r="AT237" s="22">
        <v>0.99868155239885659</v>
      </c>
      <c r="AU237" s="22" t="s">
        <v>215</v>
      </c>
      <c r="AV237" s="22" t="s">
        <v>166</v>
      </c>
      <c r="AW237" s="22" t="s">
        <v>222</v>
      </c>
      <c r="AX237" s="23">
        <v>654</v>
      </c>
      <c r="AY237" s="24">
        <v>39.437185929648244</v>
      </c>
      <c r="AZ237" s="23">
        <v>50</v>
      </c>
      <c r="BA237" s="26">
        <v>30</v>
      </c>
      <c r="BB237" s="44" t="s">
        <v>154</v>
      </c>
      <c r="BC237" s="26">
        <v>0.5527777777777777</v>
      </c>
      <c r="BD237" s="23">
        <v>30</v>
      </c>
      <c r="BE237" s="26">
        <v>33.166666666666664</v>
      </c>
      <c r="BF237" s="26">
        <v>49.75</v>
      </c>
      <c r="BG237" s="24"/>
      <c r="BI237" s="26"/>
      <c r="BJ237" s="23"/>
      <c r="BK237" s="26"/>
      <c r="BL237" s="27"/>
      <c r="BN237" s="13"/>
      <c r="BO237" s="43"/>
      <c r="BP237" s="42"/>
    </row>
    <row r="238" spans="1:68" s="1" customFormat="1" x14ac:dyDescent="0.3">
      <c r="A238" s="12" t="s">
        <v>345</v>
      </c>
      <c r="B238" s="12">
        <v>102008</v>
      </c>
      <c r="C238" s="13" t="s">
        <v>344</v>
      </c>
      <c r="D238" s="13" t="s">
        <v>44</v>
      </c>
      <c r="E238" s="14">
        <v>655</v>
      </c>
      <c r="F238" s="15" t="s">
        <v>137</v>
      </c>
      <c r="G238" s="6">
        <v>3</v>
      </c>
      <c r="H238" s="6">
        <v>4</v>
      </c>
      <c r="I238" s="6">
        <v>5</v>
      </c>
      <c r="J238" s="6">
        <v>15</v>
      </c>
      <c r="K238" s="6">
        <v>11</v>
      </c>
      <c r="L238" s="6">
        <v>6</v>
      </c>
      <c r="M238" s="6">
        <v>5</v>
      </c>
      <c r="N238" s="6">
        <v>8</v>
      </c>
      <c r="O238" s="6">
        <v>13</v>
      </c>
      <c r="P238" s="6">
        <v>7</v>
      </c>
      <c r="Q238" s="6">
        <v>23</v>
      </c>
      <c r="R238" s="6">
        <v>9</v>
      </c>
      <c r="S238" s="6">
        <v>26</v>
      </c>
      <c r="T238" s="6">
        <v>0</v>
      </c>
      <c r="U238" s="6">
        <v>12</v>
      </c>
      <c r="V238" s="6">
        <v>2</v>
      </c>
      <c r="W238" s="6">
        <v>0</v>
      </c>
      <c r="X238" s="6">
        <v>3</v>
      </c>
      <c r="Y238" s="6">
        <v>8</v>
      </c>
      <c r="Z238" s="6">
        <v>6</v>
      </c>
      <c r="AA238" s="6">
        <v>1</v>
      </c>
      <c r="AB238" s="6">
        <v>14</v>
      </c>
      <c r="AC238" s="6">
        <v>2</v>
      </c>
      <c r="AD238" s="6">
        <v>8</v>
      </c>
      <c r="AE238" s="6">
        <v>109</v>
      </c>
      <c r="AF238" s="6">
        <v>82</v>
      </c>
      <c r="AG238" s="16">
        <v>191</v>
      </c>
      <c r="AH238" s="17">
        <v>9.0833333333333339</v>
      </c>
      <c r="AI238" s="17">
        <v>6.833333333333333</v>
      </c>
      <c r="AJ238" s="17">
        <v>7.9583333333333339</v>
      </c>
      <c r="AK238" s="49">
        <v>2.3602679289801711E-5</v>
      </c>
      <c r="AL238" s="48">
        <v>7.6137833545286124</v>
      </c>
      <c r="AM238" s="19">
        <v>6.6820926601507535</v>
      </c>
      <c r="AN238" s="47">
        <v>1.1142121982236994</v>
      </c>
      <c r="AO238" s="20">
        <v>0.83963467980951867</v>
      </c>
      <c r="AP238" s="44">
        <v>-0.24770642201834869</v>
      </c>
      <c r="AQ238" s="46">
        <v>53710</v>
      </c>
      <c r="AR238" s="45">
        <v>125105</v>
      </c>
      <c r="AS238" s="22">
        <v>7.6308348561301027E-5</v>
      </c>
      <c r="AT238" s="22">
        <v>0.9987578607474179</v>
      </c>
      <c r="AU238" s="22" t="s">
        <v>215</v>
      </c>
      <c r="AV238" s="22" t="s">
        <v>166</v>
      </c>
      <c r="AW238" s="22" t="s">
        <v>222</v>
      </c>
      <c r="AX238" s="23">
        <v>7</v>
      </c>
      <c r="AY238" s="24">
        <v>1.024390243902439</v>
      </c>
      <c r="AZ238" s="23">
        <v>9</v>
      </c>
      <c r="BA238" s="26">
        <v>5</v>
      </c>
      <c r="BB238" s="44" t="s">
        <v>154</v>
      </c>
      <c r="BC238" s="26">
        <v>0.22777777777777777</v>
      </c>
      <c r="BD238" s="23">
        <v>30</v>
      </c>
      <c r="BE238" s="26">
        <v>13.666666666666666</v>
      </c>
      <c r="BF238" s="26">
        <v>20.5</v>
      </c>
      <c r="BG238" s="24"/>
      <c r="BI238" s="26"/>
      <c r="BJ238" s="23"/>
      <c r="BK238" s="26"/>
      <c r="BL238" s="27"/>
      <c r="BN238" s="13"/>
      <c r="BO238" s="43"/>
      <c r="BP238" s="42"/>
    </row>
    <row r="239" spans="1:68" s="1" customFormat="1" x14ac:dyDescent="0.3">
      <c r="A239" s="12" t="s">
        <v>343</v>
      </c>
      <c r="B239" s="12">
        <v>107002</v>
      </c>
      <c r="C239" s="13" t="s">
        <v>342</v>
      </c>
      <c r="D239" s="13" t="s">
        <v>137</v>
      </c>
      <c r="E239" s="14">
        <v>660</v>
      </c>
      <c r="F239" s="15" t="s">
        <v>137</v>
      </c>
      <c r="G239" s="6">
        <v>0</v>
      </c>
      <c r="H239" s="6">
        <v>0</v>
      </c>
      <c r="I239" s="6">
        <v>4</v>
      </c>
      <c r="J239" s="6">
        <v>3</v>
      </c>
      <c r="K239" s="6">
        <v>7</v>
      </c>
      <c r="L239" s="6">
        <v>10</v>
      </c>
      <c r="M239" s="6">
        <v>4</v>
      </c>
      <c r="N239" s="6">
        <v>7</v>
      </c>
      <c r="O239" s="6">
        <v>14</v>
      </c>
      <c r="P239" s="6">
        <v>8</v>
      </c>
      <c r="Q239" s="6">
        <v>15</v>
      </c>
      <c r="R239" s="6">
        <v>11</v>
      </c>
      <c r="S239" s="6">
        <v>14</v>
      </c>
      <c r="T239" s="6">
        <v>0</v>
      </c>
      <c r="U239" s="6">
        <v>6</v>
      </c>
      <c r="V239" s="6">
        <v>14</v>
      </c>
      <c r="W239" s="6">
        <v>5</v>
      </c>
      <c r="X239" s="6">
        <v>5</v>
      </c>
      <c r="Y239" s="6">
        <v>19</v>
      </c>
      <c r="Z239" s="6">
        <v>8</v>
      </c>
      <c r="AA239" s="6">
        <v>6</v>
      </c>
      <c r="AB239" s="6">
        <v>12</v>
      </c>
      <c r="AC239" s="6">
        <v>2</v>
      </c>
      <c r="AD239" s="6">
        <v>8</v>
      </c>
      <c r="AE239" s="6">
        <v>83</v>
      </c>
      <c r="AF239" s="6">
        <v>99</v>
      </c>
      <c r="AG239" s="16">
        <v>182</v>
      </c>
      <c r="AH239" s="17">
        <v>6.916666666666667</v>
      </c>
      <c r="AI239" s="17">
        <v>8.25</v>
      </c>
      <c r="AJ239" s="17">
        <v>7.5833333333333339</v>
      </c>
      <c r="AK239" s="49">
        <v>2.8495917679150847E-5</v>
      </c>
      <c r="AL239" s="48">
        <v>5.5123827548859152</v>
      </c>
      <c r="AM239" s="19">
        <v>5.1744915034079026</v>
      </c>
      <c r="AN239" s="47">
        <v>0.66816760665283825</v>
      </c>
      <c r="AO239" s="20">
        <v>0.68235052792192119</v>
      </c>
      <c r="AP239" s="44">
        <v>0.19277108433734935</v>
      </c>
      <c r="AQ239" s="46">
        <v>65340</v>
      </c>
      <c r="AR239" s="45">
        <v>120120</v>
      </c>
      <c r="AS239" s="22">
        <v>7.3267725743843008E-5</v>
      </c>
      <c r="AT239" s="22">
        <v>0.9988311284731618</v>
      </c>
      <c r="AU239" s="22" t="s">
        <v>215</v>
      </c>
      <c r="AV239" s="22" t="s">
        <v>166</v>
      </c>
      <c r="AW239" s="22" t="s">
        <v>222</v>
      </c>
      <c r="AX239" s="23">
        <v>59</v>
      </c>
      <c r="AY239" s="24">
        <v>7.1515151515151514</v>
      </c>
      <c r="AZ239" s="23">
        <v>10</v>
      </c>
      <c r="BA239" s="26">
        <v>5</v>
      </c>
      <c r="BB239" s="44" t="s">
        <v>154</v>
      </c>
      <c r="BC239" s="26">
        <v>0.27500000000000002</v>
      </c>
      <c r="BD239" s="23">
        <v>30</v>
      </c>
      <c r="BE239" s="26">
        <v>16.5</v>
      </c>
      <c r="BF239" s="26">
        <v>24.75</v>
      </c>
      <c r="BG239" s="24"/>
      <c r="BI239" s="26"/>
      <c r="BJ239" s="23"/>
      <c r="BK239" s="26"/>
      <c r="BL239" s="27"/>
      <c r="BN239" s="13"/>
      <c r="BO239" s="43"/>
      <c r="BP239" s="42"/>
    </row>
    <row r="240" spans="1:68" s="1" customFormat="1" x14ac:dyDescent="0.3">
      <c r="A240" s="12" t="s">
        <v>341</v>
      </c>
      <c r="B240" s="12">
        <v>108002</v>
      </c>
      <c r="C240" s="13" t="s">
        <v>340</v>
      </c>
      <c r="D240" s="13" t="s">
        <v>339</v>
      </c>
      <c r="E240" s="14">
        <v>1250</v>
      </c>
      <c r="F240" s="15" t="s">
        <v>137</v>
      </c>
      <c r="G240" s="6">
        <v>0</v>
      </c>
      <c r="H240" s="6">
        <v>10</v>
      </c>
      <c r="I240" s="6">
        <v>0</v>
      </c>
      <c r="J240" s="6">
        <v>0</v>
      </c>
      <c r="K240" s="6">
        <v>19</v>
      </c>
      <c r="L240" s="6">
        <v>18</v>
      </c>
      <c r="M240" s="6">
        <v>5</v>
      </c>
      <c r="N240" s="6">
        <v>0</v>
      </c>
      <c r="O240" s="6">
        <v>28</v>
      </c>
      <c r="P240" s="6">
        <v>9</v>
      </c>
      <c r="Q240" s="6">
        <v>3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1</v>
      </c>
      <c r="Z240" s="6">
        <v>0</v>
      </c>
      <c r="AA240" s="6">
        <v>2</v>
      </c>
      <c r="AB240" s="6">
        <v>0</v>
      </c>
      <c r="AC240" s="6">
        <v>0</v>
      </c>
      <c r="AD240" s="6">
        <v>0</v>
      </c>
      <c r="AE240" s="6">
        <v>92</v>
      </c>
      <c r="AF240" s="6">
        <v>3</v>
      </c>
      <c r="AG240" s="16">
        <v>95</v>
      </c>
      <c r="AH240" s="17">
        <v>7.666666666666667</v>
      </c>
      <c r="AI240" s="17">
        <v>0.25</v>
      </c>
      <c r="AJ240" s="17">
        <v>3.9583333333333335</v>
      </c>
      <c r="AK240" s="49">
        <v>8.635126569439651E-7</v>
      </c>
      <c r="AL240" s="48">
        <v>0.62158156050806102</v>
      </c>
      <c r="AM240" s="19">
        <v>7.5554711916290325</v>
      </c>
      <c r="AN240" s="47">
        <v>2.4863262420322441</v>
      </c>
      <c r="AO240" s="20">
        <v>1.9087506168325976</v>
      </c>
      <c r="AP240" s="44">
        <v>-0.96739130434782605</v>
      </c>
      <c r="AQ240" s="46">
        <v>3750</v>
      </c>
      <c r="AR240" s="45">
        <v>118750</v>
      </c>
      <c r="AS240" s="22">
        <v>7.2432088179165481E-5</v>
      </c>
      <c r="AT240" s="22">
        <v>0.998903560561341</v>
      </c>
      <c r="AU240" s="22" t="s">
        <v>215</v>
      </c>
      <c r="AV240" s="22" t="s">
        <v>166</v>
      </c>
      <c r="AW240" s="22" t="s">
        <v>222</v>
      </c>
      <c r="AX240" s="23">
        <v>87</v>
      </c>
      <c r="AY240" s="24">
        <v>348</v>
      </c>
      <c r="AZ240" s="23">
        <v>14</v>
      </c>
      <c r="BA240" s="23">
        <v>10</v>
      </c>
      <c r="BB240" s="44" t="s">
        <v>154</v>
      </c>
      <c r="BC240" s="26">
        <v>8.3333333333333332E-3</v>
      </c>
      <c r="BD240" s="23">
        <v>30</v>
      </c>
      <c r="BE240" s="26">
        <v>0.5</v>
      </c>
      <c r="BF240" s="26">
        <v>0.75</v>
      </c>
      <c r="BG240" s="24"/>
      <c r="BI240" s="26"/>
      <c r="BJ240" s="23"/>
      <c r="BK240" s="26"/>
      <c r="BL240" s="27"/>
      <c r="BN240" s="13"/>
      <c r="BO240" s="43"/>
      <c r="BP240" s="42"/>
    </row>
    <row r="241" spans="1:68" s="1" customFormat="1" x14ac:dyDescent="0.3">
      <c r="A241" s="12" t="s">
        <v>338</v>
      </c>
      <c r="B241" s="12">
        <v>103037</v>
      </c>
      <c r="C241" s="13" t="s">
        <v>337</v>
      </c>
      <c r="D241" s="13" t="s">
        <v>47</v>
      </c>
      <c r="E241" s="14">
        <v>476</v>
      </c>
      <c r="F241" s="15" t="s">
        <v>137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15</v>
      </c>
      <c r="T241" s="6">
        <v>16</v>
      </c>
      <c r="U241" s="6">
        <v>80</v>
      </c>
      <c r="V241" s="6">
        <v>9</v>
      </c>
      <c r="W241" s="6">
        <v>2</v>
      </c>
      <c r="X241" s="6">
        <v>16</v>
      </c>
      <c r="Y241" s="6">
        <v>8</v>
      </c>
      <c r="Z241" s="6">
        <v>0</v>
      </c>
      <c r="AA241" s="6">
        <v>22</v>
      </c>
      <c r="AB241" s="6">
        <v>69</v>
      </c>
      <c r="AC241" s="6">
        <v>0</v>
      </c>
      <c r="AD241" s="6">
        <v>3</v>
      </c>
      <c r="AE241" s="6">
        <v>0</v>
      </c>
      <c r="AF241" s="6">
        <v>240</v>
      </c>
      <c r="AG241" s="16">
        <v>240</v>
      </c>
      <c r="AH241" s="17">
        <v>0</v>
      </c>
      <c r="AI241" s="17">
        <v>20</v>
      </c>
      <c r="AJ241" s="17">
        <v>10</v>
      </c>
      <c r="AK241" s="49">
        <v>6.9081012555517212E-5</v>
      </c>
      <c r="AL241" s="48">
        <v>26.526144907173443</v>
      </c>
      <c r="AM241" s="19">
        <v>20.996894180268455</v>
      </c>
      <c r="AN241" s="47">
        <v>1.3263072453586722</v>
      </c>
      <c r="AO241" s="20">
        <v>2.0996894180268457</v>
      </c>
      <c r="AP241" s="44">
        <v>0</v>
      </c>
      <c r="AQ241" s="46">
        <v>114240</v>
      </c>
      <c r="AR241" s="45">
        <v>114240</v>
      </c>
      <c r="AS241" s="22">
        <v>6.9681193714424126E-5</v>
      </c>
      <c r="AT241" s="22">
        <v>0.99897324175505542</v>
      </c>
      <c r="AU241" s="22" t="s">
        <v>215</v>
      </c>
      <c r="AV241" s="22" t="s">
        <v>166</v>
      </c>
      <c r="AW241" s="22" t="s">
        <v>222</v>
      </c>
      <c r="AX241" s="23">
        <v>138</v>
      </c>
      <c r="AY241" s="24">
        <v>6.9</v>
      </c>
      <c r="AZ241" s="23">
        <v>35</v>
      </c>
      <c r="BA241" s="26">
        <v>15</v>
      </c>
      <c r="BB241" s="44" t="s">
        <v>154</v>
      </c>
      <c r="BC241" s="26">
        <v>0.66666666666666663</v>
      </c>
      <c r="BD241" s="23">
        <v>30</v>
      </c>
      <c r="BE241" s="26">
        <v>40</v>
      </c>
      <c r="BF241" s="26">
        <v>60</v>
      </c>
      <c r="BG241" s="24"/>
      <c r="BI241" s="26"/>
      <c r="BJ241" s="23"/>
      <c r="BK241" s="26"/>
      <c r="BL241" s="27"/>
      <c r="BN241" s="13"/>
      <c r="BO241" s="43"/>
      <c r="BP241" s="42"/>
    </row>
    <row r="242" spans="1:68" s="1" customFormat="1" x14ac:dyDescent="0.3">
      <c r="A242" s="12" t="s">
        <v>336</v>
      </c>
      <c r="B242" s="12">
        <v>102058</v>
      </c>
      <c r="C242" s="13" t="s">
        <v>335</v>
      </c>
      <c r="D242" s="13" t="s">
        <v>53</v>
      </c>
      <c r="E242" s="14">
        <v>42</v>
      </c>
      <c r="F242" s="15" t="s">
        <v>137</v>
      </c>
      <c r="G242" s="6">
        <v>50</v>
      </c>
      <c r="H242" s="6">
        <v>14</v>
      </c>
      <c r="I242" s="6">
        <v>251</v>
      </c>
      <c r="J242" s="6">
        <v>42</v>
      </c>
      <c r="K242" s="6">
        <v>115</v>
      </c>
      <c r="L242" s="6">
        <v>57</v>
      </c>
      <c r="M242" s="6">
        <v>73</v>
      </c>
      <c r="N242" s="6">
        <v>53</v>
      </c>
      <c r="O242" s="6">
        <v>30</v>
      </c>
      <c r="P242" s="6">
        <v>194</v>
      </c>
      <c r="Q242" s="6">
        <v>158</v>
      </c>
      <c r="R242" s="6">
        <v>176</v>
      </c>
      <c r="S242" s="6">
        <v>269</v>
      </c>
      <c r="T242" s="6">
        <v>115</v>
      </c>
      <c r="U242" s="6">
        <v>122</v>
      </c>
      <c r="V242" s="6">
        <v>91</v>
      </c>
      <c r="W242" s="6">
        <v>69</v>
      </c>
      <c r="X242" s="6">
        <v>70</v>
      </c>
      <c r="Y242" s="6">
        <v>141</v>
      </c>
      <c r="Z242" s="6">
        <v>88</v>
      </c>
      <c r="AA242" s="6">
        <v>228</v>
      </c>
      <c r="AB242" s="6">
        <v>180</v>
      </c>
      <c r="AC242" s="6">
        <v>88</v>
      </c>
      <c r="AD242" s="6">
        <v>14</v>
      </c>
      <c r="AE242" s="6">
        <v>1213</v>
      </c>
      <c r="AF242" s="6">
        <v>1475</v>
      </c>
      <c r="AG242" s="16">
        <v>2688</v>
      </c>
      <c r="AH242" s="17">
        <v>101.08333333333333</v>
      </c>
      <c r="AI242" s="17">
        <v>122.91666666666667</v>
      </c>
      <c r="AJ242" s="17">
        <v>112</v>
      </c>
      <c r="AK242" s="49">
        <v>4.2456038966411617E-4</v>
      </c>
      <c r="AL242" s="48">
        <v>72.022039976830996</v>
      </c>
      <c r="AM242" s="19">
        <v>73.382262991400921</v>
      </c>
      <c r="AN242" s="47">
        <v>0.58594202015048946</v>
      </c>
      <c r="AO242" s="20">
        <v>0.65519877670893678</v>
      </c>
      <c r="AP242" s="44">
        <v>0.2159934047815335</v>
      </c>
      <c r="AQ242" s="46">
        <v>61950</v>
      </c>
      <c r="AR242" s="45">
        <v>112896</v>
      </c>
      <c r="AS242" s="22">
        <v>6.8861414964842656E-5</v>
      </c>
      <c r="AT242" s="22">
        <v>0.99904210317002029</v>
      </c>
      <c r="AU242" s="22" t="s">
        <v>215</v>
      </c>
      <c r="AV242" s="22" t="s">
        <v>166</v>
      </c>
      <c r="AW242" s="22" t="s">
        <v>222</v>
      </c>
      <c r="AX242" s="23">
        <v>542</v>
      </c>
      <c r="AY242" s="24">
        <v>4.4094915254237286</v>
      </c>
      <c r="AZ242" s="23">
        <v>280</v>
      </c>
      <c r="BA242" s="26">
        <v>155</v>
      </c>
      <c r="BB242" s="44" t="s">
        <v>154</v>
      </c>
      <c r="BC242" s="26">
        <v>4.0972222222222223</v>
      </c>
      <c r="BD242" s="23">
        <v>30</v>
      </c>
      <c r="BE242" s="26">
        <v>245.83333333333334</v>
      </c>
      <c r="BF242" s="26">
        <v>368.75</v>
      </c>
      <c r="BG242" s="24"/>
      <c r="BI242" s="26"/>
      <c r="BJ242" s="23"/>
      <c r="BK242" s="26"/>
      <c r="BL242" s="27"/>
      <c r="BN242" s="13"/>
      <c r="BO242" s="43"/>
      <c r="BP242" s="42"/>
    </row>
    <row r="243" spans="1:68" s="1" customFormat="1" x14ac:dyDescent="0.3">
      <c r="A243" s="12" t="s">
        <v>334</v>
      </c>
      <c r="B243" s="12">
        <v>102123</v>
      </c>
      <c r="C243" s="13" t="s">
        <v>333</v>
      </c>
      <c r="D243" s="13" t="s">
        <v>137</v>
      </c>
      <c r="E243" s="14">
        <v>1904</v>
      </c>
      <c r="F243" s="15" t="s">
        <v>137</v>
      </c>
      <c r="G243" s="6">
        <v>2</v>
      </c>
      <c r="H243" s="6">
        <v>16</v>
      </c>
      <c r="I243" s="6">
        <v>2</v>
      </c>
      <c r="J243" s="6">
        <v>1</v>
      </c>
      <c r="K243" s="6">
        <v>0</v>
      </c>
      <c r="L243" s="6">
        <v>3</v>
      </c>
      <c r="M243" s="6">
        <v>4</v>
      </c>
      <c r="N243" s="6">
        <v>10</v>
      </c>
      <c r="O243" s="6">
        <v>0</v>
      </c>
      <c r="P243" s="6">
        <v>1</v>
      </c>
      <c r="Q243" s="6">
        <v>0</v>
      </c>
      <c r="R243" s="6">
        <v>0</v>
      </c>
      <c r="S243" s="6">
        <v>1</v>
      </c>
      <c r="T243" s="6">
        <v>0</v>
      </c>
      <c r="U243" s="6">
        <v>3</v>
      </c>
      <c r="V243" s="6">
        <v>0</v>
      </c>
      <c r="W243" s="6">
        <v>1</v>
      </c>
      <c r="X243" s="6">
        <v>1</v>
      </c>
      <c r="Y243" s="6">
        <v>2</v>
      </c>
      <c r="Z243" s="6">
        <v>3</v>
      </c>
      <c r="AA243" s="6">
        <v>3</v>
      </c>
      <c r="AB243" s="6">
        <v>0</v>
      </c>
      <c r="AC243" s="6">
        <v>2</v>
      </c>
      <c r="AD243" s="6">
        <v>1</v>
      </c>
      <c r="AE243" s="6">
        <v>39</v>
      </c>
      <c r="AF243" s="6">
        <v>17</v>
      </c>
      <c r="AG243" s="16">
        <v>56</v>
      </c>
      <c r="AH243" s="17">
        <v>3.25</v>
      </c>
      <c r="AI243" s="17">
        <v>1.4166666666666667</v>
      </c>
      <c r="AJ243" s="17">
        <v>2.3333333333333335</v>
      </c>
      <c r="AK243" s="49">
        <v>4.8932383893491354E-6</v>
      </c>
      <c r="AL243" s="48">
        <v>1.164500152881315</v>
      </c>
      <c r="AM243" s="19">
        <v>3.60756049895538</v>
      </c>
      <c r="AN243" s="47">
        <v>0.82200010791622236</v>
      </c>
      <c r="AO243" s="20">
        <v>1.5460973566951628</v>
      </c>
      <c r="AP243" s="44">
        <v>-0.5641025641025641</v>
      </c>
      <c r="AQ243" s="46">
        <v>32368</v>
      </c>
      <c r="AR243" s="45">
        <v>106624</v>
      </c>
      <c r="AS243" s="22">
        <v>6.5035780800129172E-5</v>
      </c>
      <c r="AT243" s="22">
        <v>0.99910713895082037</v>
      </c>
      <c r="AU243" s="22" t="s">
        <v>215</v>
      </c>
      <c r="AV243" s="22" t="s">
        <v>166</v>
      </c>
      <c r="AW243" s="22" t="s">
        <v>222</v>
      </c>
      <c r="AX243" s="23">
        <v>39</v>
      </c>
      <c r="AY243" s="24">
        <v>27.52941176470588</v>
      </c>
      <c r="AZ243" s="23">
        <v>3</v>
      </c>
      <c r="BA243" s="26">
        <v>2</v>
      </c>
      <c r="BB243" s="44" t="s">
        <v>154</v>
      </c>
      <c r="BC243" s="26">
        <v>4.7222222222222228E-2</v>
      </c>
      <c r="BD243" s="23">
        <v>30</v>
      </c>
      <c r="BE243" s="26">
        <v>2.8333333333333335</v>
      </c>
      <c r="BF243" s="26">
        <v>4.25</v>
      </c>
      <c r="BG243" s="24"/>
      <c r="BI243" s="26"/>
      <c r="BJ243" s="23"/>
      <c r="BK243" s="26"/>
      <c r="BL243" s="27"/>
      <c r="BN243" s="13"/>
      <c r="BO243" s="43"/>
      <c r="BP243" s="42"/>
    </row>
    <row r="244" spans="1:68" s="1" customFormat="1" x14ac:dyDescent="0.3">
      <c r="A244" s="12" t="s">
        <v>332</v>
      </c>
      <c r="B244" s="12">
        <v>102205</v>
      </c>
      <c r="C244" s="13" t="s">
        <v>331</v>
      </c>
      <c r="D244" s="13" t="s">
        <v>137</v>
      </c>
      <c r="E244" s="14">
        <v>97580</v>
      </c>
      <c r="F244" s="15" t="s">
        <v>137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1</v>
      </c>
      <c r="AB244" s="6">
        <v>0</v>
      </c>
      <c r="AC244" s="6">
        <v>0</v>
      </c>
      <c r="AD244" s="6">
        <v>0</v>
      </c>
      <c r="AE244" s="6">
        <v>0</v>
      </c>
      <c r="AF244" s="6">
        <v>1</v>
      </c>
      <c r="AG244" s="16">
        <v>1</v>
      </c>
      <c r="AH244" s="17">
        <v>0</v>
      </c>
      <c r="AI244" s="17">
        <v>8.3333333333333329E-2</v>
      </c>
      <c r="AJ244" s="17">
        <v>4.1666666666666664E-2</v>
      </c>
      <c r="AK244" s="49">
        <v>2.8783755231465503E-7</v>
      </c>
      <c r="AL244" s="48">
        <v>0.28867513459481287</v>
      </c>
      <c r="AM244" s="19">
        <v>0.20412414523193151</v>
      </c>
      <c r="AN244" s="47">
        <v>3.4641016151377544</v>
      </c>
      <c r="AO244" s="20">
        <v>4.8989794855663567</v>
      </c>
      <c r="AP244" s="44">
        <v>0</v>
      </c>
      <c r="AQ244" s="46">
        <v>97580</v>
      </c>
      <c r="AR244" s="45">
        <v>97580</v>
      </c>
      <c r="AS244" s="22">
        <v>5.9519352964403938E-5</v>
      </c>
      <c r="AT244" s="22">
        <v>0.99916665830378482</v>
      </c>
      <c r="AU244" s="22" t="s">
        <v>215</v>
      </c>
      <c r="AV244" s="22" t="s">
        <v>166</v>
      </c>
      <c r="AW244" s="22" t="s">
        <v>222</v>
      </c>
      <c r="AX244" s="23">
        <v>2</v>
      </c>
      <c r="AY244" s="24">
        <v>24</v>
      </c>
      <c r="AZ244" s="23">
        <v>0</v>
      </c>
      <c r="BA244" s="26">
        <v>0</v>
      </c>
      <c r="BB244" s="44" t="s">
        <v>154</v>
      </c>
      <c r="BC244" s="26">
        <v>2.7777777777777775E-3</v>
      </c>
      <c r="BD244" s="23">
        <v>30</v>
      </c>
      <c r="BE244" s="26">
        <v>0.16666666666666666</v>
      </c>
      <c r="BF244" s="26">
        <v>0.25</v>
      </c>
      <c r="BG244" s="24"/>
      <c r="BI244" s="26"/>
      <c r="BJ244" s="23"/>
      <c r="BK244" s="26"/>
      <c r="BL244" s="27"/>
      <c r="BN244" s="13"/>
      <c r="BO244" s="43"/>
      <c r="BP244" s="42"/>
    </row>
    <row r="245" spans="1:68" s="1" customFormat="1" x14ac:dyDescent="0.3">
      <c r="A245" s="12" t="s">
        <v>330</v>
      </c>
      <c r="B245" s="12">
        <v>102108</v>
      </c>
      <c r="C245" s="13" t="s">
        <v>329</v>
      </c>
      <c r="D245" s="13" t="s">
        <v>47</v>
      </c>
      <c r="E245" s="14">
        <v>8955</v>
      </c>
      <c r="F245" s="15" t="s">
        <v>137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10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10</v>
      </c>
      <c r="AG245" s="16">
        <v>10</v>
      </c>
      <c r="AH245" s="17">
        <v>0</v>
      </c>
      <c r="AI245" s="17">
        <v>0.83333333333333337</v>
      </c>
      <c r="AJ245" s="17">
        <v>0.41666666666666669</v>
      </c>
      <c r="AK245" s="49">
        <v>2.8783755231465503E-6</v>
      </c>
      <c r="AL245" s="48">
        <v>2.8867513459481291</v>
      </c>
      <c r="AM245" s="19">
        <v>2.0412414523193148</v>
      </c>
      <c r="AN245" s="47">
        <v>3.4641016151377548</v>
      </c>
      <c r="AO245" s="20">
        <v>4.8989794855663549</v>
      </c>
      <c r="AP245" s="44">
        <v>0</v>
      </c>
      <c r="AQ245" s="46">
        <v>89550</v>
      </c>
      <c r="AR245" s="45">
        <v>89550</v>
      </c>
      <c r="AS245" s="22">
        <v>5.4621418917425418E-5</v>
      </c>
      <c r="AT245" s="22">
        <v>0.99922127972270225</v>
      </c>
      <c r="AU245" s="22" t="s">
        <v>215</v>
      </c>
      <c r="AV245" s="22" t="s">
        <v>166</v>
      </c>
      <c r="AW245" s="22" t="s">
        <v>222</v>
      </c>
      <c r="AX245" s="23">
        <v>0</v>
      </c>
      <c r="AY245" s="24">
        <v>0</v>
      </c>
      <c r="AZ245" s="23">
        <v>0</v>
      </c>
      <c r="BA245" s="26">
        <v>0</v>
      </c>
      <c r="BB245" s="44" t="s">
        <v>198</v>
      </c>
      <c r="BC245" s="26">
        <v>2.777777777777778E-2</v>
      </c>
      <c r="BD245" s="23">
        <v>30</v>
      </c>
      <c r="BE245" s="26">
        <v>1.6666666666666667</v>
      </c>
      <c r="BF245" s="26">
        <v>2.5</v>
      </c>
      <c r="BG245" s="24"/>
      <c r="BI245" s="26"/>
      <c r="BJ245" s="23"/>
      <c r="BK245" s="26"/>
      <c r="BL245" s="27"/>
      <c r="BN245" s="13"/>
      <c r="BO245" s="43"/>
      <c r="BP245" s="42"/>
    </row>
    <row r="246" spans="1:68" s="1" customFormat="1" x14ac:dyDescent="0.3">
      <c r="A246" s="12" t="s">
        <v>328</v>
      </c>
      <c r="B246" s="12">
        <v>106053</v>
      </c>
      <c r="C246" s="13" t="s">
        <v>327</v>
      </c>
      <c r="D246" s="13" t="s">
        <v>44</v>
      </c>
      <c r="E246" s="14">
        <v>225</v>
      </c>
      <c r="F246" s="15" t="s">
        <v>137</v>
      </c>
      <c r="G246" s="6">
        <v>5</v>
      </c>
      <c r="H246" s="6">
        <v>32</v>
      </c>
      <c r="I246" s="6">
        <v>41</v>
      </c>
      <c r="J246" s="6">
        <v>3</v>
      </c>
      <c r="K246" s="6">
        <v>0</v>
      </c>
      <c r="L246" s="6">
        <v>2</v>
      </c>
      <c r="M246" s="6">
        <v>13</v>
      </c>
      <c r="N246" s="6">
        <v>14</v>
      </c>
      <c r="O246" s="6">
        <v>6</v>
      </c>
      <c r="P246" s="6">
        <v>15</v>
      </c>
      <c r="Q246" s="6">
        <v>21</v>
      </c>
      <c r="R246" s="6">
        <v>27</v>
      </c>
      <c r="S246" s="6">
        <v>6</v>
      </c>
      <c r="T246" s="6">
        <v>55</v>
      </c>
      <c r="U246" s="6">
        <v>46</v>
      </c>
      <c r="V246" s="6">
        <v>34</v>
      </c>
      <c r="W246" s="6">
        <v>31</v>
      </c>
      <c r="X246" s="6">
        <v>0</v>
      </c>
      <c r="Y246" s="6">
        <v>10</v>
      </c>
      <c r="Z246" s="6">
        <v>17</v>
      </c>
      <c r="AA246" s="6">
        <v>0</v>
      </c>
      <c r="AB246" s="6">
        <v>1</v>
      </c>
      <c r="AC246" s="6">
        <v>0</v>
      </c>
      <c r="AD246" s="6">
        <v>0</v>
      </c>
      <c r="AE246" s="6">
        <v>179</v>
      </c>
      <c r="AF246" s="6">
        <v>200</v>
      </c>
      <c r="AG246" s="16">
        <v>379</v>
      </c>
      <c r="AH246" s="17">
        <v>14.916666666666666</v>
      </c>
      <c r="AI246" s="17">
        <v>16.666666666666668</v>
      </c>
      <c r="AJ246" s="17">
        <v>15.791666666666668</v>
      </c>
      <c r="AK246" s="49">
        <v>5.7567510462931005E-5</v>
      </c>
      <c r="AL246" s="48">
        <v>19.88756273441146</v>
      </c>
      <c r="AM246" s="19">
        <v>16.468624098877992</v>
      </c>
      <c r="AN246" s="47">
        <v>1.1932537640646876</v>
      </c>
      <c r="AO246" s="20">
        <v>1.0428680168154929</v>
      </c>
      <c r="AP246" s="44">
        <v>0.11731843575419007</v>
      </c>
      <c r="AQ246" s="46">
        <v>45000</v>
      </c>
      <c r="AR246" s="45">
        <v>85275</v>
      </c>
      <c r="AS246" s="22">
        <v>5.2013863742975464E-5</v>
      </c>
      <c r="AT246" s="22">
        <v>0.99932634864239467</v>
      </c>
      <c r="AU246" s="22" t="s">
        <v>215</v>
      </c>
      <c r="AV246" s="22" t="s">
        <v>166</v>
      </c>
      <c r="AW246" s="22" t="s">
        <v>222</v>
      </c>
      <c r="AX246" s="23">
        <v>214</v>
      </c>
      <c r="AY246" s="24">
        <v>12.84</v>
      </c>
      <c r="AZ246" s="23">
        <v>35</v>
      </c>
      <c r="BA246" s="26">
        <v>10</v>
      </c>
      <c r="BB246" s="44" t="s">
        <v>154</v>
      </c>
      <c r="BC246" s="26">
        <v>0.55555555555555558</v>
      </c>
      <c r="BD246" s="23">
        <v>30</v>
      </c>
      <c r="BE246" s="26">
        <v>33.333333333333336</v>
      </c>
      <c r="BF246" s="26">
        <v>50</v>
      </c>
      <c r="BG246" s="24"/>
      <c r="BI246" s="26"/>
      <c r="BJ246" s="23"/>
      <c r="BK246" s="26"/>
      <c r="BL246" s="27"/>
      <c r="BN246" s="13"/>
      <c r="BO246" s="43"/>
      <c r="BP246" s="42"/>
    </row>
    <row r="247" spans="1:68" s="1" customFormat="1" x14ac:dyDescent="0.3">
      <c r="A247" s="12" t="s">
        <v>326</v>
      </c>
      <c r="B247" s="12">
        <v>103018</v>
      </c>
      <c r="C247" s="13" t="s">
        <v>325</v>
      </c>
      <c r="D247" s="13" t="s">
        <v>64</v>
      </c>
      <c r="E247" s="14">
        <v>107</v>
      </c>
      <c r="F247" s="15" t="s">
        <v>137</v>
      </c>
      <c r="G247" s="6">
        <v>13</v>
      </c>
      <c r="H247" s="6">
        <v>25</v>
      </c>
      <c r="I247" s="6">
        <v>18</v>
      </c>
      <c r="J247" s="6">
        <v>42</v>
      </c>
      <c r="K247" s="6">
        <v>76</v>
      </c>
      <c r="L247" s="6">
        <v>58</v>
      </c>
      <c r="M247" s="6">
        <v>31</v>
      </c>
      <c r="N247" s="6">
        <v>13</v>
      </c>
      <c r="O247" s="6">
        <v>77</v>
      </c>
      <c r="P247" s="6">
        <v>40</v>
      </c>
      <c r="Q247" s="6">
        <v>29</v>
      </c>
      <c r="R247" s="6">
        <v>1</v>
      </c>
      <c r="S247" s="6">
        <v>97</v>
      </c>
      <c r="T247" s="6">
        <v>30</v>
      </c>
      <c r="U247" s="6">
        <v>8</v>
      </c>
      <c r="V247" s="6">
        <v>11</v>
      </c>
      <c r="W247" s="6">
        <v>23</v>
      </c>
      <c r="X247" s="6">
        <v>6</v>
      </c>
      <c r="Y247" s="6">
        <v>0</v>
      </c>
      <c r="Z247" s="6">
        <v>46</v>
      </c>
      <c r="AA247" s="6">
        <v>10</v>
      </c>
      <c r="AB247" s="6">
        <v>4</v>
      </c>
      <c r="AC247" s="6">
        <v>33</v>
      </c>
      <c r="AD247" s="6">
        <v>48</v>
      </c>
      <c r="AE247" s="6">
        <v>423</v>
      </c>
      <c r="AF247" s="6">
        <v>316</v>
      </c>
      <c r="AG247" s="16">
        <v>739</v>
      </c>
      <c r="AH247" s="17">
        <v>35.25</v>
      </c>
      <c r="AI247" s="17">
        <v>26.333333333333332</v>
      </c>
      <c r="AJ247" s="17">
        <v>30.791666666666664</v>
      </c>
      <c r="AK247" s="49">
        <v>9.0956666531430988E-5</v>
      </c>
      <c r="AL247" s="48">
        <v>27.572493979370531</v>
      </c>
      <c r="AM247" s="19">
        <v>25.919573209493993</v>
      </c>
      <c r="AN247" s="47">
        <v>1.0470567333938177</v>
      </c>
      <c r="AO247" s="20">
        <v>0.84177233697950726</v>
      </c>
      <c r="AP247" s="44">
        <v>-0.25295508274231682</v>
      </c>
      <c r="AQ247" s="46">
        <v>33812</v>
      </c>
      <c r="AR247" s="45">
        <v>79073</v>
      </c>
      <c r="AS247" s="22">
        <v>4.8230926388136013E-5</v>
      </c>
      <c r="AT247" s="22">
        <v>0.99937457956878284</v>
      </c>
      <c r="AU247" s="22" t="s">
        <v>215</v>
      </c>
      <c r="AV247" s="22" t="s">
        <v>166</v>
      </c>
      <c r="AW247" s="22" t="s">
        <v>222</v>
      </c>
      <c r="AX247" s="23">
        <v>376</v>
      </c>
      <c r="AY247" s="24">
        <v>14.278481012658229</v>
      </c>
      <c r="AZ247" s="23">
        <v>53</v>
      </c>
      <c r="BA247" s="26">
        <v>30</v>
      </c>
      <c r="BB247" s="44" t="s">
        <v>154</v>
      </c>
      <c r="BC247" s="26">
        <v>0.87777777777777777</v>
      </c>
      <c r="BD247" s="23">
        <v>30</v>
      </c>
      <c r="BE247" s="26">
        <v>52.666666666666664</v>
      </c>
      <c r="BF247" s="26">
        <v>79</v>
      </c>
      <c r="BG247" s="24"/>
      <c r="BI247" s="26"/>
      <c r="BJ247" s="23"/>
      <c r="BK247" s="26"/>
      <c r="BL247" s="27"/>
      <c r="BN247" s="13"/>
      <c r="BO247" s="43"/>
      <c r="BP247" s="42"/>
    </row>
    <row r="248" spans="1:68" s="1" customFormat="1" x14ac:dyDescent="0.3">
      <c r="A248" s="12" t="s">
        <v>324</v>
      </c>
      <c r="B248" s="12">
        <v>106077</v>
      </c>
      <c r="C248" s="13" t="s">
        <v>323</v>
      </c>
      <c r="D248" s="13" t="s">
        <v>47</v>
      </c>
      <c r="E248" s="14">
        <v>2618</v>
      </c>
      <c r="F248" s="15" t="s">
        <v>137</v>
      </c>
      <c r="G248" s="6">
        <v>1</v>
      </c>
      <c r="H248" s="6">
        <v>4</v>
      </c>
      <c r="I248" s="6">
        <v>1</v>
      </c>
      <c r="J248" s="6">
        <v>3</v>
      </c>
      <c r="K248" s="6">
        <v>1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1</v>
      </c>
      <c r="R248" s="6">
        <v>1</v>
      </c>
      <c r="S248" s="6">
        <v>3</v>
      </c>
      <c r="T248" s="6">
        <v>0</v>
      </c>
      <c r="U248" s="6">
        <v>0</v>
      </c>
      <c r="V248" s="6">
        <v>2</v>
      </c>
      <c r="W248" s="6">
        <v>2</v>
      </c>
      <c r="X248" s="6">
        <v>0</v>
      </c>
      <c r="Y248" s="6">
        <v>1</v>
      </c>
      <c r="Z248" s="6">
        <v>1</v>
      </c>
      <c r="AA248" s="6">
        <v>2</v>
      </c>
      <c r="AB248" s="6">
        <v>0</v>
      </c>
      <c r="AC248" s="6">
        <v>0</v>
      </c>
      <c r="AD248" s="6">
        <v>5</v>
      </c>
      <c r="AE248" s="6">
        <v>12</v>
      </c>
      <c r="AF248" s="6">
        <v>16</v>
      </c>
      <c r="AG248" s="16">
        <v>28</v>
      </c>
      <c r="AH248" s="17">
        <v>1</v>
      </c>
      <c r="AI248" s="17">
        <v>1.3333333333333333</v>
      </c>
      <c r="AJ248" s="17">
        <v>1.1666666666666665</v>
      </c>
      <c r="AK248" s="49">
        <v>4.6054008370344805E-6</v>
      </c>
      <c r="AL248" s="48">
        <v>1.556997888323046</v>
      </c>
      <c r="AM248" s="19">
        <v>1.4039282363260679</v>
      </c>
      <c r="AN248" s="47">
        <v>1.1677484162422846</v>
      </c>
      <c r="AO248" s="20">
        <v>1.2033670597080584</v>
      </c>
      <c r="AP248" s="44">
        <v>0.33333333333333326</v>
      </c>
      <c r="AQ248" s="46">
        <v>41888</v>
      </c>
      <c r="AR248" s="45">
        <v>73304</v>
      </c>
      <c r="AS248" s="22">
        <v>4.471209930008881E-5</v>
      </c>
      <c r="AT248" s="22">
        <v>0.99946691934954301</v>
      </c>
      <c r="AU248" s="22" t="s">
        <v>215</v>
      </c>
      <c r="AV248" s="22" t="s">
        <v>166</v>
      </c>
      <c r="AW248" s="22" t="s">
        <v>222</v>
      </c>
      <c r="AX248" s="23">
        <v>31</v>
      </c>
      <c r="AY248" s="24">
        <v>23.25</v>
      </c>
      <c r="AZ248" s="23">
        <v>3</v>
      </c>
      <c r="BA248" s="26">
        <v>1</v>
      </c>
      <c r="BB248" s="44" t="s">
        <v>154</v>
      </c>
      <c r="BC248" s="26">
        <v>4.4444444444444439E-2</v>
      </c>
      <c r="BD248" s="23">
        <v>30</v>
      </c>
      <c r="BE248" s="26">
        <v>2.6666666666666665</v>
      </c>
      <c r="BF248" s="26">
        <v>4</v>
      </c>
      <c r="BG248" s="24"/>
      <c r="BI248" s="26"/>
      <c r="BJ248" s="23"/>
      <c r="BK248" s="26"/>
      <c r="BL248" s="27"/>
      <c r="BN248" s="13"/>
      <c r="BO248" s="43"/>
      <c r="BP248" s="42"/>
    </row>
    <row r="249" spans="1:68" s="1" customFormat="1" x14ac:dyDescent="0.3">
      <c r="A249" s="12" t="s">
        <v>322</v>
      </c>
      <c r="B249" s="12">
        <v>102158</v>
      </c>
      <c r="C249" s="13" t="s">
        <v>321</v>
      </c>
      <c r="D249" s="13" t="s">
        <v>44</v>
      </c>
      <c r="E249" s="14">
        <v>13792</v>
      </c>
      <c r="F249" s="15" t="s">
        <v>137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2</v>
      </c>
      <c r="AC249" s="6">
        <v>3</v>
      </c>
      <c r="AD249" s="6">
        <v>0</v>
      </c>
      <c r="AE249" s="6">
        <v>0</v>
      </c>
      <c r="AF249" s="6">
        <v>5</v>
      </c>
      <c r="AG249" s="16">
        <v>5</v>
      </c>
      <c r="AH249" s="17">
        <v>0</v>
      </c>
      <c r="AI249" s="17">
        <v>0.41666666666666669</v>
      </c>
      <c r="AJ249" s="17">
        <v>0.20833333333333334</v>
      </c>
      <c r="AK249" s="49">
        <v>1.4391877615732752E-6</v>
      </c>
      <c r="AL249" s="48">
        <v>0.99620491989562188</v>
      </c>
      <c r="AM249" s="19">
        <v>0.72106000875924603</v>
      </c>
      <c r="AN249" s="47">
        <v>2.3908918077494925</v>
      </c>
      <c r="AO249" s="20">
        <v>3.4610880420443806</v>
      </c>
      <c r="AP249" s="44">
        <v>0</v>
      </c>
      <c r="AQ249" s="46">
        <v>68960</v>
      </c>
      <c r="AR249" s="45">
        <v>68960</v>
      </c>
      <c r="AS249" s="22">
        <v>4.2062457270191592E-5</v>
      </c>
      <c r="AT249" s="22">
        <v>0.99950898180681325</v>
      </c>
      <c r="AU249" s="22" t="s">
        <v>215</v>
      </c>
      <c r="AV249" s="22" t="s">
        <v>166</v>
      </c>
      <c r="AW249" s="22" t="s">
        <v>222</v>
      </c>
      <c r="AX249" s="23">
        <v>4</v>
      </c>
      <c r="AY249" s="24">
        <v>9.6</v>
      </c>
      <c r="AZ249" s="23">
        <v>0</v>
      </c>
      <c r="BA249" s="26">
        <v>0</v>
      </c>
      <c r="BB249" s="44" t="s">
        <v>154</v>
      </c>
      <c r="BC249" s="26">
        <v>1.388888888888889E-2</v>
      </c>
      <c r="BD249" s="23">
        <v>30</v>
      </c>
      <c r="BE249" s="26">
        <v>0.83333333333333337</v>
      </c>
      <c r="BF249" s="26">
        <v>1.25</v>
      </c>
      <c r="BG249" s="24"/>
      <c r="BI249" s="26"/>
      <c r="BJ249" s="23"/>
      <c r="BK249" s="26"/>
      <c r="BL249" s="27"/>
      <c r="BN249" s="13"/>
      <c r="BO249" s="43"/>
      <c r="BP249" s="42"/>
    </row>
    <row r="250" spans="1:68" s="1" customFormat="1" x14ac:dyDescent="0.3">
      <c r="A250" s="12" t="s">
        <v>320</v>
      </c>
      <c r="B250" s="12">
        <v>103013</v>
      </c>
      <c r="C250" s="13" t="s">
        <v>319</v>
      </c>
      <c r="D250" s="13" t="s">
        <v>277</v>
      </c>
      <c r="E250" s="14">
        <v>343</v>
      </c>
      <c r="F250" s="15" t="s">
        <v>137</v>
      </c>
      <c r="G250" s="6">
        <v>2</v>
      </c>
      <c r="H250" s="6">
        <v>2</v>
      </c>
      <c r="I250" s="6">
        <v>8</v>
      </c>
      <c r="J250" s="6">
        <v>3</v>
      </c>
      <c r="K250" s="6">
        <v>3</v>
      </c>
      <c r="L250" s="6">
        <v>18</v>
      </c>
      <c r="M250" s="6">
        <v>9</v>
      </c>
      <c r="N250" s="6">
        <v>14</v>
      </c>
      <c r="O250" s="6">
        <v>5</v>
      </c>
      <c r="P250" s="6">
        <v>10</v>
      </c>
      <c r="Q250" s="6">
        <v>10</v>
      </c>
      <c r="R250" s="6">
        <v>5</v>
      </c>
      <c r="S250" s="6">
        <v>4</v>
      </c>
      <c r="T250" s="6">
        <v>4</v>
      </c>
      <c r="U250" s="6">
        <v>4</v>
      </c>
      <c r="V250" s="6">
        <v>9</v>
      </c>
      <c r="W250" s="6">
        <v>15</v>
      </c>
      <c r="X250" s="6">
        <v>12</v>
      </c>
      <c r="Y250" s="6">
        <v>13</v>
      </c>
      <c r="Z250" s="6">
        <v>10</v>
      </c>
      <c r="AA250" s="6">
        <v>7</v>
      </c>
      <c r="AB250" s="6">
        <v>6</v>
      </c>
      <c r="AC250" s="6">
        <v>11</v>
      </c>
      <c r="AD250" s="6">
        <v>11</v>
      </c>
      <c r="AE250" s="6">
        <v>89</v>
      </c>
      <c r="AF250" s="6">
        <v>106</v>
      </c>
      <c r="AG250" s="16">
        <v>195</v>
      </c>
      <c r="AH250" s="17">
        <v>7.416666666666667</v>
      </c>
      <c r="AI250" s="17">
        <v>8.8333333333333339</v>
      </c>
      <c r="AJ250" s="17">
        <v>8.125</v>
      </c>
      <c r="AK250" s="49">
        <v>3.0510780545353433E-5</v>
      </c>
      <c r="AL250" s="48">
        <v>3.785938897200182</v>
      </c>
      <c r="AM250" s="19">
        <v>4.4263293262417589</v>
      </c>
      <c r="AN250" s="47">
        <v>0.42859685628681304</v>
      </c>
      <c r="AO250" s="20">
        <v>0.54477899399898566</v>
      </c>
      <c r="AP250" s="44">
        <v>0.1910112359550562</v>
      </c>
      <c r="AQ250" s="46">
        <v>36358</v>
      </c>
      <c r="AR250" s="45">
        <v>66885</v>
      </c>
      <c r="AS250" s="22">
        <v>4.0796801834639857E-5</v>
      </c>
      <c r="AT250" s="22">
        <v>0.99959077486558012</v>
      </c>
      <c r="AU250" s="22" t="s">
        <v>215</v>
      </c>
      <c r="AV250" s="22" t="s">
        <v>166</v>
      </c>
      <c r="AW250" s="22" t="s">
        <v>222</v>
      </c>
      <c r="AX250" s="23">
        <v>24</v>
      </c>
      <c r="AY250" s="24">
        <v>2.7169811320754715</v>
      </c>
      <c r="AZ250" s="23">
        <v>9</v>
      </c>
      <c r="BA250" s="26">
        <v>4</v>
      </c>
      <c r="BB250" s="44" t="s">
        <v>154</v>
      </c>
      <c r="BC250" s="26">
        <v>0.29444444444444445</v>
      </c>
      <c r="BD250" s="23">
        <v>30</v>
      </c>
      <c r="BE250" s="26">
        <v>17.666666666666668</v>
      </c>
      <c r="BF250" s="26">
        <v>26.5</v>
      </c>
      <c r="BG250" s="24"/>
      <c r="BI250" s="26"/>
      <c r="BJ250" s="23"/>
      <c r="BK250" s="26"/>
      <c r="BL250" s="27"/>
      <c r="BN250" s="13"/>
      <c r="BO250" s="43"/>
      <c r="BP250" s="42"/>
    </row>
    <row r="251" spans="1:68" s="1" customFormat="1" x14ac:dyDescent="0.3">
      <c r="A251" s="12" t="s">
        <v>318</v>
      </c>
      <c r="B251" s="12">
        <v>106052</v>
      </c>
      <c r="C251" s="13" t="s">
        <v>317</v>
      </c>
      <c r="D251" s="13" t="s">
        <v>44</v>
      </c>
      <c r="E251" s="14">
        <v>387</v>
      </c>
      <c r="F251" s="15" t="s">
        <v>137</v>
      </c>
      <c r="G251" s="6">
        <v>5</v>
      </c>
      <c r="H251" s="6">
        <v>6</v>
      </c>
      <c r="I251" s="6">
        <v>3</v>
      </c>
      <c r="J251" s="6">
        <v>20</v>
      </c>
      <c r="K251" s="6">
        <v>7</v>
      </c>
      <c r="L251" s="6">
        <v>28</v>
      </c>
      <c r="M251" s="6">
        <v>9</v>
      </c>
      <c r="N251" s="6">
        <v>3</v>
      </c>
      <c r="O251" s="6">
        <v>8</v>
      </c>
      <c r="P251" s="6">
        <v>8</v>
      </c>
      <c r="Q251" s="6">
        <v>4</v>
      </c>
      <c r="R251" s="6">
        <v>2</v>
      </c>
      <c r="S251" s="6">
        <v>10</v>
      </c>
      <c r="T251" s="6">
        <v>3</v>
      </c>
      <c r="U251" s="6">
        <v>5</v>
      </c>
      <c r="V251" s="6">
        <v>4</v>
      </c>
      <c r="W251" s="6">
        <v>9</v>
      </c>
      <c r="X251" s="6">
        <v>3</v>
      </c>
      <c r="Y251" s="6">
        <v>3</v>
      </c>
      <c r="Z251" s="6">
        <v>8</v>
      </c>
      <c r="AA251" s="6">
        <v>0</v>
      </c>
      <c r="AB251" s="6">
        <v>9</v>
      </c>
      <c r="AC251" s="6">
        <v>0</v>
      </c>
      <c r="AD251" s="6">
        <v>6</v>
      </c>
      <c r="AE251" s="6">
        <v>103</v>
      </c>
      <c r="AF251" s="6">
        <v>60</v>
      </c>
      <c r="AG251" s="16">
        <v>163</v>
      </c>
      <c r="AH251" s="17">
        <v>8.5833333333333339</v>
      </c>
      <c r="AI251" s="17">
        <v>5</v>
      </c>
      <c r="AJ251" s="17">
        <v>6.791666666666667</v>
      </c>
      <c r="AK251" s="49">
        <v>1.7270253138879303E-5</v>
      </c>
      <c r="AL251" s="48">
        <v>3.437758254761643</v>
      </c>
      <c r="AM251" s="19">
        <v>6.1288992320890259</v>
      </c>
      <c r="AN251" s="47">
        <v>0.68755165095232862</v>
      </c>
      <c r="AO251" s="20">
        <v>0.90241461085973385</v>
      </c>
      <c r="AP251" s="44">
        <v>-0.41747572815533984</v>
      </c>
      <c r="AQ251" s="46">
        <v>23220</v>
      </c>
      <c r="AR251" s="45">
        <v>63081</v>
      </c>
      <c r="AS251" s="22">
        <v>3.8476535195199474E-5</v>
      </c>
      <c r="AT251" s="22">
        <v>0.9996292514007753</v>
      </c>
      <c r="AU251" s="22" t="s">
        <v>215</v>
      </c>
      <c r="AV251" s="22" t="s">
        <v>166</v>
      </c>
      <c r="AW251" s="22" t="s">
        <v>222</v>
      </c>
      <c r="AX251" s="23">
        <v>66</v>
      </c>
      <c r="AY251" s="24">
        <v>13.2</v>
      </c>
      <c r="AZ251" s="23">
        <v>4</v>
      </c>
      <c r="BA251" s="26">
        <v>2</v>
      </c>
      <c r="BB251" s="44" t="s">
        <v>154</v>
      </c>
      <c r="BC251" s="26">
        <v>0.16666666666666666</v>
      </c>
      <c r="BD251" s="23">
        <v>30</v>
      </c>
      <c r="BE251" s="26">
        <v>10</v>
      </c>
      <c r="BF251" s="26">
        <v>15</v>
      </c>
      <c r="BG251" s="24"/>
      <c r="BI251" s="26"/>
      <c r="BJ251" s="23"/>
      <c r="BK251" s="26"/>
      <c r="BL251" s="27"/>
      <c r="BN251" s="13"/>
      <c r="BO251" s="43"/>
      <c r="BP251" s="42"/>
    </row>
    <row r="252" spans="1:68" s="1" customFormat="1" x14ac:dyDescent="0.3">
      <c r="A252" s="12" t="s">
        <v>316</v>
      </c>
      <c r="B252" s="12">
        <v>103039</v>
      </c>
      <c r="C252" s="13" t="s">
        <v>315</v>
      </c>
      <c r="D252" s="13" t="s">
        <v>277</v>
      </c>
      <c r="E252" s="14">
        <v>1398</v>
      </c>
      <c r="F252" s="15" t="s">
        <v>137</v>
      </c>
      <c r="G252" s="6">
        <v>1</v>
      </c>
      <c r="H252" s="6">
        <v>0</v>
      </c>
      <c r="I252" s="6">
        <v>2</v>
      </c>
      <c r="J252" s="6">
        <v>2</v>
      </c>
      <c r="K252" s="6">
        <v>1</v>
      </c>
      <c r="L252" s="6">
        <v>0</v>
      </c>
      <c r="M252" s="6">
        <v>4</v>
      </c>
      <c r="N252" s="6">
        <v>0</v>
      </c>
      <c r="O252" s="6">
        <v>0</v>
      </c>
      <c r="P252" s="6">
        <v>2</v>
      </c>
      <c r="Q252" s="6">
        <v>2</v>
      </c>
      <c r="R252" s="6">
        <v>1</v>
      </c>
      <c r="S252" s="6">
        <v>1</v>
      </c>
      <c r="T252" s="6">
        <v>0</v>
      </c>
      <c r="U252" s="6">
        <v>4</v>
      </c>
      <c r="V252" s="6">
        <v>1</v>
      </c>
      <c r="W252" s="6">
        <v>2</v>
      </c>
      <c r="X252" s="6">
        <v>1</v>
      </c>
      <c r="Y252" s="6">
        <v>2</v>
      </c>
      <c r="Z252" s="6">
        <v>3</v>
      </c>
      <c r="AA252" s="6">
        <v>2</v>
      </c>
      <c r="AB252" s="6">
        <v>4</v>
      </c>
      <c r="AC252" s="6">
        <v>1</v>
      </c>
      <c r="AD252" s="6">
        <v>1</v>
      </c>
      <c r="AE252" s="6">
        <v>15</v>
      </c>
      <c r="AF252" s="6">
        <v>22</v>
      </c>
      <c r="AG252" s="16">
        <v>37</v>
      </c>
      <c r="AH252" s="17">
        <v>1.25</v>
      </c>
      <c r="AI252" s="17">
        <v>1.8333333333333333</v>
      </c>
      <c r="AJ252" s="17">
        <v>1.5416666666666665</v>
      </c>
      <c r="AK252" s="49">
        <v>6.3324261509224103E-6</v>
      </c>
      <c r="AL252" s="48">
        <v>1.2673044646258473</v>
      </c>
      <c r="AM252" s="19">
        <v>1.2503622663458176</v>
      </c>
      <c r="AN252" s="47">
        <v>0.69125698070500763</v>
      </c>
      <c r="AO252" s="20">
        <v>0.81104579438647639</v>
      </c>
      <c r="AP252" s="44">
        <v>0.46666666666666662</v>
      </c>
      <c r="AQ252" s="46">
        <v>30756</v>
      </c>
      <c r="AR252" s="45">
        <v>51726</v>
      </c>
      <c r="AS252" s="22">
        <v>3.1550502679204327E-5</v>
      </c>
      <c r="AT252" s="22">
        <v>0.99969460557778622</v>
      </c>
      <c r="AU252" s="22" t="s">
        <v>215</v>
      </c>
      <c r="AV252" s="22" t="s">
        <v>166</v>
      </c>
      <c r="AW252" s="22" t="s">
        <v>222</v>
      </c>
      <c r="AX252" s="23">
        <v>24</v>
      </c>
      <c r="AY252" s="24">
        <v>13.090909090909092</v>
      </c>
      <c r="AZ252" s="23">
        <v>4</v>
      </c>
      <c r="BA252" s="26">
        <v>2</v>
      </c>
      <c r="BB252" s="44" t="s">
        <v>154</v>
      </c>
      <c r="BC252" s="26">
        <v>6.1111111111111109E-2</v>
      </c>
      <c r="BD252" s="23">
        <v>30</v>
      </c>
      <c r="BE252" s="26">
        <v>3.6666666666666665</v>
      </c>
      <c r="BF252" s="26">
        <v>5.5</v>
      </c>
      <c r="BG252" s="24"/>
      <c r="BI252" s="26"/>
      <c r="BJ252" s="23"/>
      <c r="BK252" s="26"/>
      <c r="BL252" s="27"/>
      <c r="BN252" s="13"/>
      <c r="BO252" s="43"/>
      <c r="BP252" s="42"/>
    </row>
    <row r="253" spans="1:68" s="1" customFormat="1" x14ac:dyDescent="0.3">
      <c r="A253" s="12" t="s">
        <v>314</v>
      </c>
      <c r="B253" s="12">
        <v>106036</v>
      </c>
      <c r="C253" s="13" t="s">
        <v>313</v>
      </c>
      <c r="D253" s="13" t="s">
        <v>44</v>
      </c>
      <c r="E253" s="14">
        <v>90</v>
      </c>
      <c r="F253" s="15" t="s">
        <v>137</v>
      </c>
      <c r="G253" s="6">
        <v>22</v>
      </c>
      <c r="H253" s="6">
        <v>14</v>
      </c>
      <c r="I253" s="6">
        <v>21</v>
      </c>
      <c r="J253" s="6">
        <v>24</v>
      </c>
      <c r="K253" s="6">
        <v>30</v>
      </c>
      <c r="L253" s="6">
        <v>31</v>
      </c>
      <c r="M253" s="6">
        <v>18</v>
      </c>
      <c r="N253" s="6">
        <v>16</v>
      </c>
      <c r="O253" s="6">
        <v>45</v>
      </c>
      <c r="P253" s="6">
        <v>17</v>
      </c>
      <c r="Q253" s="6">
        <v>11</v>
      </c>
      <c r="R253" s="6">
        <v>20</v>
      </c>
      <c r="S253" s="6">
        <v>37</v>
      </c>
      <c r="T253" s="6">
        <v>14</v>
      </c>
      <c r="U253" s="6">
        <v>33</v>
      </c>
      <c r="V253" s="6">
        <v>36</v>
      </c>
      <c r="W253" s="6">
        <v>38</v>
      </c>
      <c r="X253" s="6">
        <v>5</v>
      </c>
      <c r="Y253" s="6">
        <v>36</v>
      </c>
      <c r="Z253" s="6">
        <v>33</v>
      </c>
      <c r="AA253" s="6">
        <v>22</v>
      </c>
      <c r="AB253" s="6">
        <v>41</v>
      </c>
      <c r="AC253" s="6">
        <v>8</v>
      </c>
      <c r="AD253" s="6">
        <v>0</v>
      </c>
      <c r="AE253" s="6">
        <v>269</v>
      </c>
      <c r="AF253" s="6">
        <v>303</v>
      </c>
      <c r="AG253" s="16">
        <v>572</v>
      </c>
      <c r="AH253" s="17">
        <v>22.416666666666668</v>
      </c>
      <c r="AI253" s="17">
        <v>25.25</v>
      </c>
      <c r="AJ253" s="17">
        <v>23.833333333333336</v>
      </c>
      <c r="AK253" s="49">
        <v>8.7214778351340475E-5</v>
      </c>
      <c r="AL253" s="48">
        <v>14.716255699673807</v>
      </c>
      <c r="AM253" s="19">
        <v>12.110601416389967</v>
      </c>
      <c r="AN253" s="47">
        <v>0.58282200790787353</v>
      </c>
      <c r="AO253" s="20">
        <v>0.50813712236601249</v>
      </c>
      <c r="AP253" s="44">
        <v>0.1263940520446096</v>
      </c>
      <c r="AQ253" s="46">
        <v>27270</v>
      </c>
      <c r="AR253" s="45">
        <v>51480</v>
      </c>
      <c r="AS253" s="22">
        <v>3.1400453890218431E-5</v>
      </c>
      <c r="AT253" s="22">
        <v>0.9997260060316765</v>
      </c>
      <c r="AU253" s="22" t="s">
        <v>215</v>
      </c>
      <c r="AV253" s="22" t="s">
        <v>166</v>
      </c>
      <c r="AW253" s="22" t="s">
        <v>222</v>
      </c>
      <c r="AX253" s="23">
        <v>191</v>
      </c>
      <c r="AY253" s="24">
        <v>7.564356435643564</v>
      </c>
      <c r="AZ253" s="23">
        <v>28</v>
      </c>
      <c r="BA253" s="26">
        <v>15</v>
      </c>
      <c r="BB253" s="44" t="s">
        <v>154</v>
      </c>
      <c r="BC253" s="26">
        <v>0.84166666666666667</v>
      </c>
      <c r="BD253" s="23">
        <v>30</v>
      </c>
      <c r="BE253" s="26">
        <v>50.5</v>
      </c>
      <c r="BF253" s="26">
        <v>75.75</v>
      </c>
      <c r="BG253" s="24"/>
      <c r="BI253" s="26"/>
      <c r="BJ253" s="23"/>
      <c r="BK253" s="26"/>
      <c r="BL253" s="27"/>
      <c r="BN253" s="13"/>
      <c r="BO253" s="43"/>
      <c r="BP253" s="42"/>
    </row>
    <row r="254" spans="1:68" s="1" customFormat="1" x14ac:dyDescent="0.3">
      <c r="A254" s="12" t="s">
        <v>312</v>
      </c>
      <c r="B254" s="12">
        <v>102192</v>
      </c>
      <c r="C254" s="13" t="s">
        <v>311</v>
      </c>
      <c r="D254" s="13" t="s">
        <v>62</v>
      </c>
      <c r="E254" s="14">
        <v>16797</v>
      </c>
      <c r="F254" s="15" t="s">
        <v>137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1</v>
      </c>
      <c r="Z254" s="6">
        <v>1</v>
      </c>
      <c r="AA254" s="6">
        <v>1</v>
      </c>
      <c r="AB254" s="6">
        <v>0</v>
      </c>
      <c r="AC254" s="6">
        <v>0</v>
      </c>
      <c r="AD254" s="6">
        <v>0</v>
      </c>
      <c r="AE254" s="6">
        <v>0</v>
      </c>
      <c r="AF254" s="6">
        <v>3</v>
      </c>
      <c r="AG254" s="16">
        <v>3</v>
      </c>
      <c r="AH254" s="17">
        <v>0</v>
      </c>
      <c r="AI254" s="17">
        <v>0.25</v>
      </c>
      <c r="AJ254" s="17">
        <v>0.125</v>
      </c>
      <c r="AK254" s="49">
        <v>8.635126569439651E-7</v>
      </c>
      <c r="AL254" s="48">
        <v>0.45226701686664544</v>
      </c>
      <c r="AM254" s="19">
        <v>0.33783196234608809</v>
      </c>
      <c r="AN254" s="47">
        <v>1.8090680674665818</v>
      </c>
      <c r="AO254" s="20">
        <v>2.7026556987687047</v>
      </c>
      <c r="AP254" s="44">
        <v>0</v>
      </c>
      <c r="AQ254" s="46">
        <v>50391</v>
      </c>
      <c r="AR254" s="45">
        <v>50391</v>
      </c>
      <c r="AS254" s="22">
        <v>3.0736213519463813E-5</v>
      </c>
      <c r="AT254" s="22">
        <v>0.99975674224519595</v>
      </c>
      <c r="AU254" s="22" t="s">
        <v>215</v>
      </c>
      <c r="AV254" s="22" t="s">
        <v>166</v>
      </c>
      <c r="AW254" s="22" t="s">
        <v>222</v>
      </c>
      <c r="AX254" s="23">
        <v>64</v>
      </c>
      <c r="AY254" s="24">
        <v>256</v>
      </c>
      <c r="AZ254" s="23">
        <v>6</v>
      </c>
      <c r="BA254" s="26">
        <v>3</v>
      </c>
      <c r="BB254" s="44" t="s">
        <v>154</v>
      </c>
      <c r="BC254" s="26">
        <v>8.3333333333333332E-3</v>
      </c>
      <c r="BD254" s="23">
        <v>30</v>
      </c>
      <c r="BE254" s="26">
        <v>0.5</v>
      </c>
      <c r="BF254" s="26">
        <v>0.75</v>
      </c>
      <c r="BG254" s="24"/>
      <c r="BI254" s="26"/>
      <c r="BJ254" s="23"/>
      <c r="BK254" s="26"/>
      <c r="BL254" s="27"/>
      <c r="BN254" s="13"/>
      <c r="BO254" s="43"/>
      <c r="BP254" s="42"/>
    </row>
    <row r="255" spans="1:68" s="1" customFormat="1" x14ac:dyDescent="0.3">
      <c r="A255" s="12" t="s">
        <v>310</v>
      </c>
      <c r="B255" s="12">
        <v>106029</v>
      </c>
      <c r="C255" s="13" t="s">
        <v>309</v>
      </c>
      <c r="D255" s="13" t="s">
        <v>44</v>
      </c>
      <c r="E255" s="14">
        <v>1512</v>
      </c>
      <c r="F255" s="15" t="s">
        <v>137</v>
      </c>
      <c r="G255" s="6">
        <v>0</v>
      </c>
      <c r="H255" s="6">
        <v>1</v>
      </c>
      <c r="I255" s="6">
        <v>7</v>
      </c>
      <c r="J255" s="6">
        <v>1</v>
      </c>
      <c r="K255" s="6">
        <v>2</v>
      </c>
      <c r="L255" s="6">
        <v>2</v>
      </c>
      <c r="M255" s="6">
        <v>0</v>
      </c>
      <c r="N255" s="6">
        <v>0</v>
      </c>
      <c r="O255" s="6">
        <v>1</v>
      </c>
      <c r="P255" s="6">
        <v>0</v>
      </c>
      <c r="Q255" s="6">
        <v>0</v>
      </c>
      <c r="R255" s="6">
        <v>0</v>
      </c>
      <c r="S255" s="6">
        <v>1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3</v>
      </c>
      <c r="AA255" s="6">
        <v>0</v>
      </c>
      <c r="AB255" s="6">
        <v>0</v>
      </c>
      <c r="AC255" s="6">
        <v>4</v>
      </c>
      <c r="AD255" s="6">
        <v>7</v>
      </c>
      <c r="AE255" s="6">
        <v>14</v>
      </c>
      <c r="AF255" s="6">
        <v>15</v>
      </c>
      <c r="AG255" s="16">
        <v>29</v>
      </c>
      <c r="AH255" s="17">
        <v>1.1666666666666667</v>
      </c>
      <c r="AI255" s="17">
        <v>1.25</v>
      </c>
      <c r="AJ255" s="17">
        <v>1.2083333333333335</v>
      </c>
      <c r="AK255" s="49">
        <v>4.3175632847198257E-6</v>
      </c>
      <c r="AL255" s="48">
        <v>2.2613350843332269</v>
      </c>
      <c r="AM255" s="19">
        <v>2.0847096902815085</v>
      </c>
      <c r="AN255" s="47">
        <v>1.8090680674665816</v>
      </c>
      <c r="AO255" s="20">
        <v>1.7252769850605585</v>
      </c>
      <c r="AP255" s="44">
        <v>7.1428571428571355E-2</v>
      </c>
      <c r="AQ255" s="46">
        <v>22680</v>
      </c>
      <c r="AR255" s="45">
        <v>43848</v>
      </c>
      <c r="AS255" s="22">
        <v>2.6745281705095139E-5</v>
      </c>
      <c r="AT255" s="22">
        <v>0.99978348752690105</v>
      </c>
      <c r="AU255" s="22" t="s">
        <v>215</v>
      </c>
      <c r="AV255" s="22" t="s">
        <v>166</v>
      </c>
      <c r="AW255" s="22" t="s">
        <v>222</v>
      </c>
      <c r="AX255" s="23">
        <v>0</v>
      </c>
      <c r="AY255" s="24">
        <v>0</v>
      </c>
      <c r="AZ255" s="23">
        <v>2</v>
      </c>
      <c r="BA255" s="26">
        <v>1</v>
      </c>
      <c r="BB255" s="44" t="s">
        <v>198</v>
      </c>
      <c r="BC255" s="26">
        <v>4.1666666666666664E-2</v>
      </c>
      <c r="BD255" s="23">
        <v>30</v>
      </c>
      <c r="BE255" s="26">
        <v>2.5</v>
      </c>
      <c r="BF255" s="26">
        <v>3.75</v>
      </c>
      <c r="BG255" s="24"/>
      <c r="BI255" s="26"/>
      <c r="BJ255" s="23"/>
      <c r="BK255" s="26"/>
      <c r="BL255" s="27"/>
      <c r="BN255" s="13"/>
      <c r="BO255" s="43"/>
      <c r="BP255" s="42"/>
    </row>
    <row r="256" spans="1:68" s="1" customFormat="1" x14ac:dyDescent="0.3">
      <c r="A256" s="12" t="s">
        <v>308</v>
      </c>
      <c r="B256" s="12">
        <v>104003</v>
      </c>
      <c r="C256" s="13" t="s">
        <v>307</v>
      </c>
      <c r="D256" s="13" t="s">
        <v>53</v>
      </c>
      <c r="E256" s="14">
        <v>83</v>
      </c>
      <c r="F256" s="15" t="s">
        <v>137</v>
      </c>
      <c r="G256" s="6">
        <v>1</v>
      </c>
      <c r="H256" s="6">
        <v>45</v>
      </c>
      <c r="I256" s="6">
        <v>35</v>
      </c>
      <c r="J256" s="6">
        <v>80</v>
      </c>
      <c r="K256" s="6">
        <v>0</v>
      </c>
      <c r="L256" s="6">
        <v>19</v>
      </c>
      <c r="M256" s="6">
        <v>3</v>
      </c>
      <c r="N256" s="6">
        <v>0</v>
      </c>
      <c r="O256" s="6">
        <v>33</v>
      </c>
      <c r="P256" s="6">
        <v>12</v>
      </c>
      <c r="Q256" s="6">
        <v>10</v>
      </c>
      <c r="R256" s="6">
        <v>75</v>
      </c>
      <c r="S256" s="6">
        <v>15</v>
      </c>
      <c r="T256" s="6">
        <v>18</v>
      </c>
      <c r="U256" s="6">
        <v>5</v>
      </c>
      <c r="V256" s="6">
        <v>38</v>
      </c>
      <c r="W256" s="6">
        <v>53</v>
      </c>
      <c r="X256" s="6">
        <v>1</v>
      </c>
      <c r="Y256" s="6">
        <v>0</v>
      </c>
      <c r="Z256" s="6">
        <v>0</v>
      </c>
      <c r="AA256" s="6">
        <v>7</v>
      </c>
      <c r="AB256" s="6">
        <v>14</v>
      </c>
      <c r="AC256" s="6">
        <v>0</v>
      </c>
      <c r="AD256" s="6">
        <v>10</v>
      </c>
      <c r="AE256" s="6">
        <v>313</v>
      </c>
      <c r="AF256" s="6">
        <v>161</v>
      </c>
      <c r="AG256" s="16">
        <v>474</v>
      </c>
      <c r="AH256" s="17">
        <v>26.083333333333332</v>
      </c>
      <c r="AI256" s="17">
        <v>13.416666666666666</v>
      </c>
      <c r="AJ256" s="17">
        <v>19.75</v>
      </c>
      <c r="AK256" s="49">
        <v>4.6341845922659458E-5</v>
      </c>
      <c r="AL256" s="48">
        <v>16.549970246242594</v>
      </c>
      <c r="AM256" s="19">
        <v>23.581956993688497</v>
      </c>
      <c r="AN256" s="47">
        <v>1.2335381549994482</v>
      </c>
      <c r="AO256" s="20">
        <v>1.1940231389209366</v>
      </c>
      <c r="AP256" s="44">
        <v>-0.48562300319488816</v>
      </c>
      <c r="AQ256" s="46">
        <v>13363</v>
      </c>
      <c r="AR256" s="45">
        <v>39342</v>
      </c>
      <c r="AS256" s="22">
        <v>2.399682705806087E-5</v>
      </c>
      <c r="AT256" s="22">
        <v>0.99980748435395916</v>
      </c>
      <c r="AU256" s="22" t="s">
        <v>215</v>
      </c>
      <c r="AV256" s="22" t="s">
        <v>166</v>
      </c>
      <c r="AW256" s="22" t="s">
        <v>222</v>
      </c>
      <c r="AX256" s="23">
        <v>1703</v>
      </c>
      <c r="AY256" s="24">
        <v>126.93167701863355</v>
      </c>
      <c r="AZ256" s="23">
        <v>52</v>
      </c>
      <c r="BA256" s="23">
        <v>30</v>
      </c>
      <c r="BB256" s="44" t="s">
        <v>154</v>
      </c>
      <c r="BC256" s="26">
        <v>0.44722222222222219</v>
      </c>
      <c r="BD256" s="23">
        <v>30</v>
      </c>
      <c r="BE256" s="26">
        <v>26.833333333333332</v>
      </c>
      <c r="BF256" s="26">
        <v>40.25</v>
      </c>
      <c r="BG256" s="24"/>
      <c r="BI256" s="26"/>
      <c r="BJ256" s="23"/>
      <c r="BK256" s="26"/>
      <c r="BL256" s="27"/>
      <c r="BN256" s="13"/>
      <c r="BO256" s="43"/>
      <c r="BP256" s="42"/>
    </row>
    <row r="257" spans="1:68" s="1" customFormat="1" x14ac:dyDescent="0.3">
      <c r="A257" s="12" t="s">
        <v>306</v>
      </c>
      <c r="B257" s="12">
        <v>103020</v>
      </c>
      <c r="C257" s="13" t="s">
        <v>305</v>
      </c>
      <c r="D257" s="13" t="s">
        <v>44</v>
      </c>
      <c r="E257" s="14">
        <v>131</v>
      </c>
      <c r="F257" s="15" t="s">
        <v>137</v>
      </c>
      <c r="G257" s="6">
        <v>12</v>
      </c>
      <c r="H257" s="6">
        <v>18</v>
      </c>
      <c r="I257" s="6">
        <v>2</v>
      </c>
      <c r="J257" s="6">
        <v>3</v>
      </c>
      <c r="K257" s="6">
        <v>8</v>
      </c>
      <c r="L257" s="6">
        <v>0</v>
      </c>
      <c r="M257" s="6">
        <v>11</v>
      </c>
      <c r="N257" s="6">
        <v>2</v>
      </c>
      <c r="O257" s="6">
        <v>15</v>
      </c>
      <c r="P257" s="6">
        <v>6</v>
      </c>
      <c r="Q257" s="6">
        <v>9</v>
      </c>
      <c r="R257" s="6">
        <v>31</v>
      </c>
      <c r="S257" s="6">
        <v>28</v>
      </c>
      <c r="T257" s="6">
        <v>24</v>
      </c>
      <c r="U257" s="6">
        <v>36</v>
      </c>
      <c r="V257" s="6">
        <v>18</v>
      </c>
      <c r="W257" s="6">
        <v>13</v>
      </c>
      <c r="X257" s="6">
        <v>20</v>
      </c>
      <c r="Y257" s="6">
        <v>14</v>
      </c>
      <c r="Z257" s="6">
        <v>0</v>
      </c>
      <c r="AA257" s="6">
        <v>9</v>
      </c>
      <c r="AB257" s="6">
        <v>2</v>
      </c>
      <c r="AC257" s="6">
        <v>9</v>
      </c>
      <c r="AD257" s="6">
        <v>2</v>
      </c>
      <c r="AE257" s="6">
        <v>117</v>
      </c>
      <c r="AF257" s="6">
        <v>175</v>
      </c>
      <c r="AG257" s="16">
        <v>292</v>
      </c>
      <c r="AH257" s="17">
        <v>9.75</v>
      </c>
      <c r="AI257" s="17">
        <v>14.583333333333334</v>
      </c>
      <c r="AJ257" s="17">
        <v>12.166666666666668</v>
      </c>
      <c r="AK257" s="49">
        <v>5.037157165506463E-5</v>
      </c>
      <c r="AL257" s="48">
        <v>11.131105747027792</v>
      </c>
      <c r="AM257" s="19">
        <v>10.076518837577687</v>
      </c>
      <c r="AN257" s="47">
        <v>0.76327582265333427</v>
      </c>
      <c r="AO257" s="20">
        <v>0.82820702774611121</v>
      </c>
      <c r="AP257" s="44">
        <v>0.4957264957264958</v>
      </c>
      <c r="AQ257" s="46">
        <v>22925</v>
      </c>
      <c r="AR257" s="45">
        <v>38252</v>
      </c>
      <c r="AS257" s="22">
        <v>2.3331976732879476E-5</v>
      </c>
      <c r="AT257" s="22">
        <v>0.99983081633069204</v>
      </c>
      <c r="AU257" s="22" t="s">
        <v>215</v>
      </c>
      <c r="AV257" s="22" t="s">
        <v>166</v>
      </c>
      <c r="AW257" s="22" t="s">
        <v>222</v>
      </c>
      <c r="AX257" s="23">
        <v>29</v>
      </c>
      <c r="AY257" s="24">
        <v>1.9885714285714284</v>
      </c>
      <c r="AZ257" s="23">
        <v>35</v>
      </c>
      <c r="BA257" s="26">
        <v>20</v>
      </c>
      <c r="BB257" s="44" t="s">
        <v>154</v>
      </c>
      <c r="BC257" s="26">
        <v>0.4861111111111111</v>
      </c>
      <c r="BD257" s="23">
        <v>30</v>
      </c>
      <c r="BE257" s="26">
        <v>29.166666666666668</v>
      </c>
      <c r="BF257" s="26">
        <v>43.75</v>
      </c>
      <c r="BG257" s="24"/>
      <c r="BI257" s="26"/>
      <c r="BJ257" s="23"/>
      <c r="BK257" s="26"/>
      <c r="BL257" s="27"/>
      <c r="BN257" s="13"/>
      <c r="BO257" s="43"/>
      <c r="BP257" s="42"/>
    </row>
    <row r="258" spans="1:68" s="1" customFormat="1" x14ac:dyDescent="0.3">
      <c r="A258" s="12" t="s">
        <v>304</v>
      </c>
      <c r="B258" s="12">
        <v>106063</v>
      </c>
      <c r="C258" s="13" t="s">
        <v>303</v>
      </c>
      <c r="D258" s="13" t="s">
        <v>44</v>
      </c>
      <c r="E258" s="14">
        <v>464</v>
      </c>
      <c r="F258" s="15" t="s">
        <v>137</v>
      </c>
      <c r="G258" s="6">
        <v>4</v>
      </c>
      <c r="H258" s="6">
        <v>9</v>
      </c>
      <c r="I258" s="6">
        <v>1</v>
      </c>
      <c r="J258" s="6">
        <v>1</v>
      </c>
      <c r="K258" s="6">
        <v>3</v>
      </c>
      <c r="L258" s="6">
        <v>1</v>
      </c>
      <c r="M258" s="6">
        <v>6</v>
      </c>
      <c r="N258" s="6">
        <v>0</v>
      </c>
      <c r="O258" s="6">
        <v>1</v>
      </c>
      <c r="P258" s="6">
        <v>18</v>
      </c>
      <c r="Q258" s="6">
        <v>4</v>
      </c>
      <c r="R258" s="6">
        <v>10</v>
      </c>
      <c r="S258" s="6">
        <v>1</v>
      </c>
      <c r="T258" s="6">
        <v>2</v>
      </c>
      <c r="U258" s="6">
        <v>2</v>
      </c>
      <c r="V258" s="6">
        <v>3</v>
      </c>
      <c r="W258" s="6">
        <v>7</v>
      </c>
      <c r="X258" s="6">
        <v>0</v>
      </c>
      <c r="Y258" s="6">
        <v>1</v>
      </c>
      <c r="Z258" s="6">
        <v>2</v>
      </c>
      <c r="AA258" s="6">
        <v>0</v>
      </c>
      <c r="AB258" s="6">
        <v>0</v>
      </c>
      <c r="AC258" s="6">
        <v>2</v>
      </c>
      <c r="AD258" s="6">
        <v>0</v>
      </c>
      <c r="AE258" s="6">
        <v>58</v>
      </c>
      <c r="AF258" s="6">
        <v>20</v>
      </c>
      <c r="AG258" s="16">
        <v>78</v>
      </c>
      <c r="AH258" s="17">
        <v>4.833333333333333</v>
      </c>
      <c r="AI258" s="17">
        <v>1.6666666666666667</v>
      </c>
      <c r="AJ258" s="17">
        <v>3.25</v>
      </c>
      <c r="AK258" s="49">
        <v>5.7567510462931007E-6</v>
      </c>
      <c r="AL258" s="48">
        <v>1.9694638556693236</v>
      </c>
      <c r="AM258" s="19">
        <v>4.2143646692256462</v>
      </c>
      <c r="AN258" s="47">
        <v>1.181678313401594</v>
      </c>
      <c r="AO258" s="20">
        <v>1.2967275905309681</v>
      </c>
      <c r="AP258" s="44">
        <v>-0.65517241379310331</v>
      </c>
      <c r="AQ258" s="46">
        <v>9280</v>
      </c>
      <c r="AR258" s="45">
        <v>36192</v>
      </c>
      <c r="AS258" s="22">
        <v>2.2075470613729323E-5</v>
      </c>
      <c r="AT258" s="22">
        <v>0.99985289180130577</v>
      </c>
      <c r="AU258" s="22" t="s">
        <v>215</v>
      </c>
      <c r="AV258" s="22" t="s">
        <v>166</v>
      </c>
      <c r="AW258" s="22" t="s">
        <v>222</v>
      </c>
      <c r="AX258" s="23">
        <v>70</v>
      </c>
      <c r="AY258" s="24">
        <v>42</v>
      </c>
      <c r="AZ258" s="23">
        <v>5</v>
      </c>
      <c r="BA258" s="23">
        <v>3</v>
      </c>
      <c r="BB258" s="44" t="s">
        <v>154</v>
      </c>
      <c r="BC258" s="26">
        <v>5.5555555555555559E-2</v>
      </c>
      <c r="BD258" s="23">
        <v>30</v>
      </c>
      <c r="BE258" s="26">
        <v>3.3333333333333335</v>
      </c>
      <c r="BF258" s="26">
        <v>5</v>
      </c>
      <c r="BG258" s="24"/>
      <c r="BI258" s="26"/>
      <c r="BJ258" s="23"/>
      <c r="BK258" s="26"/>
      <c r="BL258" s="27"/>
      <c r="BN258" s="13"/>
      <c r="BO258" s="43"/>
      <c r="BP258" s="42"/>
    </row>
    <row r="259" spans="1:68" s="1" customFormat="1" x14ac:dyDescent="0.3">
      <c r="A259" s="12" t="s">
        <v>302</v>
      </c>
      <c r="B259" s="12">
        <v>103011</v>
      </c>
      <c r="C259" s="13" t="s">
        <v>301</v>
      </c>
      <c r="D259" s="13" t="s">
        <v>137</v>
      </c>
      <c r="E259" s="14">
        <v>512</v>
      </c>
      <c r="F259" s="15" t="s">
        <v>137</v>
      </c>
      <c r="G259" s="6">
        <v>1</v>
      </c>
      <c r="H259" s="6">
        <v>4</v>
      </c>
      <c r="I259" s="6">
        <v>2</v>
      </c>
      <c r="J259" s="6">
        <v>8</v>
      </c>
      <c r="K259" s="6">
        <v>4</v>
      </c>
      <c r="L259" s="6">
        <v>2</v>
      </c>
      <c r="M259" s="6">
        <v>3</v>
      </c>
      <c r="N259" s="6">
        <v>0</v>
      </c>
      <c r="O259" s="6">
        <v>0</v>
      </c>
      <c r="P259" s="6">
        <v>4</v>
      </c>
      <c r="Q259" s="6">
        <v>2</v>
      </c>
      <c r="R259" s="6">
        <v>3</v>
      </c>
      <c r="S259" s="6">
        <v>3</v>
      </c>
      <c r="T259" s="6">
        <v>2</v>
      </c>
      <c r="U259" s="6">
        <v>5</v>
      </c>
      <c r="V259" s="6">
        <v>6</v>
      </c>
      <c r="W259" s="6">
        <v>1</v>
      </c>
      <c r="X259" s="6">
        <v>3</v>
      </c>
      <c r="Y259" s="6">
        <v>7</v>
      </c>
      <c r="Z259" s="6">
        <v>2</v>
      </c>
      <c r="AA259" s="6">
        <v>4</v>
      </c>
      <c r="AB259" s="6">
        <v>1</v>
      </c>
      <c r="AC259" s="6">
        <v>1</v>
      </c>
      <c r="AD259" s="6">
        <v>2</v>
      </c>
      <c r="AE259" s="6">
        <v>33</v>
      </c>
      <c r="AF259" s="6">
        <v>37</v>
      </c>
      <c r="AG259" s="16">
        <v>70</v>
      </c>
      <c r="AH259" s="17">
        <v>2.75</v>
      </c>
      <c r="AI259" s="17">
        <v>3.0833333333333335</v>
      </c>
      <c r="AJ259" s="17">
        <v>2.916666666666667</v>
      </c>
      <c r="AK259" s="49">
        <v>1.0649989435642236E-5</v>
      </c>
      <c r="AL259" s="48">
        <v>2.0207259421636903</v>
      </c>
      <c r="AM259" s="19">
        <v>2.0624313778658911</v>
      </c>
      <c r="AN259" s="47">
        <v>0.65537057583687253</v>
      </c>
      <c r="AO259" s="20">
        <v>0.70711932955401979</v>
      </c>
      <c r="AP259" s="44">
        <v>0.12121212121212127</v>
      </c>
      <c r="AQ259" s="46">
        <v>18944</v>
      </c>
      <c r="AR259" s="45">
        <v>35840</v>
      </c>
      <c r="AS259" s="22">
        <v>2.1860766655505607E-5</v>
      </c>
      <c r="AT259" s="22">
        <v>0.99987475256796132</v>
      </c>
      <c r="AU259" s="22" t="s">
        <v>215</v>
      </c>
      <c r="AV259" s="22" t="s">
        <v>166</v>
      </c>
      <c r="AW259" s="22" t="s">
        <v>222</v>
      </c>
      <c r="AX259" s="23">
        <v>26</v>
      </c>
      <c r="AY259" s="24">
        <v>8.4324324324324316</v>
      </c>
      <c r="AZ259" s="23">
        <v>3</v>
      </c>
      <c r="BA259" s="26">
        <v>2</v>
      </c>
      <c r="BB259" s="44" t="s">
        <v>154</v>
      </c>
      <c r="BC259" s="26">
        <v>0.10277777777777779</v>
      </c>
      <c r="BD259" s="23">
        <v>30</v>
      </c>
      <c r="BE259" s="26">
        <v>6.166666666666667</v>
      </c>
      <c r="BF259" s="26">
        <v>9.25</v>
      </c>
      <c r="BG259" s="24"/>
      <c r="BI259" s="26"/>
      <c r="BJ259" s="23"/>
      <c r="BK259" s="26"/>
      <c r="BL259" s="27"/>
      <c r="BN259" s="13"/>
      <c r="BO259" s="43"/>
      <c r="BP259" s="42"/>
    </row>
    <row r="260" spans="1:68" s="1" customFormat="1" x14ac:dyDescent="0.3">
      <c r="A260" s="12" t="s">
        <v>300</v>
      </c>
      <c r="B260" s="12">
        <v>102038</v>
      </c>
      <c r="C260" s="13" t="s">
        <v>299</v>
      </c>
      <c r="D260" s="13" t="s">
        <v>53</v>
      </c>
      <c r="E260" s="14">
        <v>81</v>
      </c>
      <c r="F260" s="15" t="s">
        <v>137</v>
      </c>
      <c r="G260" s="6">
        <v>12</v>
      </c>
      <c r="H260" s="6">
        <v>11</v>
      </c>
      <c r="I260" s="6">
        <v>10</v>
      </c>
      <c r="J260" s="6">
        <v>18</v>
      </c>
      <c r="K260" s="6">
        <v>8</v>
      </c>
      <c r="L260" s="6">
        <v>65</v>
      </c>
      <c r="M260" s="6">
        <v>9</v>
      </c>
      <c r="N260" s="6">
        <v>70</v>
      </c>
      <c r="O260" s="6">
        <v>27</v>
      </c>
      <c r="P260" s="6">
        <v>60</v>
      </c>
      <c r="Q260" s="6">
        <v>25</v>
      </c>
      <c r="R260" s="6">
        <v>1</v>
      </c>
      <c r="S260" s="6">
        <v>21</v>
      </c>
      <c r="T260" s="6">
        <v>0</v>
      </c>
      <c r="U260" s="6">
        <v>16</v>
      </c>
      <c r="V260" s="6">
        <v>3</v>
      </c>
      <c r="W260" s="6">
        <v>2</v>
      </c>
      <c r="X260" s="6">
        <v>1</v>
      </c>
      <c r="Y260" s="6">
        <v>0</v>
      </c>
      <c r="Z260" s="6">
        <v>17</v>
      </c>
      <c r="AA260" s="6">
        <v>4</v>
      </c>
      <c r="AB260" s="6">
        <v>3</v>
      </c>
      <c r="AC260" s="6">
        <v>17</v>
      </c>
      <c r="AD260" s="6">
        <v>5</v>
      </c>
      <c r="AE260" s="6">
        <v>316</v>
      </c>
      <c r="AF260" s="6">
        <v>89</v>
      </c>
      <c r="AG260" s="16">
        <v>405</v>
      </c>
      <c r="AH260" s="17">
        <v>26.333333333333332</v>
      </c>
      <c r="AI260" s="17">
        <v>7.416666666666667</v>
      </c>
      <c r="AJ260" s="17">
        <v>16.875</v>
      </c>
      <c r="AK260" s="49">
        <v>2.5617542156004297E-5</v>
      </c>
      <c r="AL260" s="48">
        <v>7.8561884504953783</v>
      </c>
      <c r="AM260" s="19">
        <v>20.236240628699015</v>
      </c>
      <c r="AN260" s="47">
        <v>1.0592613641117363</v>
      </c>
      <c r="AO260" s="20">
        <v>1.1991846298488305</v>
      </c>
      <c r="AP260" s="44">
        <v>-0.71835443037974678</v>
      </c>
      <c r="AQ260" s="46">
        <v>7209</v>
      </c>
      <c r="AR260" s="45">
        <v>32805</v>
      </c>
      <c r="AS260" s="22">
        <v>2.0009554970252829E-5</v>
      </c>
      <c r="AT260" s="22">
        <v>0.9998947621229316</v>
      </c>
      <c r="AU260" s="22" t="s">
        <v>215</v>
      </c>
      <c r="AV260" s="22" t="s">
        <v>166</v>
      </c>
      <c r="AW260" s="22" t="s">
        <v>222</v>
      </c>
      <c r="AX260" s="23">
        <v>742</v>
      </c>
      <c r="AY260" s="24">
        <v>100.04494382022472</v>
      </c>
      <c r="AZ260" s="23">
        <v>60</v>
      </c>
      <c r="BA260" s="23">
        <v>20</v>
      </c>
      <c r="BB260" s="44" t="s">
        <v>154</v>
      </c>
      <c r="BC260" s="26">
        <v>0.24722222222222223</v>
      </c>
      <c r="BD260" s="23">
        <v>30</v>
      </c>
      <c r="BE260" s="26">
        <v>14.833333333333334</v>
      </c>
      <c r="BF260" s="26">
        <v>22.25</v>
      </c>
      <c r="BG260" s="24"/>
      <c r="BI260" s="26"/>
      <c r="BJ260" s="23"/>
      <c r="BK260" s="26"/>
      <c r="BL260" s="27"/>
      <c r="BN260" s="13"/>
      <c r="BO260" s="43"/>
      <c r="BP260" s="42"/>
    </row>
    <row r="261" spans="1:68" s="1" customFormat="1" x14ac:dyDescent="0.3">
      <c r="A261" s="12" t="s">
        <v>298</v>
      </c>
      <c r="B261" s="12">
        <v>106012</v>
      </c>
      <c r="C261" s="13" t="s">
        <v>297</v>
      </c>
      <c r="D261" s="13" t="s">
        <v>44</v>
      </c>
      <c r="E261" s="14">
        <v>827</v>
      </c>
      <c r="F261" s="15" t="s">
        <v>137</v>
      </c>
      <c r="G261" s="6">
        <v>0</v>
      </c>
      <c r="H261" s="6">
        <v>4</v>
      </c>
      <c r="I261" s="6">
        <v>1</v>
      </c>
      <c r="J261" s="6">
        <v>2</v>
      </c>
      <c r="K261" s="6">
        <v>0</v>
      </c>
      <c r="L261" s="6">
        <v>0</v>
      </c>
      <c r="M261" s="6">
        <v>1</v>
      </c>
      <c r="N261" s="6">
        <v>0</v>
      </c>
      <c r="O261" s="6">
        <v>0</v>
      </c>
      <c r="P261" s="6">
        <v>8</v>
      </c>
      <c r="Q261" s="6">
        <v>0</v>
      </c>
      <c r="R261" s="6">
        <v>0</v>
      </c>
      <c r="S261" s="6">
        <v>6</v>
      </c>
      <c r="T261" s="6">
        <v>0</v>
      </c>
      <c r="U261" s="6">
        <v>0</v>
      </c>
      <c r="V261" s="6">
        <v>0</v>
      </c>
      <c r="W261" s="6">
        <v>0</v>
      </c>
      <c r="X261" s="6">
        <v>2</v>
      </c>
      <c r="Y261" s="6">
        <v>4</v>
      </c>
      <c r="Z261" s="6">
        <v>0</v>
      </c>
      <c r="AA261" s="6">
        <v>0</v>
      </c>
      <c r="AB261" s="6">
        <v>0</v>
      </c>
      <c r="AC261" s="6">
        <v>0</v>
      </c>
      <c r="AD261" s="6">
        <v>11</v>
      </c>
      <c r="AE261" s="6">
        <v>16</v>
      </c>
      <c r="AF261" s="6">
        <v>23</v>
      </c>
      <c r="AG261" s="16">
        <v>39</v>
      </c>
      <c r="AH261" s="17">
        <v>1.3333333333333333</v>
      </c>
      <c r="AI261" s="17">
        <v>1.9166666666666667</v>
      </c>
      <c r="AJ261" s="17">
        <v>1.625</v>
      </c>
      <c r="AK261" s="49">
        <v>6.6202637032370651E-6</v>
      </c>
      <c r="AL261" s="48">
        <v>3.4761089357690347</v>
      </c>
      <c r="AM261" s="19">
        <v>2.9460732893271606</v>
      </c>
      <c r="AN261" s="47">
        <v>1.8136220534447136</v>
      </c>
      <c r="AO261" s="20">
        <v>1.8129681780474836</v>
      </c>
      <c r="AP261" s="44">
        <v>0.43750000000000011</v>
      </c>
      <c r="AQ261" s="46">
        <v>19021</v>
      </c>
      <c r="AR261" s="45">
        <v>32253</v>
      </c>
      <c r="AS261" s="22">
        <v>1.9672860126674729E-5</v>
      </c>
      <c r="AT261" s="22">
        <v>0.99991443498305832</v>
      </c>
      <c r="AU261" s="22" t="s">
        <v>215</v>
      </c>
      <c r="AV261" s="22" t="s">
        <v>166</v>
      </c>
      <c r="AW261" s="22" t="s">
        <v>222</v>
      </c>
      <c r="AX261" s="23">
        <v>23</v>
      </c>
      <c r="AY261" s="24">
        <v>12</v>
      </c>
      <c r="AZ261" s="23">
        <v>14</v>
      </c>
      <c r="BA261" s="26">
        <v>8</v>
      </c>
      <c r="BB261" s="44" t="s">
        <v>154</v>
      </c>
      <c r="BC261" s="26">
        <v>6.3888888888888898E-2</v>
      </c>
      <c r="BD261" s="23">
        <v>30</v>
      </c>
      <c r="BE261" s="26">
        <v>3.8333333333333339</v>
      </c>
      <c r="BF261" s="26">
        <v>5.7500000000000009</v>
      </c>
      <c r="BG261" s="24"/>
      <c r="BI261" s="26"/>
      <c r="BJ261" s="23"/>
      <c r="BK261" s="26"/>
      <c r="BL261" s="27"/>
      <c r="BN261" s="13"/>
      <c r="BO261" s="43"/>
      <c r="BP261" s="42"/>
    </row>
    <row r="262" spans="1:68" s="1" customFormat="1" x14ac:dyDescent="0.3">
      <c r="A262" s="12" t="s">
        <v>296</v>
      </c>
      <c r="B262" s="12">
        <v>104047</v>
      </c>
      <c r="C262" s="13" t="s">
        <v>295</v>
      </c>
      <c r="D262" s="13" t="s">
        <v>53</v>
      </c>
      <c r="E262" s="14">
        <v>36</v>
      </c>
      <c r="F262" s="15" t="s">
        <v>137</v>
      </c>
      <c r="G262" s="6">
        <v>91</v>
      </c>
      <c r="H262" s="6">
        <v>13</v>
      </c>
      <c r="I262" s="6">
        <v>28</v>
      </c>
      <c r="J262" s="6">
        <v>87</v>
      </c>
      <c r="K262" s="6">
        <v>30</v>
      </c>
      <c r="L262" s="6">
        <v>18</v>
      </c>
      <c r="M262" s="6">
        <v>26</v>
      </c>
      <c r="N262" s="6">
        <v>15</v>
      </c>
      <c r="O262" s="6">
        <v>34</v>
      </c>
      <c r="P262" s="6">
        <v>22</v>
      </c>
      <c r="Q262" s="6">
        <v>25</v>
      </c>
      <c r="R262" s="6">
        <v>12</v>
      </c>
      <c r="S262" s="6">
        <v>33</v>
      </c>
      <c r="T262" s="6">
        <v>14</v>
      </c>
      <c r="U262" s="6">
        <v>16</v>
      </c>
      <c r="V262" s="6">
        <v>69</v>
      </c>
      <c r="W262" s="6">
        <v>22</v>
      </c>
      <c r="X262" s="6">
        <v>20</v>
      </c>
      <c r="Y262" s="6">
        <v>3</v>
      </c>
      <c r="Z262" s="6">
        <v>0</v>
      </c>
      <c r="AA262" s="6">
        <v>13</v>
      </c>
      <c r="AB262" s="6">
        <v>41</v>
      </c>
      <c r="AC262" s="6">
        <v>0</v>
      </c>
      <c r="AD262" s="6">
        <v>8</v>
      </c>
      <c r="AE262" s="6">
        <v>401</v>
      </c>
      <c r="AF262" s="6">
        <v>239</v>
      </c>
      <c r="AG262" s="16">
        <v>640</v>
      </c>
      <c r="AH262" s="17">
        <v>33.416666666666664</v>
      </c>
      <c r="AI262" s="17">
        <v>19.916666666666668</v>
      </c>
      <c r="AJ262" s="17">
        <v>26.666666666666664</v>
      </c>
      <c r="AK262" s="49">
        <v>6.8793175003202553E-5</v>
      </c>
      <c r="AL262" s="48">
        <v>19.883562573293062</v>
      </c>
      <c r="AM262" s="19">
        <v>24.118667975813594</v>
      </c>
      <c r="AN262" s="47">
        <v>0.99833786978877292</v>
      </c>
      <c r="AO262" s="20">
        <v>0.90445004909300986</v>
      </c>
      <c r="AP262" s="44">
        <v>-0.40399002493765579</v>
      </c>
      <c r="AQ262" s="46">
        <v>8604</v>
      </c>
      <c r="AR262" s="45">
        <v>23040</v>
      </c>
      <c r="AS262" s="22">
        <v>1.4053349992825033E-5</v>
      </c>
      <c r="AT262" s="22">
        <v>0.99992848833305115</v>
      </c>
      <c r="AU262" s="22" t="s">
        <v>215</v>
      </c>
      <c r="AV262" s="22" t="s">
        <v>166</v>
      </c>
      <c r="AW262" s="22" t="s">
        <v>222</v>
      </c>
      <c r="AX262" s="23">
        <v>427</v>
      </c>
      <c r="AY262" s="24">
        <v>21.439330543933053</v>
      </c>
      <c r="AZ262" s="23">
        <v>28</v>
      </c>
      <c r="BA262" s="23">
        <v>16</v>
      </c>
      <c r="BB262" s="44" t="s">
        <v>154</v>
      </c>
      <c r="BC262" s="26">
        <v>0.66388888888888897</v>
      </c>
      <c r="BD262" s="23">
        <v>30</v>
      </c>
      <c r="BE262" s="26">
        <v>39.833333333333336</v>
      </c>
      <c r="BF262" s="26">
        <v>59.75</v>
      </c>
      <c r="BG262" s="24"/>
      <c r="BI262" s="26"/>
      <c r="BJ262" s="23"/>
      <c r="BK262" s="26"/>
      <c r="BL262" s="27"/>
      <c r="BN262" s="13"/>
      <c r="BO262" s="43"/>
      <c r="BP262" s="42"/>
    </row>
    <row r="263" spans="1:68" s="1" customFormat="1" x14ac:dyDescent="0.3">
      <c r="A263" s="12" t="s">
        <v>294</v>
      </c>
      <c r="B263" s="12">
        <v>101035</v>
      </c>
      <c r="C263" s="13" t="s">
        <v>293</v>
      </c>
      <c r="D263" s="13" t="s">
        <v>44</v>
      </c>
      <c r="E263" s="14">
        <v>1488</v>
      </c>
      <c r="F263" s="15" t="s">
        <v>137</v>
      </c>
      <c r="G263" s="6">
        <v>0</v>
      </c>
      <c r="H263" s="6">
        <v>1</v>
      </c>
      <c r="I263" s="6">
        <v>0</v>
      </c>
      <c r="J263" s="6">
        <v>2</v>
      </c>
      <c r="K263" s="6">
        <v>0</v>
      </c>
      <c r="L263" s="6">
        <v>0</v>
      </c>
      <c r="M263" s="6">
        <v>1</v>
      </c>
      <c r="N263" s="6">
        <v>7</v>
      </c>
      <c r="O263" s="6">
        <v>1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3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12</v>
      </c>
      <c r="AF263" s="6">
        <v>3</v>
      </c>
      <c r="AG263" s="16">
        <v>15</v>
      </c>
      <c r="AH263" s="17">
        <v>1</v>
      </c>
      <c r="AI263" s="17">
        <v>0.25</v>
      </c>
      <c r="AJ263" s="17">
        <v>0.625</v>
      </c>
      <c r="AK263" s="49">
        <v>8.635126569439651E-7</v>
      </c>
      <c r="AL263" s="48">
        <v>0.8660254037844386</v>
      </c>
      <c r="AM263" s="19">
        <v>1.5551457362156016</v>
      </c>
      <c r="AN263" s="47">
        <v>3.4641016151377544</v>
      </c>
      <c r="AO263" s="20">
        <v>2.4882331779449625</v>
      </c>
      <c r="AP263" s="44">
        <v>-0.75</v>
      </c>
      <c r="AQ263" s="46">
        <v>4464</v>
      </c>
      <c r="AR263" s="45">
        <v>22320</v>
      </c>
      <c r="AS263" s="22">
        <v>1.3614182805549249E-5</v>
      </c>
      <c r="AT263" s="22">
        <v>0.99994210251585669</v>
      </c>
      <c r="AU263" s="22" t="s">
        <v>215</v>
      </c>
      <c r="AV263" s="22" t="s">
        <v>166</v>
      </c>
      <c r="AW263" s="22" t="s">
        <v>222</v>
      </c>
      <c r="AX263" s="23">
        <v>16</v>
      </c>
      <c r="AY263" s="24">
        <v>64</v>
      </c>
      <c r="AZ263" s="23">
        <v>4</v>
      </c>
      <c r="BA263" s="23">
        <v>2</v>
      </c>
      <c r="BB263" s="44" t="s">
        <v>154</v>
      </c>
      <c r="BC263" s="26">
        <v>8.3333333333333332E-3</v>
      </c>
      <c r="BD263" s="23">
        <v>30</v>
      </c>
      <c r="BE263" s="26">
        <v>0.5</v>
      </c>
      <c r="BF263" s="26">
        <v>0.75</v>
      </c>
      <c r="BG263" s="24"/>
      <c r="BI263" s="26"/>
      <c r="BJ263" s="23"/>
      <c r="BK263" s="26"/>
      <c r="BL263" s="27"/>
      <c r="BN263" s="13"/>
      <c r="BO263" s="43"/>
      <c r="BP263" s="42"/>
    </row>
    <row r="264" spans="1:68" s="1" customFormat="1" x14ac:dyDescent="0.3">
      <c r="A264" s="12" t="s">
        <v>292</v>
      </c>
      <c r="B264" s="12">
        <v>102186</v>
      </c>
      <c r="C264" s="13" t="s">
        <v>291</v>
      </c>
      <c r="D264" s="13" t="s">
        <v>290</v>
      </c>
      <c r="E264" s="14">
        <v>666</v>
      </c>
      <c r="F264" s="15" t="s">
        <v>137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5</v>
      </c>
      <c r="X264" s="6">
        <v>0</v>
      </c>
      <c r="Y264" s="6">
        <v>0</v>
      </c>
      <c r="Z264" s="6">
        <v>3</v>
      </c>
      <c r="AA264" s="6">
        <v>5</v>
      </c>
      <c r="AB264" s="6">
        <v>3</v>
      </c>
      <c r="AC264" s="6">
        <v>11</v>
      </c>
      <c r="AD264" s="6">
        <v>0</v>
      </c>
      <c r="AE264" s="6">
        <v>0</v>
      </c>
      <c r="AF264" s="6">
        <v>27</v>
      </c>
      <c r="AG264" s="16">
        <v>27</v>
      </c>
      <c r="AH264" s="17">
        <v>0</v>
      </c>
      <c r="AI264" s="17">
        <v>2.25</v>
      </c>
      <c r="AJ264" s="17">
        <v>1.125</v>
      </c>
      <c r="AK264" s="49">
        <v>7.7716139124956861E-6</v>
      </c>
      <c r="AL264" s="48">
        <v>3.4145410978769766</v>
      </c>
      <c r="AM264" s="19">
        <v>2.6261643380479414</v>
      </c>
      <c r="AN264" s="47">
        <v>1.5175738212786563</v>
      </c>
      <c r="AO264" s="20">
        <v>2.3343683004870588</v>
      </c>
      <c r="AP264" s="44">
        <v>0</v>
      </c>
      <c r="AQ264" s="46">
        <v>17982</v>
      </c>
      <c r="AR264" s="45">
        <v>17982</v>
      </c>
      <c r="AS264" s="22">
        <v>1.0968200502212663E-5</v>
      </c>
      <c r="AT264" s="22">
        <v>0.99995307071635886</v>
      </c>
      <c r="AU264" s="22" t="s">
        <v>215</v>
      </c>
      <c r="AV264" s="22" t="s">
        <v>166</v>
      </c>
      <c r="AW264" s="22" t="s">
        <v>222</v>
      </c>
      <c r="AX264" s="23">
        <v>39</v>
      </c>
      <c r="AY264" s="24">
        <v>17.333333333333332</v>
      </c>
      <c r="AZ264" s="23">
        <v>10</v>
      </c>
      <c r="BA264" s="26">
        <v>6</v>
      </c>
      <c r="BB264" s="44" t="s">
        <v>154</v>
      </c>
      <c r="BC264" s="26">
        <v>7.4999999999999997E-2</v>
      </c>
      <c r="BD264" s="23">
        <v>30</v>
      </c>
      <c r="BE264" s="26">
        <v>4.5</v>
      </c>
      <c r="BF264" s="26">
        <v>6.75</v>
      </c>
      <c r="BG264" s="24"/>
      <c r="BI264" s="26"/>
      <c r="BJ264" s="23"/>
      <c r="BK264" s="26"/>
      <c r="BL264" s="27"/>
      <c r="BN264" s="13"/>
      <c r="BO264" s="43"/>
      <c r="BP264" s="42"/>
    </row>
    <row r="265" spans="1:68" s="1" customFormat="1" x14ac:dyDescent="0.3">
      <c r="A265" s="12" t="s">
        <v>289</v>
      </c>
      <c r="B265" s="12">
        <v>102182</v>
      </c>
      <c r="C265" s="13" t="s">
        <v>288</v>
      </c>
      <c r="D265" s="13" t="s">
        <v>53</v>
      </c>
      <c r="E265" s="14">
        <v>179</v>
      </c>
      <c r="F265" s="15" t="s">
        <v>137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60</v>
      </c>
      <c r="AB265" s="6">
        <v>0</v>
      </c>
      <c r="AC265" s="6">
        <v>0</v>
      </c>
      <c r="AD265" s="6">
        <v>30</v>
      </c>
      <c r="AE265" s="6">
        <v>0</v>
      </c>
      <c r="AF265" s="6">
        <v>90</v>
      </c>
      <c r="AG265" s="16">
        <v>90</v>
      </c>
      <c r="AH265" s="17">
        <v>0</v>
      </c>
      <c r="AI265" s="17">
        <v>7.5</v>
      </c>
      <c r="AJ265" s="17">
        <v>3.75</v>
      </c>
      <c r="AK265" s="49">
        <v>2.5905379708318953E-5</v>
      </c>
      <c r="AL265" s="48">
        <v>18.647446815241832</v>
      </c>
      <c r="AM265" s="19">
        <v>13.452816094393219</v>
      </c>
      <c r="AN265" s="47">
        <v>2.4863262420322441</v>
      </c>
      <c r="AO265" s="20">
        <v>3.5874176251715251</v>
      </c>
      <c r="AP265" s="44">
        <v>0</v>
      </c>
      <c r="AQ265" s="46">
        <v>16110</v>
      </c>
      <c r="AR265" s="45">
        <v>16110</v>
      </c>
      <c r="AS265" s="22">
        <v>9.8263658152956279E-6</v>
      </c>
      <c r="AT265" s="22">
        <v>0.99996289708217412</v>
      </c>
      <c r="AU265" s="22" t="s">
        <v>215</v>
      </c>
      <c r="AV265" s="22" t="s">
        <v>166</v>
      </c>
      <c r="AW265" s="22" t="s">
        <v>222</v>
      </c>
      <c r="AX265" s="23">
        <v>430</v>
      </c>
      <c r="AY265" s="24">
        <v>57.333333333333336</v>
      </c>
      <c r="AZ265" s="23">
        <v>90</v>
      </c>
      <c r="BA265" s="26">
        <v>60</v>
      </c>
      <c r="BB265" s="44" t="s">
        <v>154</v>
      </c>
      <c r="BC265" s="26">
        <v>0.25</v>
      </c>
      <c r="BD265" s="23">
        <v>30</v>
      </c>
      <c r="BE265" s="26">
        <v>15</v>
      </c>
      <c r="BF265" s="26">
        <v>22.5</v>
      </c>
      <c r="BG265" s="24"/>
      <c r="BI265" s="26"/>
      <c r="BJ265" s="23"/>
      <c r="BK265" s="26"/>
      <c r="BL265" s="27"/>
      <c r="BN265" s="13"/>
      <c r="BO265" s="43"/>
      <c r="BP265" s="42"/>
    </row>
    <row r="266" spans="1:68" s="1" customFormat="1" x14ac:dyDescent="0.3">
      <c r="A266" s="12" t="s">
        <v>287</v>
      </c>
      <c r="B266" s="12">
        <v>104035</v>
      </c>
      <c r="C266" s="13" t="s">
        <v>286</v>
      </c>
      <c r="D266" s="13" t="s">
        <v>53</v>
      </c>
      <c r="E266" s="14">
        <v>8</v>
      </c>
      <c r="F266" s="15" t="s">
        <v>137</v>
      </c>
      <c r="G266" s="6">
        <v>70</v>
      </c>
      <c r="H266" s="6">
        <v>74</v>
      </c>
      <c r="I266" s="6">
        <v>90</v>
      </c>
      <c r="J266" s="6">
        <v>32</v>
      </c>
      <c r="K266" s="6">
        <v>91</v>
      </c>
      <c r="L266" s="6">
        <v>196</v>
      </c>
      <c r="M266" s="6">
        <v>9</v>
      </c>
      <c r="N266" s="6">
        <v>101</v>
      </c>
      <c r="O266" s="6">
        <v>0</v>
      </c>
      <c r="P266" s="6">
        <v>60</v>
      </c>
      <c r="Q266" s="6">
        <v>55</v>
      </c>
      <c r="R266" s="6">
        <v>38</v>
      </c>
      <c r="S266" s="6">
        <v>81</v>
      </c>
      <c r="T266" s="6">
        <v>74</v>
      </c>
      <c r="U266" s="6">
        <v>81</v>
      </c>
      <c r="V266" s="6">
        <v>37</v>
      </c>
      <c r="W266" s="6">
        <v>31</v>
      </c>
      <c r="X266" s="6">
        <v>30</v>
      </c>
      <c r="Y266" s="6">
        <v>140</v>
      </c>
      <c r="Z266" s="6">
        <v>6</v>
      </c>
      <c r="AA266" s="6">
        <v>92</v>
      </c>
      <c r="AB266" s="6">
        <v>103</v>
      </c>
      <c r="AC266" s="6">
        <v>111</v>
      </c>
      <c r="AD266" s="6">
        <v>56</v>
      </c>
      <c r="AE266" s="6">
        <v>816</v>
      </c>
      <c r="AF266" s="6">
        <v>842</v>
      </c>
      <c r="AG266" s="16">
        <v>1658</v>
      </c>
      <c r="AH266" s="17">
        <v>68</v>
      </c>
      <c r="AI266" s="17">
        <v>70.166666666666671</v>
      </c>
      <c r="AJ266" s="17">
        <v>69.083333333333343</v>
      </c>
      <c r="AK266" s="49">
        <v>2.4235921904893954E-4</v>
      </c>
      <c r="AL266" s="48">
        <v>39.212320265524461</v>
      </c>
      <c r="AM266" s="19">
        <v>44.722250727629167</v>
      </c>
      <c r="AN266" s="47">
        <v>0.55884541946115618</v>
      </c>
      <c r="AO266" s="20">
        <v>0.64736671740838347</v>
      </c>
      <c r="AP266" s="44">
        <v>3.1862745098039283E-2</v>
      </c>
      <c r="AQ266" s="46">
        <v>6736</v>
      </c>
      <c r="AR266" s="45">
        <v>13264</v>
      </c>
      <c r="AS266" s="22">
        <v>8.0904355167027444E-6</v>
      </c>
      <c r="AT266" s="22">
        <v>0.99997098751769087</v>
      </c>
      <c r="AU266" s="22" t="s">
        <v>215</v>
      </c>
      <c r="AV266" s="22" t="s">
        <v>166</v>
      </c>
      <c r="AW266" s="22" t="s">
        <v>222</v>
      </c>
      <c r="AX266" s="23">
        <v>779</v>
      </c>
      <c r="AY266" s="24">
        <v>11.102137767220903</v>
      </c>
      <c r="AZ266" s="23">
        <v>105</v>
      </c>
      <c r="BA266" s="23">
        <v>50</v>
      </c>
      <c r="BB266" s="44" t="s">
        <v>154</v>
      </c>
      <c r="BC266" s="26">
        <v>2.338888888888889</v>
      </c>
      <c r="BD266" s="23">
        <v>30</v>
      </c>
      <c r="BE266" s="26">
        <v>140.33333333333334</v>
      </c>
      <c r="BF266" s="26">
        <v>210.5</v>
      </c>
      <c r="BG266" s="24"/>
      <c r="BI266" s="26"/>
      <c r="BJ266" s="23"/>
      <c r="BK266" s="26"/>
      <c r="BL266" s="27"/>
      <c r="BN266" s="13"/>
      <c r="BO266" s="43"/>
      <c r="BP266" s="42"/>
    </row>
    <row r="267" spans="1:68" s="1" customFormat="1" x14ac:dyDescent="0.3">
      <c r="A267" s="12" t="s">
        <v>285</v>
      </c>
      <c r="B267" s="12">
        <v>102202</v>
      </c>
      <c r="C267" s="13" t="s">
        <v>284</v>
      </c>
      <c r="D267" s="13" t="s">
        <v>53</v>
      </c>
      <c r="E267" s="14">
        <v>66</v>
      </c>
      <c r="F267" s="15" t="s">
        <v>137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30</v>
      </c>
      <c r="AC267" s="6">
        <v>87</v>
      </c>
      <c r="AD267" s="6">
        <v>28</v>
      </c>
      <c r="AE267" s="6">
        <v>0</v>
      </c>
      <c r="AF267" s="6">
        <v>145</v>
      </c>
      <c r="AG267" s="16">
        <v>145</v>
      </c>
      <c r="AH267" s="17">
        <v>0</v>
      </c>
      <c r="AI267" s="17">
        <v>12.083333333333334</v>
      </c>
      <c r="AJ267" s="17">
        <v>6.041666666666667</v>
      </c>
      <c r="AK267" s="49">
        <v>4.1736445085624981E-5</v>
      </c>
      <c r="AL267" s="48">
        <v>26.113244056446053</v>
      </c>
      <c r="AM267" s="19">
        <v>19.084432915602836</v>
      </c>
      <c r="AN267" s="47">
        <v>2.1610960598438114</v>
      </c>
      <c r="AO267" s="20">
        <v>3.1588026894790899</v>
      </c>
      <c r="AP267" s="44">
        <v>0</v>
      </c>
      <c r="AQ267" s="46">
        <v>9570</v>
      </c>
      <c r="AR267" s="45">
        <v>9570</v>
      </c>
      <c r="AS267" s="22">
        <v>5.8372638642072726E-6</v>
      </c>
      <c r="AT267" s="22">
        <v>0.99997682478155503</v>
      </c>
      <c r="AU267" s="22" t="s">
        <v>215</v>
      </c>
      <c r="AV267" s="22" t="s">
        <v>166</v>
      </c>
      <c r="AW267" s="22" t="s">
        <v>222</v>
      </c>
      <c r="AX267" s="23">
        <v>20</v>
      </c>
      <c r="AY267" s="24">
        <v>1.6551724137931034</v>
      </c>
      <c r="AZ267" s="23">
        <v>0</v>
      </c>
      <c r="BA267" s="23">
        <v>0</v>
      </c>
      <c r="BB267" s="44" t="s">
        <v>154</v>
      </c>
      <c r="BC267" s="26">
        <v>0.40277777777777779</v>
      </c>
      <c r="BD267" s="23">
        <v>30</v>
      </c>
      <c r="BE267" s="26">
        <v>2.0138888888888888</v>
      </c>
      <c r="BF267" s="26">
        <v>14.097222222222223</v>
      </c>
      <c r="BG267" s="24"/>
      <c r="BI267" s="26"/>
      <c r="BJ267" s="23"/>
      <c r="BK267" s="26"/>
      <c r="BL267" s="27"/>
      <c r="BN267" s="13"/>
      <c r="BO267" s="43"/>
      <c r="BP267" s="42"/>
    </row>
    <row r="268" spans="1:68" s="1" customFormat="1" x14ac:dyDescent="0.3">
      <c r="A268" s="12" t="s">
        <v>283</v>
      </c>
      <c r="B268" s="12">
        <v>104011</v>
      </c>
      <c r="C268" s="13" t="s">
        <v>282</v>
      </c>
      <c r="D268" s="13" t="s">
        <v>53</v>
      </c>
      <c r="E268" s="14">
        <v>5</v>
      </c>
      <c r="F268" s="15" t="s">
        <v>137</v>
      </c>
      <c r="G268" s="6">
        <v>85</v>
      </c>
      <c r="H268" s="6">
        <v>8</v>
      </c>
      <c r="I268" s="6">
        <v>138</v>
      </c>
      <c r="J268" s="6">
        <v>35</v>
      </c>
      <c r="K268" s="6">
        <v>157</v>
      </c>
      <c r="L268" s="6">
        <v>22</v>
      </c>
      <c r="M268" s="6">
        <v>101</v>
      </c>
      <c r="N268" s="6">
        <v>10</v>
      </c>
      <c r="O268" s="6">
        <v>25</v>
      </c>
      <c r="P268" s="6">
        <v>105</v>
      </c>
      <c r="Q268" s="6">
        <v>161</v>
      </c>
      <c r="R268" s="6">
        <v>18</v>
      </c>
      <c r="S268" s="6">
        <v>107</v>
      </c>
      <c r="T268" s="6">
        <v>96</v>
      </c>
      <c r="U268" s="6">
        <v>136</v>
      </c>
      <c r="V268" s="6">
        <v>7</v>
      </c>
      <c r="W268" s="6">
        <v>0</v>
      </c>
      <c r="X268" s="6">
        <v>44</v>
      </c>
      <c r="Y268" s="6">
        <v>121</v>
      </c>
      <c r="Z268" s="6">
        <v>107</v>
      </c>
      <c r="AA268" s="6">
        <v>117</v>
      </c>
      <c r="AB268" s="6">
        <v>147</v>
      </c>
      <c r="AC268" s="6">
        <v>0</v>
      </c>
      <c r="AD268" s="6">
        <v>63</v>
      </c>
      <c r="AE268" s="6">
        <v>865</v>
      </c>
      <c r="AF268" s="6">
        <v>945</v>
      </c>
      <c r="AG268" s="16">
        <v>1810</v>
      </c>
      <c r="AH268" s="17">
        <v>72.083333333333329</v>
      </c>
      <c r="AI268" s="17">
        <v>78.75</v>
      </c>
      <c r="AJ268" s="17">
        <v>75.416666666666657</v>
      </c>
      <c r="AK268" s="49">
        <v>2.7200648693734899E-4</v>
      </c>
      <c r="AL268" s="48">
        <v>54.006943997971227</v>
      </c>
      <c r="AM268" s="19">
        <v>55.515698262952519</v>
      </c>
      <c r="AN268" s="47">
        <v>0.68580246346630125</v>
      </c>
      <c r="AO268" s="20">
        <v>0.73611975597285118</v>
      </c>
      <c r="AP268" s="44">
        <v>9.2485549132948056E-2</v>
      </c>
      <c r="AQ268" s="46">
        <v>4725</v>
      </c>
      <c r="AR268" s="45">
        <v>9050</v>
      </c>
      <c r="AS268" s="22">
        <v>5.5200875622858739E-6</v>
      </c>
      <c r="AT268" s="22">
        <v>0.9999823448691173</v>
      </c>
      <c r="AU268" s="22" t="s">
        <v>215</v>
      </c>
      <c r="AV268" s="22" t="s">
        <v>166</v>
      </c>
      <c r="AW268" s="22" t="s">
        <v>222</v>
      </c>
      <c r="AX268" s="23">
        <v>969</v>
      </c>
      <c r="AY268" s="24">
        <v>12.304761904761905</v>
      </c>
      <c r="AZ268" s="23">
        <v>154</v>
      </c>
      <c r="BA268" s="23">
        <v>80</v>
      </c>
      <c r="BB268" s="44" t="s">
        <v>154</v>
      </c>
      <c r="BC268" s="26">
        <v>2.625</v>
      </c>
      <c r="BD268" s="23">
        <v>30</v>
      </c>
      <c r="BE268" s="26">
        <v>157.5</v>
      </c>
      <c r="BF268" s="26">
        <v>236.25</v>
      </c>
      <c r="BG268" s="24"/>
      <c r="BI268" s="26"/>
      <c r="BJ268" s="23"/>
      <c r="BK268" s="26"/>
      <c r="BL268" s="27"/>
      <c r="BN268" s="13"/>
      <c r="BO268" s="43"/>
      <c r="BP268" s="42"/>
    </row>
    <row r="269" spans="1:68" s="1" customFormat="1" x14ac:dyDescent="0.3">
      <c r="A269" s="12" t="s">
        <v>281</v>
      </c>
      <c r="B269" s="12">
        <v>104006</v>
      </c>
      <c r="C269" s="13" t="s">
        <v>280</v>
      </c>
      <c r="D269" s="13" t="s">
        <v>53</v>
      </c>
      <c r="E269" s="14">
        <v>11</v>
      </c>
      <c r="F269" s="15" t="s">
        <v>137</v>
      </c>
      <c r="G269" s="6">
        <v>18</v>
      </c>
      <c r="H269" s="6">
        <v>75</v>
      </c>
      <c r="I269" s="6">
        <v>59</v>
      </c>
      <c r="J269" s="6">
        <v>36</v>
      </c>
      <c r="K269" s="6">
        <v>35</v>
      </c>
      <c r="L269" s="6">
        <v>88</v>
      </c>
      <c r="M269" s="6">
        <v>84</v>
      </c>
      <c r="N269" s="6">
        <v>65</v>
      </c>
      <c r="O269" s="6">
        <v>37</v>
      </c>
      <c r="P269" s="6">
        <v>3</v>
      </c>
      <c r="Q269" s="6">
        <v>22</v>
      </c>
      <c r="R269" s="6">
        <v>0</v>
      </c>
      <c r="S269" s="6">
        <v>0</v>
      </c>
      <c r="T269" s="6">
        <v>6</v>
      </c>
      <c r="U269" s="6">
        <v>36</v>
      </c>
      <c r="V269" s="6">
        <v>98</v>
      </c>
      <c r="W269" s="6">
        <v>0</v>
      </c>
      <c r="X269" s="6">
        <v>7</v>
      </c>
      <c r="Y269" s="6">
        <v>8</v>
      </c>
      <c r="Z269" s="6">
        <v>36</v>
      </c>
      <c r="AA269" s="6">
        <v>0</v>
      </c>
      <c r="AB269" s="6">
        <v>11</v>
      </c>
      <c r="AC269" s="6">
        <v>75</v>
      </c>
      <c r="AD269" s="6">
        <v>17</v>
      </c>
      <c r="AE269" s="6">
        <v>522</v>
      </c>
      <c r="AF269" s="6">
        <v>294</v>
      </c>
      <c r="AG269" s="16">
        <v>816</v>
      </c>
      <c r="AH269" s="17">
        <v>43.5</v>
      </c>
      <c r="AI269" s="17">
        <v>24.5</v>
      </c>
      <c r="AJ269" s="17">
        <v>34</v>
      </c>
      <c r="AK269" s="49">
        <v>8.462424038050857E-5</v>
      </c>
      <c r="AL269" s="48">
        <v>31.876180905041135</v>
      </c>
      <c r="AM269" s="19">
        <v>31.946966924141233</v>
      </c>
      <c r="AN269" s="47">
        <v>1.3010686083690259</v>
      </c>
      <c r="AO269" s="20">
        <v>0.93961667423944806</v>
      </c>
      <c r="AP269" s="44">
        <v>-0.43678160919540232</v>
      </c>
      <c r="AQ269" s="46">
        <v>3234</v>
      </c>
      <c r="AR269" s="45">
        <v>8976</v>
      </c>
      <c r="AS269" s="22">
        <v>5.4749509347047519E-6</v>
      </c>
      <c r="AT269" s="22">
        <v>0.99998781982005203</v>
      </c>
      <c r="AU269" s="22" t="s">
        <v>215</v>
      </c>
      <c r="AV269" s="22" t="s">
        <v>166</v>
      </c>
      <c r="AW269" s="22" t="s">
        <v>222</v>
      </c>
      <c r="AX269" s="23">
        <v>708</v>
      </c>
      <c r="AY269" s="24">
        <v>28.897959183673468</v>
      </c>
      <c r="AZ269" s="23">
        <v>110</v>
      </c>
      <c r="BA269" s="23">
        <v>30</v>
      </c>
      <c r="BB269" s="44" t="s">
        <v>154</v>
      </c>
      <c r="BC269" s="26">
        <v>0.81666666666666665</v>
      </c>
      <c r="BD269" s="23">
        <v>30</v>
      </c>
      <c r="BE269" s="26">
        <v>49</v>
      </c>
      <c r="BF269" s="26">
        <v>73.5</v>
      </c>
      <c r="BG269" s="24"/>
      <c r="BI269" s="26"/>
      <c r="BJ269" s="23"/>
      <c r="BK269" s="26"/>
      <c r="BL269" s="27"/>
      <c r="BN269" s="13"/>
      <c r="BO269" s="43"/>
      <c r="BP269" s="42"/>
    </row>
    <row r="270" spans="1:68" s="1" customFormat="1" x14ac:dyDescent="0.3">
      <c r="A270" s="12" t="s">
        <v>279</v>
      </c>
      <c r="B270" s="12">
        <v>102190</v>
      </c>
      <c r="C270" s="13" t="s">
        <v>278</v>
      </c>
      <c r="D270" s="13" t="s">
        <v>277</v>
      </c>
      <c r="E270" s="14">
        <v>768</v>
      </c>
      <c r="F270" s="15" t="s">
        <v>137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2</v>
      </c>
      <c r="V270" s="6">
        <v>0</v>
      </c>
      <c r="W270" s="6">
        <v>0</v>
      </c>
      <c r="X270" s="6">
        <v>0</v>
      </c>
      <c r="Y270" s="6">
        <v>0</v>
      </c>
      <c r="Z270" s="6">
        <v>2</v>
      </c>
      <c r="AA270" s="6">
        <v>0</v>
      </c>
      <c r="AB270" s="6">
        <v>3</v>
      </c>
      <c r="AC270" s="6">
        <v>1</v>
      </c>
      <c r="AD270" s="6">
        <v>0</v>
      </c>
      <c r="AE270" s="6">
        <v>0</v>
      </c>
      <c r="AF270" s="6">
        <v>8</v>
      </c>
      <c r="AG270" s="16">
        <v>8</v>
      </c>
      <c r="AH270" s="17">
        <v>0</v>
      </c>
      <c r="AI270" s="17">
        <v>0.66666666666666663</v>
      </c>
      <c r="AJ270" s="17">
        <v>0.33333333333333331</v>
      </c>
      <c r="AK270" s="49">
        <v>2.3027004185172403E-6</v>
      </c>
      <c r="AL270" s="48">
        <v>1.0730867399773196</v>
      </c>
      <c r="AM270" s="19">
        <v>0.81649658092772603</v>
      </c>
      <c r="AN270" s="47">
        <v>1.6096301099659795</v>
      </c>
      <c r="AO270" s="20">
        <v>2.4494897427831783</v>
      </c>
      <c r="AP270" s="44">
        <v>0</v>
      </c>
      <c r="AQ270" s="46">
        <v>6144</v>
      </c>
      <c r="AR270" s="45">
        <v>6144</v>
      </c>
      <c r="AS270" s="22">
        <v>3.7475599980866755E-6</v>
      </c>
      <c r="AT270" s="22">
        <v>0.99999156738005013</v>
      </c>
      <c r="AU270" s="22" t="s">
        <v>215</v>
      </c>
      <c r="AV270" s="22" t="s">
        <v>166</v>
      </c>
      <c r="AW270" s="22" t="s">
        <v>222</v>
      </c>
      <c r="AX270" s="23">
        <v>46</v>
      </c>
      <c r="AY270" s="24">
        <v>69</v>
      </c>
      <c r="AZ270" s="23">
        <v>7</v>
      </c>
      <c r="BA270" s="23">
        <v>3</v>
      </c>
      <c r="BB270" s="44" t="s">
        <v>154</v>
      </c>
      <c r="BC270" s="26">
        <v>2.222222222222222E-2</v>
      </c>
      <c r="BD270" s="23">
        <v>30</v>
      </c>
      <c r="BE270" s="26">
        <v>1.3333333333333333</v>
      </c>
      <c r="BF270" s="26">
        <v>2</v>
      </c>
      <c r="BG270" s="24"/>
      <c r="BI270" s="26"/>
      <c r="BJ270" s="23"/>
      <c r="BK270" s="26"/>
      <c r="BL270" s="27"/>
      <c r="BN270" s="13"/>
      <c r="BO270" s="43"/>
      <c r="BP270" s="42"/>
    </row>
    <row r="271" spans="1:68" s="1" customFormat="1" x14ac:dyDescent="0.3">
      <c r="A271" s="12" t="s">
        <v>276</v>
      </c>
      <c r="B271" s="12">
        <v>102183</v>
      </c>
      <c r="C271" s="13" t="s">
        <v>275</v>
      </c>
      <c r="D271" s="13" t="s">
        <v>53</v>
      </c>
      <c r="E271" s="14">
        <v>28</v>
      </c>
      <c r="F271" s="15" t="s">
        <v>137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70</v>
      </c>
      <c r="AB271" s="6">
        <v>107</v>
      </c>
      <c r="AC271" s="6">
        <v>33</v>
      </c>
      <c r="AD271" s="6">
        <v>0</v>
      </c>
      <c r="AE271" s="6">
        <v>0</v>
      </c>
      <c r="AF271" s="6">
        <v>210</v>
      </c>
      <c r="AG271" s="16">
        <v>210</v>
      </c>
      <c r="AH271" s="17">
        <v>0</v>
      </c>
      <c r="AI271" s="17">
        <v>17.5</v>
      </c>
      <c r="AJ271" s="17">
        <v>8.75</v>
      </c>
      <c r="AK271" s="49">
        <v>6.0445885986077555E-5</v>
      </c>
      <c r="AL271" s="48">
        <v>35.372048543755817</v>
      </c>
      <c r="AM271" s="19">
        <v>26.043859327980794</v>
      </c>
      <c r="AN271" s="47">
        <v>2.0212599167860468</v>
      </c>
      <c r="AO271" s="20">
        <v>2.9764410660549481</v>
      </c>
      <c r="AP271" s="44">
        <v>0</v>
      </c>
      <c r="AQ271" s="46">
        <v>5880</v>
      </c>
      <c r="AR271" s="45">
        <v>5880</v>
      </c>
      <c r="AS271" s="22">
        <v>3.5865320294188886E-6</v>
      </c>
      <c r="AT271" s="22">
        <v>0.99999515391207949</v>
      </c>
      <c r="AU271" s="22" t="s">
        <v>215</v>
      </c>
      <c r="AV271" s="22" t="s">
        <v>166</v>
      </c>
      <c r="AW271" s="22" t="s">
        <v>222</v>
      </c>
      <c r="AX271" s="23">
        <v>3363</v>
      </c>
      <c r="AY271" s="24">
        <v>192.17142857142858</v>
      </c>
      <c r="AZ271" s="23">
        <v>88</v>
      </c>
      <c r="BA271" s="23">
        <v>40</v>
      </c>
      <c r="BB271" s="44" t="s">
        <v>154</v>
      </c>
      <c r="BC271" s="26">
        <v>0.58333333333333337</v>
      </c>
      <c r="BD271" s="23">
        <v>30</v>
      </c>
      <c r="BE271" s="26">
        <v>35</v>
      </c>
      <c r="BF271" s="26">
        <v>52.5</v>
      </c>
      <c r="BG271" s="24"/>
      <c r="BI271" s="26"/>
      <c r="BJ271" s="23"/>
      <c r="BK271" s="26"/>
      <c r="BL271" s="27"/>
      <c r="BN271" s="13"/>
      <c r="BO271" s="43"/>
      <c r="BP271" s="42"/>
    </row>
    <row r="272" spans="1:68" s="1" customFormat="1" x14ac:dyDescent="0.3">
      <c r="A272" s="12" t="s">
        <v>274</v>
      </c>
      <c r="B272" s="12">
        <v>106013</v>
      </c>
      <c r="C272" s="13" t="s">
        <v>273</v>
      </c>
      <c r="D272" s="13" t="s">
        <v>44</v>
      </c>
      <c r="E272" s="14">
        <v>405</v>
      </c>
      <c r="F272" s="15" t="s">
        <v>137</v>
      </c>
      <c r="G272" s="6">
        <v>0</v>
      </c>
      <c r="H272" s="6">
        <v>3</v>
      </c>
      <c r="I272" s="6">
        <v>2</v>
      </c>
      <c r="J272" s="6">
        <v>0</v>
      </c>
      <c r="K272" s="6">
        <v>0</v>
      </c>
      <c r="L272" s="6">
        <v>1</v>
      </c>
      <c r="M272" s="6">
        <v>0</v>
      </c>
      <c r="N272" s="6">
        <v>0</v>
      </c>
      <c r="O272" s="6">
        <v>0</v>
      </c>
      <c r="P272" s="6">
        <v>0</v>
      </c>
      <c r="Q272" s="6">
        <v>2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8</v>
      </c>
      <c r="AF272" s="6">
        <v>0</v>
      </c>
      <c r="AG272" s="16">
        <v>8</v>
      </c>
      <c r="AH272" s="17">
        <v>0.66666666666666663</v>
      </c>
      <c r="AI272" s="17">
        <v>0</v>
      </c>
      <c r="AJ272" s="17">
        <v>0.33333333333333331</v>
      </c>
      <c r="AK272" s="49">
        <v>0</v>
      </c>
      <c r="AL272" s="48">
        <v>0</v>
      </c>
      <c r="AM272" s="19">
        <v>0.81649658092772603</v>
      </c>
      <c r="AN272" s="48">
        <v>0</v>
      </c>
      <c r="AO272" s="20">
        <v>2.4494897427831783</v>
      </c>
      <c r="AP272" s="44">
        <v>-1</v>
      </c>
      <c r="AQ272" s="46">
        <v>0</v>
      </c>
      <c r="AR272" s="45">
        <v>3240</v>
      </c>
      <c r="AS272" s="22">
        <v>1.9762523427410202E-6</v>
      </c>
      <c r="AT272" s="22">
        <v>0.99999713016442227</v>
      </c>
      <c r="AU272" s="22" t="s">
        <v>215</v>
      </c>
      <c r="AV272" s="22" t="s">
        <v>166</v>
      </c>
      <c r="AW272" s="22" t="s">
        <v>222</v>
      </c>
      <c r="AX272" s="23">
        <v>228</v>
      </c>
      <c r="AY272" s="24" t="e">
        <v>#DIV/0!</v>
      </c>
      <c r="AZ272" s="23">
        <v>5</v>
      </c>
      <c r="BA272" s="23">
        <v>2</v>
      </c>
      <c r="BB272" s="44" t="s">
        <v>154</v>
      </c>
      <c r="BC272" s="26">
        <v>0</v>
      </c>
      <c r="BD272" s="23">
        <v>30</v>
      </c>
      <c r="BE272" s="26">
        <v>0</v>
      </c>
      <c r="BF272" s="26">
        <v>0</v>
      </c>
      <c r="BG272" s="24"/>
      <c r="BI272" s="26"/>
      <c r="BJ272" s="23"/>
      <c r="BK272" s="26"/>
      <c r="BL272" s="27"/>
      <c r="BN272" s="13"/>
      <c r="BO272" s="43"/>
      <c r="BP272" s="42"/>
    </row>
    <row r="273" spans="1:68" s="1" customFormat="1" x14ac:dyDescent="0.3">
      <c r="A273" s="12" t="s">
        <v>272</v>
      </c>
      <c r="B273" s="12">
        <v>102066</v>
      </c>
      <c r="C273" s="13" t="s">
        <v>271</v>
      </c>
      <c r="D273" s="13" t="s">
        <v>53</v>
      </c>
      <c r="E273" s="14">
        <v>51</v>
      </c>
      <c r="F273" s="15" t="s">
        <v>137</v>
      </c>
      <c r="G273" s="6">
        <v>0</v>
      </c>
      <c r="H273" s="6">
        <v>0</v>
      </c>
      <c r="I273" s="6">
        <v>0</v>
      </c>
      <c r="J273" s="6">
        <v>0</v>
      </c>
      <c r="K273" s="6">
        <v>11</v>
      </c>
      <c r="L273" s="6">
        <v>0</v>
      </c>
      <c r="M273" s="6">
        <v>28</v>
      </c>
      <c r="N273" s="6">
        <v>11</v>
      </c>
      <c r="O273" s="6">
        <v>5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4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55</v>
      </c>
      <c r="AF273" s="6">
        <v>4</v>
      </c>
      <c r="AG273" s="16">
        <v>59</v>
      </c>
      <c r="AH273" s="17">
        <v>4.583333333333333</v>
      </c>
      <c r="AI273" s="17">
        <v>0.33333333333333331</v>
      </c>
      <c r="AJ273" s="17">
        <v>2.458333333333333</v>
      </c>
      <c r="AK273" s="49">
        <v>1.1513502092586201E-6</v>
      </c>
      <c r="AL273" s="48">
        <v>1.1547005383792515</v>
      </c>
      <c r="AM273" s="19">
        <v>6.33128303960076</v>
      </c>
      <c r="AN273" s="47">
        <v>3.4641016151377544</v>
      </c>
      <c r="AO273" s="20">
        <v>2.575437168651157</v>
      </c>
      <c r="AP273" s="44">
        <v>-0.92727272727272736</v>
      </c>
      <c r="AQ273" s="46">
        <v>204</v>
      </c>
      <c r="AR273" s="45">
        <v>3009</v>
      </c>
      <c r="AS273" s="22">
        <v>1.8353528701567068E-6</v>
      </c>
      <c r="AT273" s="22">
        <v>0.99999896551729239</v>
      </c>
      <c r="AU273" s="22" t="s">
        <v>215</v>
      </c>
      <c r="AV273" s="22" t="s">
        <v>166</v>
      </c>
      <c r="AW273" s="22" t="s">
        <v>222</v>
      </c>
      <c r="AX273" s="23">
        <v>70</v>
      </c>
      <c r="AY273" s="24">
        <v>210</v>
      </c>
      <c r="AZ273" s="23">
        <v>9</v>
      </c>
      <c r="BA273" s="23">
        <v>6</v>
      </c>
      <c r="BB273" s="44" t="s">
        <v>154</v>
      </c>
      <c r="BC273" s="26">
        <v>1.111111111111111E-2</v>
      </c>
      <c r="BD273" s="23">
        <v>30</v>
      </c>
      <c r="BE273" s="26">
        <v>0.66666666666666663</v>
      </c>
      <c r="BF273" s="26">
        <v>1</v>
      </c>
      <c r="BG273" s="24"/>
      <c r="BI273" s="26"/>
      <c r="BJ273" s="23"/>
      <c r="BK273" s="26"/>
      <c r="BL273" s="27"/>
      <c r="BN273" s="13"/>
      <c r="BO273" s="43"/>
      <c r="BP273" s="42"/>
    </row>
    <row r="274" spans="1:68" s="1" customFormat="1" x14ac:dyDescent="0.3">
      <c r="A274" s="12" t="s">
        <v>270</v>
      </c>
      <c r="B274" s="12">
        <v>106048</v>
      </c>
      <c r="C274" s="13" t="s">
        <v>269</v>
      </c>
      <c r="D274" s="13" t="s">
        <v>44</v>
      </c>
      <c r="E274" s="14">
        <v>107</v>
      </c>
      <c r="F274" s="15" t="s">
        <v>137</v>
      </c>
      <c r="G274" s="6">
        <v>0</v>
      </c>
      <c r="H274" s="6">
        <v>2</v>
      </c>
      <c r="I274" s="6">
        <v>6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8</v>
      </c>
      <c r="AF274" s="6">
        <v>0</v>
      </c>
      <c r="AG274" s="16">
        <v>8</v>
      </c>
      <c r="AH274" s="17">
        <v>0.66666666666666663</v>
      </c>
      <c r="AI274" s="17">
        <v>0</v>
      </c>
      <c r="AJ274" s="17">
        <v>0.33333333333333331</v>
      </c>
      <c r="AK274" s="49">
        <v>0</v>
      </c>
      <c r="AL274" s="48">
        <v>0</v>
      </c>
      <c r="AM274" s="19">
        <v>1.2740441145412122</v>
      </c>
      <c r="AN274" s="48">
        <v>0</v>
      </c>
      <c r="AO274" s="20">
        <v>3.822132343623637</v>
      </c>
      <c r="AP274" s="44">
        <v>-1</v>
      </c>
      <c r="AQ274" s="46">
        <v>0</v>
      </c>
      <c r="AR274" s="45">
        <v>856</v>
      </c>
      <c r="AS274" s="22">
        <v>5.2212098931676338E-7</v>
      </c>
      <c r="AT274" s="22">
        <v>0.99999948763828173</v>
      </c>
      <c r="AU274" s="22" t="s">
        <v>215</v>
      </c>
      <c r="AV274" s="22" t="s">
        <v>166</v>
      </c>
      <c r="AW274" s="22" t="s">
        <v>222</v>
      </c>
      <c r="AX274" s="23">
        <v>0</v>
      </c>
      <c r="AY274" s="24" t="e">
        <v>#DIV/0!</v>
      </c>
      <c r="AZ274" s="23">
        <v>2</v>
      </c>
      <c r="BA274" s="23">
        <v>1</v>
      </c>
      <c r="BB274" s="44" t="s">
        <v>198</v>
      </c>
      <c r="BC274" s="26">
        <v>0</v>
      </c>
      <c r="BD274" s="23">
        <v>30</v>
      </c>
      <c r="BE274" s="26">
        <v>0</v>
      </c>
      <c r="BF274" s="26">
        <v>0</v>
      </c>
      <c r="BG274" s="24"/>
      <c r="BI274" s="26"/>
      <c r="BJ274" s="23"/>
      <c r="BK274" s="26"/>
      <c r="BL274" s="27"/>
      <c r="BN274" s="13"/>
      <c r="BO274" s="43"/>
      <c r="BP274" s="42"/>
    </row>
    <row r="275" spans="1:68" s="1" customFormat="1" x14ac:dyDescent="0.3">
      <c r="A275" s="12" t="s">
        <v>268</v>
      </c>
      <c r="B275" s="12">
        <v>102178</v>
      </c>
      <c r="C275" s="13" t="s">
        <v>267</v>
      </c>
      <c r="D275" s="13" t="s">
        <v>266</v>
      </c>
      <c r="E275" s="14">
        <v>105</v>
      </c>
      <c r="F275" s="15" t="s">
        <v>137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4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4</v>
      </c>
      <c r="AE275" s="6">
        <v>0</v>
      </c>
      <c r="AF275" s="6">
        <v>8</v>
      </c>
      <c r="AG275" s="16">
        <v>8</v>
      </c>
      <c r="AH275" s="17">
        <v>0</v>
      </c>
      <c r="AI275" s="17">
        <v>0.66666666666666663</v>
      </c>
      <c r="AJ275" s="17">
        <v>0.33333333333333331</v>
      </c>
      <c r="AK275" s="49">
        <v>2.3027004185172403E-6</v>
      </c>
      <c r="AL275" s="48">
        <v>1.556997888323046</v>
      </c>
      <c r="AM275" s="19">
        <v>1.1293194051465598</v>
      </c>
      <c r="AN275" s="47">
        <v>2.3354968324845693</v>
      </c>
      <c r="AO275" s="20">
        <v>3.3879582154396797</v>
      </c>
      <c r="AP275" s="44">
        <v>0</v>
      </c>
      <c r="AQ275" s="46">
        <v>840</v>
      </c>
      <c r="AR275" s="45">
        <v>840</v>
      </c>
      <c r="AS275" s="22">
        <v>5.1236171848841265E-7</v>
      </c>
      <c r="AT275" s="22">
        <v>1.0000000000000002</v>
      </c>
      <c r="AU275" s="22" t="s">
        <v>215</v>
      </c>
      <c r="AV275" s="22" t="s">
        <v>166</v>
      </c>
      <c r="AW275" s="22" t="s">
        <v>222</v>
      </c>
      <c r="AX275" s="23">
        <v>34</v>
      </c>
      <c r="AY275" s="24">
        <v>51</v>
      </c>
      <c r="AZ275" s="23">
        <v>35</v>
      </c>
      <c r="BA275" s="23">
        <v>20</v>
      </c>
      <c r="BB275" s="44" t="s">
        <v>154</v>
      </c>
      <c r="BC275" s="26">
        <v>2.222222222222222E-2</v>
      </c>
      <c r="BD275" s="23">
        <v>30</v>
      </c>
      <c r="BE275" s="26">
        <v>1.3333333333333333</v>
      </c>
      <c r="BF275" s="26">
        <v>2</v>
      </c>
      <c r="BG275" s="24"/>
      <c r="BI275" s="26"/>
      <c r="BJ275" s="23"/>
      <c r="BK275" s="26"/>
      <c r="BL275" s="27"/>
      <c r="BN275" s="13"/>
      <c r="BO275" s="43"/>
      <c r="BP275" s="42"/>
    </row>
    <row r="276" spans="1:68" s="1" customFormat="1" x14ac:dyDescent="0.3">
      <c r="A276" s="12" t="s">
        <v>265</v>
      </c>
      <c r="B276" s="12">
        <v>102207</v>
      </c>
      <c r="C276" s="13" t="s">
        <v>264</v>
      </c>
      <c r="D276" s="13" t="s">
        <v>137</v>
      </c>
      <c r="E276" s="14">
        <v>0</v>
      </c>
      <c r="F276" s="15" t="s">
        <v>137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17</v>
      </c>
      <c r="AE276" s="6">
        <v>0</v>
      </c>
      <c r="AF276" s="6">
        <v>17</v>
      </c>
      <c r="AG276" s="16">
        <v>17</v>
      </c>
      <c r="AH276" s="17">
        <v>0</v>
      </c>
      <c r="AI276" s="17">
        <v>1.4166666666666667</v>
      </c>
      <c r="AJ276" s="17">
        <v>0.70833333333333337</v>
      </c>
      <c r="AK276" s="49">
        <v>4.8932383893491354E-6</v>
      </c>
      <c r="AL276" s="48">
        <v>4.9074772881118189</v>
      </c>
      <c r="AM276" s="19">
        <v>3.4701104689428357</v>
      </c>
      <c r="AN276" s="47">
        <v>3.4641016151377544</v>
      </c>
      <c r="AO276" s="20">
        <v>4.8989794855663558</v>
      </c>
      <c r="AP276" s="44">
        <v>0</v>
      </c>
      <c r="AQ276" s="46">
        <v>0</v>
      </c>
      <c r="AR276" s="45">
        <v>0</v>
      </c>
      <c r="AS276" s="22">
        <v>0</v>
      </c>
      <c r="AT276" s="22">
        <v>1.0000000000000002</v>
      </c>
      <c r="AU276" s="22" t="s">
        <v>215</v>
      </c>
      <c r="AV276" s="22" t="s">
        <v>166</v>
      </c>
      <c r="AW276" s="22" t="s">
        <v>222</v>
      </c>
      <c r="AX276" s="23">
        <v>169</v>
      </c>
      <c r="AY276" s="24">
        <v>119.29411764705881</v>
      </c>
      <c r="AZ276" s="23">
        <v>49</v>
      </c>
      <c r="BA276" s="23">
        <v>25</v>
      </c>
      <c r="BB276" s="44" t="s">
        <v>154</v>
      </c>
      <c r="BC276" s="26">
        <v>4.7222222222222228E-2</v>
      </c>
      <c r="BD276" s="23">
        <v>30</v>
      </c>
      <c r="BE276" s="26">
        <v>2.8333333333333335</v>
      </c>
      <c r="BF276" s="26">
        <v>4.25</v>
      </c>
      <c r="BG276" s="24"/>
      <c r="BI276" s="26"/>
      <c r="BJ276" s="23"/>
      <c r="BK276" s="26"/>
      <c r="BL276" s="27"/>
      <c r="BN276" s="13"/>
      <c r="BO276" s="43"/>
      <c r="BP276" s="42"/>
    </row>
    <row r="277" spans="1:68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41" t="s">
        <v>149</v>
      </c>
      <c r="AE277" s="41">
        <v>3572134.85</v>
      </c>
      <c r="AF277" s="41">
        <v>3474181.85</v>
      </c>
      <c r="AG277" s="41"/>
      <c r="AH277" s="41"/>
      <c r="AI277" s="41"/>
      <c r="AJ277" s="40"/>
      <c r="AK277" s="1"/>
      <c r="AQ277" s="39">
        <v>817757432.5</v>
      </c>
      <c r="AR277" s="38">
        <v>1639466747.2</v>
      </c>
    </row>
    <row r="278" spans="1:68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68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68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68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68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37"/>
    </row>
    <row r="283" spans="1:68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68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68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68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68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68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</sheetData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28E2-4D50-402C-AC1A-D9C2B533E422}">
  <dimension ref="A1:G14"/>
  <sheetViews>
    <sheetView workbookViewId="0">
      <selection activeCell="I14" sqref="I14"/>
    </sheetView>
  </sheetViews>
  <sheetFormatPr baseColWidth="10" defaultRowHeight="14.5" x14ac:dyDescent="0.35"/>
  <cols>
    <col min="4" max="4" width="15.1796875" bestFit="1" customWidth="1"/>
    <col min="6" max="6" width="15.1796875" bestFit="1" customWidth="1"/>
  </cols>
  <sheetData>
    <row r="1" spans="1:7" x14ac:dyDescent="0.35">
      <c r="A1" t="s">
        <v>137</v>
      </c>
      <c r="D1" s="52"/>
    </row>
    <row r="2" spans="1:7" ht="39.5" x14ac:dyDescent="0.35">
      <c r="A2" s="67" t="s">
        <v>847</v>
      </c>
      <c r="B2" s="69" t="s">
        <v>848</v>
      </c>
      <c r="C2" s="69" t="s">
        <v>849</v>
      </c>
      <c r="D2" s="69" t="s">
        <v>850</v>
      </c>
      <c r="E2" s="69" t="s">
        <v>851</v>
      </c>
      <c r="F2" s="69" t="s">
        <v>852</v>
      </c>
      <c r="G2" s="69" t="s">
        <v>853</v>
      </c>
    </row>
    <row r="3" spans="1:7" x14ac:dyDescent="0.35">
      <c r="A3" s="68" t="s">
        <v>151</v>
      </c>
      <c r="B3" s="53">
        <v>47</v>
      </c>
      <c r="C3" s="54">
        <f>B3/B6</f>
        <v>0.17216117216117216</v>
      </c>
      <c r="D3" s="55">
        <v>1304291248</v>
      </c>
      <c r="E3" s="54">
        <f>D3/D6</f>
        <v>0.79555822061452275</v>
      </c>
      <c r="F3" s="56">
        <f>D3</f>
        <v>1304291248</v>
      </c>
      <c r="G3" s="54">
        <f>F3/D6</f>
        <v>0.79555822061452275</v>
      </c>
    </row>
    <row r="4" spans="1:7" x14ac:dyDescent="0.35">
      <c r="A4" s="68" t="s">
        <v>179</v>
      </c>
      <c r="B4" s="53">
        <v>61</v>
      </c>
      <c r="C4" s="54">
        <f>B4/B6</f>
        <v>0.22344322344322345</v>
      </c>
      <c r="D4" s="57">
        <v>251879717</v>
      </c>
      <c r="E4" s="54">
        <f>D4/D6</f>
        <v>0.15363514841695047</v>
      </c>
      <c r="F4" s="56">
        <f>F3+D4</f>
        <v>1556170965</v>
      </c>
      <c r="G4" s="54">
        <f>F4/D6</f>
        <v>0.94919336903147322</v>
      </c>
    </row>
    <row r="5" spans="1:7" x14ac:dyDescent="0.35">
      <c r="A5" s="68" t="s">
        <v>215</v>
      </c>
      <c r="B5" s="53">
        <v>165</v>
      </c>
      <c r="C5" s="54">
        <f>B5/B6</f>
        <v>0.60439560439560436</v>
      </c>
      <c r="D5" s="57">
        <v>83295782</v>
      </c>
      <c r="E5" s="54">
        <f>D5/D6</f>
        <v>5.0806630968526743E-2</v>
      </c>
      <c r="F5" s="56">
        <f>F4+D5</f>
        <v>1639466747</v>
      </c>
      <c r="G5" s="54">
        <f>F5/D6</f>
        <v>1</v>
      </c>
    </row>
    <row r="6" spans="1:7" x14ac:dyDescent="0.35">
      <c r="A6" s="68" t="s">
        <v>854</v>
      </c>
      <c r="B6" s="58">
        <f>SUM(B3:B5)</f>
        <v>273</v>
      </c>
      <c r="C6" s="59">
        <f>SUM(C3:C5)</f>
        <v>1</v>
      </c>
      <c r="D6" s="60">
        <f>SUM(D3:D5)</f>
        <v>1639466747</v>
      </c>
      <c r="E6" s="61">
        <f>SUM(E3:E5)</f>
        <v>1</v>
      </c>
    </row>
    <row r="7" spans="1:7" x14ac:dyDescent="0.35">
      <c r="A7" s="62"/>
      <c r="B7" s="62"/>
      <c r="C7" s="63"/>
      <c r="D7" s="64"/>
      <c r="E7" s="65"/>
    </row>
    <row r="8" spans="1:7" x14ac:dyDescent="0.35">
      <c r="A8" s="66" t="s">
        <v>45</v>
      </c>
      <c r="D8" s="52"/>
    </row>
    <row r="9" spans="1:7" ht="39.5" x14ac:dyDescent="0.35">
      <c r="A9" s="67" t="s">
        <v>847</v>
      </c>
      <c r="B9" s="69" t="s">
        <v>848</v>
      </c>
      <c r="C9" s="69" t="s">
        <v>849</v>
      </c>
      <c r="D9" s="69" t="s">
        <v>850</v>
      </c>
      <c r="E9" s="69" t="s">
        <v>851</v>
      </c>
      <c r="F9" s="69" t="s">
        <v>852</v>
      </c>
      <c r="G9" s="69" t="s">
        <v>853</v>
      </c>
    </row>
    <row r="10" spans="1:7" x14ac:dyDescent="0.35">
      <c r="A10" s="68" t="s">
        <v>151</v>
      </c>
      <c r="B10" s="53">
        <v>20</v>
      </c>
      <c r="C10" s="54">
        <f>B10/B13</f>
        <v>0.20618556701030927</v>
      </c>
      <c r="D10" s="55">
        <v>8651387080</v>
      </c>
      <c r="E10" s="54">
        <f>D10/D13</f>
        <v>0.79968921143541438</v>
      </c>
      <c r="F10" s="56">
        <f>D10</f>
        <v>8651387080</v>
      </c>
      <c r="G10" s="54">
        <f>F10/D13</f>
        <v>0.79968921143541438</v>
      </c>
    </row>
    <row r="11" spans="1:7" x14ac:dyDescent="0.35">
      <c r="A11" s="68" t="s">
        <v>179</v>
      </c>
      <c r="B11" s="53">
        <v>31</v>
      </c>
      <c r="C11" s="54">
        <f>B11/B13</f>
        <v>0.31958762886597936</v>
      </c>
      <c r="D11" s="57">
        <v>1603013670</v>
      </c>
      <c r="E11" s="54">
        <f>D11/D13</f>
        <v>0.14817424371705371</v>
      </c>
      <c r="F11" s="56">
        <f>F10+D11</f>
        <v>10254400750</v>
      </c>
      <c r="G11" s="54">
        <f>F11/D13</f>
        <v>0.94786345515246806</v>
      </c>
    </row>
    <row r="12" spans="1:7" x14ac:dyDescent="0.35">
      <c r="A12" s="68" t="s">
        <v>215</v>
      </c>
      <c r="B12" s="53">
        <v>46</v>
      </c>
      <c r="C12" s="54">
        <f>B12/B13</f>
        <v>0.47422680412371132</v>
      </c>
      <c r="D12" s="57">
        <v>564035908</v>
      </c>
      <c r="E12" s="54">
        <f>D12/D13</f>
        <v>5.2136544847531885E-2</v>
      </c>
      <c r="F12" s="56">
        <f>F11+D12</f>
        <v>10818436658</v>
      </c>
      <c r="G12" s="54">
        <f>F12/D13</f>
        <v>1</v>
      </c>
    </row>
    <row r="13" spans="1:7" x14ac:dyDescent="0.35">
      <c r="A13" s="68" t="s">
        <v>854</v>
      </c>
      <c r="B13" s="58">
        <f>SUM(B10:B12)</f>
        <v>97</v>
      </c>
      <c r="C13" s="59">
        <f>SUM(C10:C12)</f>
        <v>0.99999999999999989</v>
      </c>
      <c r="D13" s="60">
        <f>SUM(D10:D12)</f>
        <v>10818436658</v>
      </c>
      <c r="E13" s="61">
        <f>SUM(E10:E12)</f>
        <v>1</v>
      </c>
    </row>
    <row r="14" spans="1:7" x14ac:dyDescent="0.35">
      <c r="D14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Clasif. ABC-XYZ FO 2023-2024</vt:lpstr>
      <vt:lpstr>Clasif. ABC-XYZ FC 2023-2024</vt:lpstr>
      <vt:lpstr>Tabla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Castro</dc:creator>
  <cp:lastModifiedBy>Evelyn Castro</cp:lastModifiedBy>
  <dcterms:created xsi:type="dcterms:W3CDTF">2025-08-28T00:52:21Z</dcterms:created>
  <dcterms:modified xsi:type="dcterms:W3CDTF">2025-10-04T04:23:54Z</dcterms:modified>
</cp:coreProperties>
</file>