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TFG final/Bases de Datos/"/>
    </mc:Choice>
  </mc:AlternateContent>
  <xr:revisionPtr revIDLastSave="0" documentId="8_{BC26E84A-159B-4EF4-AB58-C5FFDBD56D5B}" xr6:coauthVersionLast="47" xr6:coauthVersionMax="47" xr10:uidLastSave="{00000000-0000-0000-0000-000000000000}"/>
  <bookViews>
    <workbookView xWindow="-110" yWindow="-110" windowWidth="19420" windowHeight="10300" xr2:uid="{D4445069-771D-4D56-88F2-E5DEA2CF39E2}"/>
  </bookViews>
  <sheets>
    <sheet name="Tabla 2. Consumos" sheetId="1" r:id="rId1"/>
  </sheets>
  <externalReferences>
    <externalReference r:id="rId2"/>
  </externalReferences>
  <definedNames>
    <definedName name="_xlnm._FilterDatabase" localSheetId="0" hidden="1">'Tabla 2. Consumos'!$A$4:$AO$375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74" i="1" l="1"/>
  <c r="AF374" i="1"/>
  <c r="AE374" i="1"/>
  <c r="A374" i="1"/>
  <c r="AG373" i="1"/>
  <c r="AF373" i="1"/>
  <c r="AE373" i="1"/>
  <c r="A373" i="1"/>
  <c r="AG372" i="1"/>
  <c r="AF372" i="1"/>
  <c r="AE372" i="1"/>
  <c r="A372" i="1"/>
  <c r="AG371" i="1"/>
  <c r="AF371" i="1"/>
  <c r="AE371" i="1"/>
  <c r="A371" i="1"/>
  <c r="AH370" i="1"/>
  <c r="AG370" i="1"/>
  <c r="AF370" i="1"/>
  <c r="AE370" i="1"/>
  <c r="A370" i="1"/>
  <c r="AH369" i="1"/>
  <c r="AG369" i="1"/>
  <c r="AF369" i="1"/>
  <c r="AE369" i="1"/>
  <c r="A369" i="1"/>
  <c r="AH368" i="1"/>
  <c r="AG368" i="1"/>
  <c r="AF368" i="1"/>
  <c r="AE368" i="1"/>
  <c r="A368" i="1"/>
  <c r="AH367" i="1"/>
  <c r="AG367" i="1"/>
  <c r="AF367" i="1"/>
  <c r="AE367" i="1"/>
  <c r="A367" i="1"/>
  <c r="AH366" i="1"/>
  <c r="AG366" i="1"/>
  <c r="AF366" i="1"/>
  <c r="AE366" i="1"/>
  <c r="A366" i="1"/>
  <c r="AH365" i="1"/>
  <c r="AG365" i="1"/>
  <c r="AF365" i="1"/>
  <c r="AE365" i="1"/>
  <c r="A365" i="1"/>
  <c r="AH364" i="1"/>
  <c r="AG364" i="1"/>
  <c r="AF364" i="1"/>
  <c r="AE364" i="1"/>
  <c r="A364" i="1"/>
  <c r="AH363" i="1"/>
  <c r="AG363" i="1"/>
  <c r="AF363" i="1"/>
  <c r="AE363" i="1"/>
  <c r="A363" i="1"/>
  <c r="AH362" i="1"/>
  <c r="AG362" i="1"/>
  <c r="AF362" i="1"/>
  <c r="AE362" i="1"/>
  <c r="A362" i="1"/>
  <c r="AH361" i="1"/>
  <c r="AG361" i="1"/>
  <c r="AF361" i="1"/>
  <c r="AE361" i="1"/>
  <c r="A361" i="1"/>
  <c r="AH360" i="1"/>
  <c r="AG360" i="1"/>
  <c r="AF360" i="1"/>
  <c r="AE360" i="1"/>
  <c r="A360" i="1"/>
  <c r="AH359" i="1"/>
  <c r="AG359" i="1"/>
  <c r="AF359" i="1"/>
  <c r="AE359" i="1"/>
  <c r="A359" i="1"/>
  <c r="AH358" i="1"/>
  <c r="AG358" i="1"/>
  <c r="AF358" i="1"/>
  <c r="AE358" i="1"/>
  <c r="A358" i="1"/>
  <c r="AH357" i="1"/>
  <c r="AG357" i="1"/>
  <c r="AF357" i="1"/>
  <c r="AE357" i="1"/>
  <c r="A357" i="1"/>
  <c r="AH356" i="1"/>
  <c r="AG356" i="1"/>
  <c r="AF356" i="1"/>
  <c r="AE356" i="1"/>
  <c r="A356" i="1"/>
  <c r="AH355" i="1"/>
  <c r="AG355" i="1"/>
  <c r="AF355" i="1"/>
  <c r="AE355" i="1"/>
  <c r="A355" i="1"/>
  <c r="AH354" i="1"/>
  <c r="AG354" i="1"/>
  <c r="AF354" i="1"/>
  <c r="AE354" i="1"/>
  <c r="A354" i="1"/>
  <c r="AH353" i="1"/>
  <c r="AG353" i="1"/>
  <c r="AF353" i="1"/>
  <c r="AE353" i="1"/>
  <c r="A353" i="1"/>
  <c r="AH352" i="1"/>
  <c r="AG352" i="1"/>
  <c r="AF352" i="1"/>
  <c r="AE352" i="1"/>
  <c r="A352" i="1"/>
  <c r="AH351" i="1"/>
  <c r="AG351" i="1"/>
  <c r="AF351" i="1"/>
  <c r="AE351" i="1"/>
  <c r="A351" i="1"/>
  <c r="AH350" i="1"/>
  <c r="AG350" i="1"/>
  <c r="AF350" i="1"/>
  <c r="AE350" i="1"/>
  <c r="A350" i="1"/>
  <c r="AH349" i="1"/>
  <c r="AG349" i="1"/>
  <c r="AF349" i="1"/>
  <c r="AE349" i="1"/>
  <c r="A349" i="1"/>
  <c r="AH348" i="1"/>
  <c r="AG348" i="1"/>
  <c r="AF348" i="1"/>
  <c r="AE348" i="1"/>
  <c r="A348" i="1"/>
  <c r="AH347" i="1"/>
  <c r="AG347" i="1"/>
  <c r="AF347" i="1"/>
  <c r="AE347" i="1"/>
  <c r="A347" i="1"/>
  <c r="AH346" i="1"/>
  <c r="AG346" i="1"/>
  <c r="AF346" i="1"/>
  <c r="AE346" i="1"/>
  <c r="A346" i="1"/>
  <c r="AH345" i="1"/>
  <c r="AG345" i="1"/>
  <c r="AF345" i="1"/>
  <c r="AE345" i="1"/>
  <c r="A345" i="1"/>
  <c r="AH344" i="1"/>
  <c r="AG344" i="1"/>
  <c r="AF344" i="1"/>
  <c r="AE344" i="1"/>
  <c r="A344" i="1"/>
  <c r="AH343" i="1"/>
  <c r="AG343" i="1"/>
  <c r="AF343" i="1"/>
  <c r="AE343" i="1"/>
  <c r="A343" i="1"/>
  <c r="AH342" i="1"/>
  <c r="AG342" i="1"/>
  <c r="AF342" i="1"/>
  <c r="AE342" i="1"/>
  <c r="A342" i="1"/>
  <c r="AH341" i="1"/>
  <c r="AG341" i="1"/>
  <c r="AF341" i="1"/>
  <c r="AE341" i="1"/>
  <c r="A341" i="1"/>
  <c r="AH340" i="1"/>
  <c r="AG340" i="1"/>
  <c r="AF340" i="1"/>
  <c r="AE340" i="1"/>
  <c r="A340" i="1"/>
  <c r="AH339" i="1"/>
  <c r="AG339" i="1"/>
  <c r="AF339" i="1"/>
  <c r="AE339" i="1"/>
  <c r="A339" i="1"/>
  <c r="AH338" i="1"/>
  <c r="AG338" i="1"/>
  <c r="AF338" i="1"/>
  <c r="AE338" i="1"/>
  <c r="A338" i="1"/>
  <c r="AH337" i="1"/>
  <c r="AG337" i="1"/>
  <c r="AF337" i="1"/>
  <c r="AE337" i="1"/>
  <c r="A337" i="1"/>
  <c r="AH336" i="1"/>
  <c r="AG336" i="1"/>
  <c r="AF336" i="1"/>
  <c r="AE336" i="1"/>
  <c r="A336" i="1"/>
  <c r="AH335" i="1"/>
  <c r="AG335" i="1"/>
  <c r="AF335" i="1"/>
  <c r="AE335" i="1"/>
  <c r="A335" i="1"/>
  <c r="AH334" i="1"/>
  <c r="AG334" i="1"/>
  <c r="AF334" i="1"/>
  <c r="AE334" i="1"/>
  <c r="A334" i="1"/>
  <c r="AH333" i="1"/>
  <c r="AG333" i="1"/>
  <c r="AF333" i="1"/>
  <c r="AE333" i="1"/>
  <c r="A333" i="1"/>
  <c r="AH332" i="1"/>
  <c r="AG332" i="1"/>
  <c r="AF332" i="1"/>
  <c r="AE332" i="1"/>
  <c r="A332" i="1"/>
  <c r="AH331" i="1"/>
  <c r="AG331" i="1"/>
  <c r="AF331" i="1"/>
  <c r="AE331" i="1"/>
  <c r="A331" i="1"/>
  <c r="AH330" i="1"/>
  <c r="AG330" i="1"/>
  <c r="AF330" i="1"/>
  <c r="AE330" i="1"/>
  <c r="A330" i="1"/>
  <c r="AH329" i="1"/>
  <c r="AG329" i="1"/>
  <c r="AF329" i="1"/>
  <c r="AE329" i="1"/>
  <c r="A329" i="1"/>
  <c r="AH328" i="1"/>
  <c r="AG328" i="1"/>
  <c r="AF328" i="1"/>
  <c r="AE328" i="1"/>
  <c r="A328" i="1"/>
  <c r="AH327" i="1"/>
  <c r="AG327" i="1"/>
  <c r="AF327" i="1"/>
  <c r="AE327" i="1"/>
  <c r="A327" i="1"/>
  <c r="AH326" i="1"/>
  <c r="AG326" i="1"/>
  <c r="AF326" i="1"/>
  <c r="AE326" i="1"/>
  <c r="A326" i="1"/>
  <c r="AH325" i="1"/>
  <c r="AG325" i="1"/>
  <c r="AF325" i="1"/>
  <c r="AE325" i="1"/>
  <c r="A325" i="1"/>
  <c r="AH324" i="1"/>
  <c r="AG324" i="1"/>
  <c r="AF324" i="1"/>
  <c r="AE324" i="1"/>
  <c r="A324" i="1"/>
  <c r="AH323" i="1"/>
  <c r="AG323" i="1"/>
  <c r="AF323" i="1"/>
  <c r="AE323" i="1"/>
  <c r="A323" i="1"/>
  <c r="AH322" i="1"/>
  <c r="AG322" i="1"/>
  <c r="AF322" i="1"/>
  <c r="AE322" i="1"/>
  <c r="A322" i="1"/>
  <c r="AH321" i="1"/>
  <c r="AG321" i="1"/>
  <c r="AF321" i="1"/>
  <c r="AE321" i="1"/>
  <c r="A321" i="1"/>
  <c r="AH320" i="1"/>
  <c r="AG320" i="1"/>
  <c r="AF320" i="1"/>
  <c r="AE320" i="1"/>
  <c r="A320" i="1"/>
  <c r="AH319" i="1"/>
  <c r="AG319" i="1"/>
  <c r="AF319" i="1"/>
  <c r="AE319" i="1"/>
  <c r="A319" i="1"/>
  <c r="AH318" i="1"/>
  <c r="AG318" i="1"/>
  <c r="AF318" i="1"/>
  <c r="AE318" i="1"/>
  <c r="A318" i="1"/>
  <c r="AH317" i="1"/>
  <c r="AG317" i="1"/>
  <c r="AF317" i="1"/>
  <c r="AE317" i="1"/>
  <c r="A317" i="1"/>
  <c r="AH316" i="1"/>
  <c r="AG316" i="1"/>
  <c r="AF316" i="1"/>
  <c r="AE316" i="1"/>
  <c r="A316" i="1"/>
  <c r="AH315" i="1"/>
  <c r="AG315" i="1"/>
  <c r="AF315" i="1"/>
  <c r="AE315" i="1"/>
  <c r="A315" i="1"/>
  <c r="AH314" i="1"/>
  <c r="AG314" i="1"/>
  <c r="AF314" i="1"/>
  <c r="AE314" i="1"/>
  <c r="A314" i="1"/>
  <c r="AH313" i="1"/>
  <c r="AG313" i="1"/>
  <c r="AF313" i="1"/>
  <c r="AE313" i="1"/>
  <c r="A313" i="1"/>
  <c r="AH312" i="1"/>
  <c r="AG312" i="1"/>
  <c r="AF312" i="1"/>
  <c r="AE312" i="1"/>
  <c r="A312" i="1"/>
  <c r="AH311" i="1"/>
  <c r="AG311" i="1"/>
  <c r="AF311" i="1"/>
  <c r="AE311" i="1"/>
  <c r="A311" i="1"/>
  <c r="AH310" i="1"/>
  <c r="AG310" i="1"/>
  <c r="AF310" i="1"/>
  <c r="AE310" i="1"/>
  <c r="A310" i="1"/>
  <c r="AH309" i="1"/>
  <c r="AG309" i="1"/>
  <c r="AF309" i="1"/>
  <c r="AE309" i="1"/>
  <c r="A309" i="1"/>
  <c r="AH308" i="1"/>
  <c r="AG308" i="1"/>
  <c r="AF308" i="1"/>
  <c r="AE308" i="1"/>
  <c r="A308" i="1"/>
  <c r="AH307" i="1"/>
  <c r="AG307" i="1"/>
  <c r="AF307" i="1"/>
  <c r="AE307" i="1"/>
  <c r="A307" i="1"/>
  <c r="AH306" i="1"/>
  <c r="AG306" i="1"/>
  <c r="AF306" i="1"/>
  <c r="AE306" i="1"/>
  <c r="A306" i="1"/>
  <c r="AH305" i="1"/>
  <c r="AG305" i="1"/>
  <c r="AF305" i="1"/>
  <c r="AE305" i="1"/>
  <c r="A305" i="1"/>
  <c r="AH304" i="1"/>
  <c r="AG304" i="1"/>
  <c r="AF304" i="1"/>
  <c r="AE304" i="1"/>
  <c r="A304" i="1"/>
  <c r="AH303" i="1"/>
  <c r="AG303" i="1"/>
  <c r="AF303" i="1"/>
  <c r="AE303" i="1"/>
  <c r="A303" i="1"/>
  <c r="AH302" i="1"/>
  <c r="AG302" i="1"/>
  <c r="AF302" i="1"/>
  <c r="AE302" i="1"/>
  <c r="A302" i="1"/>
  <c r="AH301" i="1"/>
  <c r="AG301" i="1"/>
  <c r="AF301" i="1"/>
  <c r="AE301" i="1"/>
  <c r="A301" i="1"/>
  <c r="AH300" i="1"/>
  <c r="AG300" i="1"/>
  <c r="AF300" i="1"/>
  <c r="AE300" i="1"/>
  <c r="A300" i="1"/>
  <c r="AH299" i="1"/>
  <c r="AG299" i="1"/>
  <c r="AF299" i="1"/>
  <c r="AE299" i="1"/>
  <c r="A299" i="1"/>
  <c r="AH298" i="1"/>
  <c r="AG298" i="1"/>
  <c r="AF298" i="1"/>
  <c r="AE298" i="1"/>
  <c r="A298" i="1"/>
  <c r="AH297" i="1"/>
  <c r="AG297" i="1"/>
  <c r="AF297" i="1"/>
  <c r="AE297" i="1"/>
  <c r="A297" i="1"/>
  <c r="AH296" i="1"/>
  <c r="AG296" i="1"/>
  <c r="AF296" i="1"/>
  <c r="AE296" i="1"/>
  <c r="A296" i="1"/>
  <c r="AH295" i="1"/>
  <c r="AG295" i="1"/>
  <c r="AF295" i="1"/>
  <c r="AE295" i="1"/>
  <c r="A295" i="1"/>
  <c r="AH294" i="1"/>
  <c r="AG294" i="1"/>
  <c r="AF294" i="1"/>
  <c r="AE294" i="1"/>
  <c r="A294" i="1"/>
  <c r="AH293" i="1"/>
  <c r="AG293" i="1"/>
  <c r="AF293" i="1"/>
  <c r="AE293" i="1"/>
  <c r="A293" i="1"/>
  <c r="AH292" i="1"/>
  <c r="AG292" i="1"/>
  <c r="AF292" i="1"/>
  <c r="AE292" i="1"/>
  <c r="A292" i="1"/>
  <c r="AH291" i="1"/>
  <c r="AG291" i="1"/>
  <c r="AF291" i="1"/>
  <c r="AE291" i="1"/>
  <c r="A291" i="1"/>
  <c r="AH290" i="1"/>
  <c r="AG290" i="1"/>
  <c r="AF290" i="1"/>
  <c r="AE290" i="1"/>
  <c r="A290" i="1"/>
  <c r="AH289" i="1"/>
  <c r="AG289" i="1"/>
  <c r="AF289" i="1"/>
  <c r="AE289" i="1"/>
  <c r="A289" i="1"/>
  <c r="AH288" i="1"/>
  <c r="AG288" i="1"/>
  <c r="AF288" i="1"/>
  <c r="AE288" i="1"/>
  <c r="A288" i="1"/>
  <c r="AH287" i="1"/>
  <c r="AG287" i="1"/>
  <c r="AF287" i="1"/>
  <c r="AE287" i="1"/>
  <c r="A287" i="1"/>
  <c r="AH286" i="1"/>
  <c r="AG286" i="1"/>
  <c r="AF286" i="1"/>
  <c r="AE286" i="1"/>
  <c r="A286" i="1"/>
  <c r="AH285" i="1"/>
  <c r="AG285" i="1"/>
  <c r="AF285" i="1"/>
  <c r="AE285" i="1"/>
  <c r="A285" i="1"/>
  <c r="AH284" i="1"/>
  <c r="AG284" i="1"/>
  <c r="AF284" i="1"/>
  <c r="AE284" i="1"/>
  <c r="A284" i="1"/>
  <c r="AH283" i="1"/>
  <c r="AG283" i="1"/>
  <c r="AF283" i="1"/>
  <c r="AE283" i="1"/>
  <c r="A283" i="1"/>
  <c r="AH282" i="1"/>
  <c r="AG282" i="1"/>
  <c r="AF282" i="1"/>
  <c r="AE282" i="1"/>
  <c r="A282" i="1"/>
  <c r="AH281" i="1"/>
  <c r="AG281" i="1"/>
  <c r="AF281" i="1"/>
  <c r="AE281" i="1"/>
  <c r="A281" i="1"/>
  <c r="AH280" i="1"/>
  <c r="AG280" i="1"/>
  <c r="AF280" i="1"/>
  <c r="AE280" i="1"/>
  <c r="A280" i="1"/>
  <c r="AH279" i="1"/>
  <c r="AG279" i="1"/>
  <c r="AF279" i="1"/>
  <c r="AE279" i="1"/>
  <c r="A279" i="1"/>
  <c r="AH278" i="1"/>
  <c r="AG278" i="1"/>
  <c r="AF278" i="1"/>
  <c r="AE278" i="1"/>
  <c r="A278" i="1"/>
  <c r="AH277" i="1"/>
  <c r="AG277" i="1"/>
  <c r="AF277" i="1"/>
  <c r="AE277" i="1"/>
  <c r="A277" i="1"/>
  <c r="AH276" i="1"/>
  <c r="AG276" i="1"/>
  <c r="AF276" i="1"/>
  <c r="AE276" i="1"/>
  <c r="A276" i="1"/>
  <c r="AH275" i="1"/>
  <c r="AG275" i="1"/>
  <c r="AF275" i="1"/>
  <c r="AE275" i="1"/>
  <c r="A275" i="1"/>
  <c r="AH274" i="1"/>
  <c r="AG274" i="1"/>
  <c r="AF274" i="1"/>
  <c r="AE274" i="1"/>
  <c r="A274" i="1"/>
  <c r="AH273" i="1"/>
  <c r="AG273" i="1"/>
  <c r="AF273" i="1"/>
  <c r="AE273" i="1"/>
  <c r="A273" i="1"/>
  <c r="AH272" i="1"/>
  <c r="AG272" i="1"/>
  <c r="AF272" i="1"/>
  <c r="AE272" i="1"/>
  <c r="A272" i="1"/>
  <c r="AH271" i="1"/>
  <c r="AG271" i="1"/>
  <c r="AF271" i="1"/>
  <c r="AE271" i="1"/>
  <c r="A271" i="1"/>
  <c r="AH270" i="1"/>
  <c r="AG270" i="1"/>
  <c r="AF270" i="1"/>
  <c r="AE270" i="1"/>
  <c r="A270" i="1"/>
  <c r="AH269" i="1"/>
  <c r="AG269" i="1"/>
  <c r="AF269" i="1"/>
  <c r="AE269" i="1"/>
  <c r="A269" i="1"/>
  <c r="AH268" i="1"/>
  <c r="AG268" i="1"/>
  <c r="AF268" i="1"/>
  <c r="AE268" i="1"/>
  <c r="A268" i="1"/>
  <c r="AH267" i="1"/>
  <c r="AG267" i="1"/>
  <c r="AF267" i="1"/>
  <c r="AE267" i="1"/>
  <c r="A267" i="1"/>
  <c r="AH266" i="1"/>
  <c r="AG266" i="1"/>
  <c r="AF266" i="1"/>
  <c r="AE266" i="1"/>
  <c r="A266" i="1"/>
  <c r="AH265" i="1"/>
  <c r="AG265" i="1"/>
  <c r="AF265" i="1"/>
  <c r="AE265" i="1"/>
  <c r="A265" i="1"/>
  <c r="AH264" i="1"/>
  <c r="AG264" i="1"/>
  <c r="AF264" i="1"/>
  <c r="AE264" i="1"/>
  <c r="A264" i="1"/>
  <c r="AH263" i="1"/>
  <c r="AG263" i="1"/>
  <c r="AF263" i="1"/>
  <c r="AE263" i="1"/>
  <c r="A263" i="1"/>
  <c r="AH262" i="1"/>
  <c r="AG262" i="1"/>
  <c r="AF262" i="1"/>
  <c r="AE262" i="1"/>
  <c r="A262" i="1"/>
  <c r="AH261" i="1"/>
  <c r="AG261" i="1"/>
  <c r="AF261" i="1"/>
  <c r="AE261" i="1"/>
  <c r="A261" i="1"/>
  <c r="AH260" i="1"/>
  <c r="AG260" i="1"/>
  <c r="AF260" i="1"/>
  <c r="AE260" i="1"/>
  <c r="A260" i="1"/>
  <c r="AH259" i="1"/>
  <c r="AG259" i="1"/>
  <c r="AF259" i="1"/>
  <c r="AE259" i="1"/>
  <c r="A259" i="1"/>
  <c r="AH258" i="1"/>
  <c r="AG258" i="1"/>
  <c r="AF258" i="1"/>
  <c r="AE258" i="1"/>
  <c r="A258" i="1"/>
  <c r="AH257" i="1"/>
  <c r="AG257" i="1"/>
  <c r="AF257" i="1"/>
  <c r="AE257" i="1"/>
  <c r="A257" i="1"/>
  <c r="AH256" i="1"/>
  <c r="AG256" i="1"/>
  <c r="AF256" i="1"/>
  <c r="AE256" i="1"/>
  <c r="A256" i="1"/>
  <c r="AH255" i="1"/>
  <c r="AG255" i="1"/>
  <c r="AF255" i="1"/>
  <c r="AE255" i="1"/>
  <c r="A255" i="1"/>
  <c r="AH254" i="1"/>
  <c r="AG254" i="1"/>
  <c r="AF254" i="1"/>
  <c r="AE254" i="1"/>
  <c r="A254" i="1"/>
  <c r="AH253" i="1"/>
  <c r="AG253" i="1"/>
  <c r="AF253" i="1"/>
  <c r="AE253" i="1"/>
  <c r="A253" i="1"/>
  <c r="AH252" i="1"/>
  <c r="AG252" i="1"/>
  <c r="AF252" i="1"/>
  <c r="AE252" i="1"/>
  <c r="A252" i="1"/>
  <c r="AH251" i="1"/>
  <c r="AG251" i="1"/>
  <c r="AF251" i="1"/>
  <c r="AE251" i="1"/>
  <c r="A251" i="1"/>
  <c r="AH250" i="1"/>
  <c r="AG250" i="1"/>
  <c r="AF250" i="1"/>
  <c r="AE250" i="1"/>
  <c r="A250" i="1"/>
  <c r="AH249" i="1"/>
  <c r="AG249" i="1"/>
  <c r="AF249" i="1"/>
  <c r="AE249" i="1"/>
  <c r="A249" i="1"/>
  <c r="AH248" i="1"/>
  <c r="AG248" i="1"/>
  <c r="AF248" i="1"/>
  <c r="AE248" i="1"/>
  <c r="A248" i="1"/>
  <c r="AH247" i="1"/>
  <c r="AG247" i="1"/>
  <c r="AF247" i="1"/>
  <c r="AE247" i="1"/>
  <c r="A247" i="1"/>
  <c r="AH246" i="1"/>
  <c r="AG246" i="1"/>
  <c r="AF246" i="1"/>
  <c r="AE246" i="1"/>
  <c r="A246" i="1"/>
  <c r="AH245" i="1"/>
  <c r="AG245" i="1"/>
  <c r="AF245" i="1"/>
  <c r="AE245" i="1"/>
  <c r="A245" i="1"/>
  <c r="AH244" i="1"/>
  <c r="AG244" i="1"/>
  <c r="AF244" i="1"/>
  <c r="AE244" i="1"/>
  <c r="A244" i="1"/>
  <c r="AH243" i="1"/>
  <c r="AG243" i="1"/>
  <c r="AF243" i="1"/>
  <c r="AE243" i="1"/>
  <c r="A243" i="1"/>
  <c r="AH242" i="1"/>
  <c r="AG242" i="1"/>
  <c r="AF242" i="1"/>
  <c r="AE242" i="1"/>
  <c r="A242" i="1"/>
  <c r="AH241" i="1"/>
  <c r="AG241" i="1"/>
  <c r="AF241" i="1"/>
  <c r="AE241" i="1"/>
  <c r="A241" i="1"/>
  <c r="AH240" i="1"/>
  <c r="AG240" i="1"/>
  <c r="AF240" i="1"/>
  <c r="AE240" i="1"/>
  <c r="A240" i="1"/>
  <c r="AH239" i="1"/>
  <c r="AG239" i="1"/>
  <c r="AF239" i="1"/>
  <c r="AE239" i="1"/>
  <c r="A239" i="1"/>
  <c r="AH238" i="1"/>
  <c r="AG238" i="1"/>
  <c r="AF238" i="1"/>
  <c r="AE238" i="1"/>
  <c r="A238" i="1"/>
  <c r="AH237" i="1"/>
  <c r="AG237" i="1"/>
  <c r="AF237" i="1"/>
  <c r="AE237" i="1"/>
  <c r="A237" i="1"/>
  <c r="AH236" i="1"/>
  <c r="AG236" i="1"/>
  <c r="AF236" i="1"/>
  <c r="AE236" i="1"/>
  <c r="A236" i="1"/>
  <c r="AH235" i="1"/>
  <c r="AG235" i="1"/>
  <c r="AF235" i="1"/>
  <c r="AE235" i="1"/>
  <c r="A235" i="1"/>
  <c r="AH234" i="1"/>
  <c r="AG234" i="1"/>
  <c r="AF234" i="1"/>
  <c r="AE234" i="1"/>
  <c r="A234" i="1"/>
  <c r="AH233" i="1"/>
  <c r="AG233" i="1"/>
  <c r="AF233" i="1"/>
  <c r="AE233" i="1"/>
  <c r="A233" i="1"/>
  <c r="AH232" i="1"/>
  <c r="AG232" i="1"/>
  <c r="AF232" i="1"/>
  <c r="AE232" i="1"/>
  <c r="A232" i="1"/>
  <c r="AH231" i="1"/>
  <c r="AG231" i="1"/>
  <c r="AF231" i="1"/>
  <c r="AE231" i="1"/>
  <c r="A231" i="1"/>
  <c r="AH230" i="1"/>
  <c r="AG230" i="1"/>
  <c r="AF230" i="1"/>
  <c r="AE230" i="1"/>
  <c r="A230" i="1"/>
  <c r="AH229" i="1"/>
  <c r="AG229" i="1"/>
  <c r="AF229" i="1"/>
  <c r="AE229" i="1"/>
  <c r="A229" i="1"/>
  <c r="AH228" i="1"/>
  <c r="AG228" i="1"/>
  <c r="AF228" i="1"/>
  <c r="AE228" i="1"/>
  <c r="A228" i="1"/>
  <c r="AH227" i="1"/>
  <c r="AG227" i="1"/>
  <c r="AF227" i="1"/>
  <c r="AE227" i="1"/>
  <c r="A227" i="1"/>
  <c r="AH226" i="1"/>
  <c r="AG226" i="1"/>
  <c r="AF226" i="1"/>
  <c r="AE226" i="1"/>
  <c r="A226" i="1"/>
  <c r="AH225" i="1"/>
  <c r="AG225" i="1"/>
  <c r="AF225" i="1"/>
  <c r="AE225" i="1"/>
  <c r="A225" i="1"/>
  <c r="AH224" i="1"/>
  <c r="AG224" i="1"/>
  <c r="AF224" i="1"/>
  <c r="AE224" i="1"/>
  <c r="A224" i="1"/>
  <c r="AH223" i="1"/>
  <c r="AG223" i="1"/>
  <c r="AF223" i="1"/>
  <c r="AE223" i="1"/>
  <c r="A223" i="1"/>
  <c r="AH222" i="1"/>
  <c r="AG222" i="1"/>
  <c r="AF222" i="1"/>
  <c r="AE222" i="1"/>
  <c r="A222" i="1"/>
  <c r="AH221" i="1"/>
  <c r="AG221" i="1"/>
  <c r="AF221" i="1"/>
  <c r="AE221" i="1"/>
  <c r="A221" i="1"/>
  <c r="AH220" i="1"/>
  <c r="AG220" i="1"/>
  <c r="AF220" i="1"/>
  <c r="AE220" i="1"/>
  <c r="A220" i="1"/>
  <c r="AH219" i="1"/>
  <c r="AG219" i="1"/>
  <c r="AF219" i="1"/>
  <c r="AE219" i="1"/>
  <c r="A219" i="1"/>
  <c r="AH218" i="1"/>
  <c r="AG218" i="1"/>
  <c r="AF218" i="1"/>
  <c r="AE218" i="1"/>
  <c r="A218" i="1"/>
  <c r="AH217" i="1"/>
  <c r="AG217" i="1"/>
  <c r="AF217" i="1"/>
  <c r="AE217" i="1"/>
  <c r="A217" i="1"/>
  <c r="AH216" i="1"/>
  <c r="AG216" i="1"/>
  <c r="AF216" i="1"/>
  <c r="AE216" i="1"/>
  <c r="A216" i="1"/>
  <c r="AH215" i="1"/>
  <c r="AG215" i="1"/>
  <c r="AF215" i="1"/>
  <c r="AE215" i="1"/>
  <c r="A215" i="1"/>
  <c r="AH214" i="1"/>
  <c r="AG214" i="1"/>
  <c r="AF214" i="1"/>
  <c r="AE214" i="1"/>
  <c r="A214" i="1"/>
  <c r="AH213" i="1"/>
  <c r="AG213" i="1"/>
  <c r="AF213" i="1"/>
  <c r="AE213" i="1"/>
  <c r="A213" i="1"/>
  <c r="AH212" i="1"/>
  <c r="AG212" i="1"/>
  <c r="AF212" i="1"/>
  <c r="AE212" i="1"/>
  <c r="A212" i="1"/>
  <c r="AH211" i="1"/>
  <c r="AG211" i="1"/>
  <c r="AF211" i="1"/>
  <c r="AE211" i="1"/>
  <c r="A211" i="1"/>
  <c r="AH210" i="1"/>
  <c r="AG210" i="1"/>
  <c r="AF210" i="1"/>
  <c r="AE210" i="1"/>
  <c r="A210" i="1"/>
  <c r="AH209" i="1"/>
  <c r="AG209" i="1"/>
  <c r="AF209" i="1"/>
  <c r="AE209" i="1"/>
  <c r="A209" i="1"/>
  <c r="AH208" i="1"/>
  <c r="AG208" i="1"/>
  <c r="AF208" i="1"/>
  <c r="AE208" i="1"/>
  <c r="A208" i="1"/>
  <c r="AH207" i="1"/>
  <c r="AG207" i="1"/>
  <c r="AF207" i="1"/>
  <c r="AE207" i="1"/>
  <c r="A207" i="1"/>
  <c r="AH206" i="1"/>
  <c r="AG206" i="1"/>
  <c r="AF206" i="1"/>
  <c r="AE206" i="1"/>
  <c r="A206" i="1"/>
  <c r="AH205" i="1"/>
  <c r="AG205" i="1"/>
  <c r="AF205" i="1"/>
  <c r="AE205" i="1"/>
  <c r="A205" i="1"/>
  <c r="AH204" i="1"/>
  <c r="AG204" i="1"/>
  <c r="AF204" i="1"/>
  <c r="AE204" i="1"/>
  <c r="A204" i="1"/>
  <c r="AH203" i="1"/>
  <c r="AG203" i="1"/>
  <c r="AF203" i="1"/>
  <c r="AE203" i="1"/>
  <c r="A203" i="1"/>
  <c r="AH202" i="1"/>
  <c r="AG202" i="1"/>
  <c r="AF202" i="1"/>
  <c r="AE202" i="1"/>
  <c r="A202" i="1"/>
  <c r="AH201" i="1"/>
  <c r="AG201" i="1"/>
  <c r="AF201" i="1"/>
  <c r="AE201" i="1"/>
  <c r="A201" i="1"/>
  <c r="AH200" i="1"/>
  <c r="AG200" i="1"/>
  <c r="AF200" i="1"/>
  <c r="AE200" i="1"/>
  <c r="A200" i="1"/>
  <c r="AH199" i="1"/>
  <c r="AG199" i="1"/>
  <c r="AF199" i="1"/>
  <c r="AE199" i="1"/>
  <c r="A199" i="1"/>
  <c r="AH198" i="1"/>
  <c r="AG198" i="1"/>
  <c r="AF198" i="1"/>
  <c r="AE198" i="1"/>
  <c r="A198" i="1"/>
  <c r="AH197" i="1"/>
  <c r="AG197" i="1"/>
  <c r="AF197" i="1"/>
  <c r="AE197" i="1"/>
  <c r="A197" i="1"/>
  <c r="AH196" i="1"/>
  <c r="AG196" i="1"/>
  <c r="AF196" i="1"/>
  <c r="AE196" i="1"/>
  <c r="A196" i="1"/>
  <c r="AH195" i="1"/>
  <c r="AG195" i="1"/>
  <c r="AF195" i="1"/>
  <c r="AE195" i="1"/>
  <c r="A195" i="1"/>
  <c r="AH194" i="1"/>
  <c r="AG194" i="1"/>
  <c r="AF194" i="1"/>
  <c r="AE194" i="1"/>
  <c r="A194" i="1"/>
  <c r="AH193" i="1"/>
  <c r="AG193" i="1"/>
  <c r="AF193" i="1"/>
  <c r="AE193" i="1"/>
  <c r="A193" i="1"/>
  <c r="AH192" i="1"/>
  <c r="AG192" i="1"/>
  <c r="AF192" i="1"/>
  <c r="AE192" i="1"/>
  <c r="A192" i="1"/>
  <c r="AH191" i="1"/>
  <c r="AG191" i="1"/>
  <c r="AF191" i="1"/>
  <c r="AE191" i="1"/>
  <c r="A191" i="1"/>
  <c r="AH190" i="1"/>
  <c r="AG190" i="1"/>
  <c r="AF190" i="1"/>
  <c r="AE190" i="1"/>
  <c r="A190" i="1"/>
  <c r="AH189" i="1"/>
  <c r="AG189" i="1"/>
  <c r="AF189" i="1"/>
  <c r="AE189" i="1"/>
  <c r="A189" i="1"/>
  <c r="AH188" i="1"/>
  <c r="AG188" i="1"/>
  <c r="AF188" i="1"/>
  <c r="AE188" i="1"/>
  <c r="A188" i="1"/>
  <c r="AH187" i="1"/>
  <c r="AG187" i="1"/>
  <c r="AF187" i="1"/>
  <c r="AE187" i="1"/>
  <c r="A187" i="1"/>
  <c r="AH186" i="1"/>
  <c r="AG186" i="1"/>
  <c r="AF186" i="1"/>
  <c r="AE186" i="1"/>
  <c r="A186" i="1"/>
  <c r="AH185" i="1"/>
  <c r="AG185" i="1"/>
  <c r="AF185" i="1"/>
  <c r="AE185" i="1"/>
  <c r="A185" i="1"/>
  <c r="AH184" i="1"/>
  <c r="AG184" i="1"/>
  <c r="AF184" i="1"/>
  <c r="AE184" i="1"/>
  <c r="A184" i="1"/>
  <c r="AH183" i="1"/>
  <c r="AG183" i="1"/>
  <c r="AF183" i="1"/>
  <c r="AE183" i="1"/>
  <c r="A183" i="1"/>
  <c r="AH182" i="1"/>
  <c r="AG182" i="1"/>
  <c r="AF182" i="1"/>
  <c r="AE182" i="1"/>
  <c r="A182" i="1"/>
  <c r="AH181" i="1"/>
  <c r="AG181" i="1"/>
  <c r="AF181" i="1"/>
  <c r="AE181" i="1"/>
  <c r="A181" i="1"/>
  <c r="AH180" i="1"/>
  <c r="AG180" i="1"/>
  <c r="AF180" i="1"/>
  <c r="AE180" i="1"/>
  <c r="A180" i="1"/>
  <c r="AH179" i="1"/>
  <c r="AG179" i="1"/>
  <c r="AF179" i="1"/>
  <c r="AE179" i="1"/>
  <c r="A179" i="1"/>
  <c r="AH178" i="1"/>
  <c r="AG178" i="1"/>
  <c r="AF178" i="1"/>
  <c r="AE178" i="1"/>
  <c r="A178" i="1"/>
  <c r="AH177" i="1"/>
  <c r="AG177" i="1"/>
  <c r="AF177" i="1"/>
  <c r="AE177" i="1"/>
  <c r="A177" i="1"/>
  <c r="AH176" i="1"/>
  <c r="AG176" i="1"/>
  <c r="AF176" i="1"/>
  <c r="AE176" i="1"/>
  <c r="A176" i="1"/>
  <c r="AH175" i="1"/>
  <c r="AG175" i="1"/>
  <c r="AF175" i="1"/>
  <c r="AE175" i="1"/>
  <c r="A175" i="1"/>
  <c r="AH174" i="1"/>
  <c r="AG174" i="1"/>
  <c r="AF174" i="1"/>
  <c r="AE174" i="1"/>
  <c r="A174" i="1"/>
  <c r="AH173" i="1"/>
  <c r="AG173" i="1"/>
  <c r="AF173" i="1"/>
  <c r="AE173" i="1"/>
  <c r="A173" i="1"/>
  <c r="AH172" i="1"/>
  <c r="AG172" i="1"/>
  <c r="AF172" i="1"/>
  <c r="AE172" i="1"/>
  <c r="A172" i="1"/>
  <c r="AH171" i="1"/>
  <c r="AG171" i="1"/>
  <c r="AF171" i="1"/>
  <c r="AE171" i="1"/>
  <c r="A171" i="1"/>
  <c r="AH170" i="1"/>
  <c r="AG170" i="1"/>
  <c r="AF170" i="1"/>
  <c r="AE170" i="1"/>
  <c r="A170" i="1"/>
  <c r="AH169" i="1"/>
  <c r="AG169" i="1"/>
  <c r="AF169" i="1"/>
  <c r="AE169" i="1"/>
  <c r="A169" i="1"/>
  <c r="AH168" i="1"/>
  <c r="AG168" i="1"/>
  <c r="AF168" i="1"/>
  <c r="AE168" i="1"/>
  <c r="A168" i="1"/>
  <c r="AH167" i="1"/>
  <c r="AG167" i="1"/>
  <c r="AF167" i="1"/>
  <c r="AE167" i="1"/>
  <c r="A167" i="1"/>
  <c r="AH166" i="1"/>
  <c r="AG166" i="1"/>
  <c r="AF166" i="1"/>
  <c r="AE166" i="1"/>
  <c r="A166" i="1"/>
  <c r="AH165" i="1"/>
  <c r="AG165" i="1"/>
  <c r="AF165" i="1"/>
  <c r="AE165" i="1"/>
  <c r="A165" i="1"/>
  <c r="AH164" i="1"/>
  <c r="AG164" i="1"/>
  <c r="AF164" i="1"/>
  <c r="AE164" i="1"/>
  <c r="A164" i="1"/>
  <c r="AH163" i="1"/>
  <c r="AG163" i="1"/>
  <c r="AF163" i="1"/>
  <c r="AE163" i="1"/>
  <c r="A163" i="1"/>
  <c r="AH162" i="1"/>
  <c r="AG162" i="1"/>
  <c r="AF162" i="1"/>
  <c r="AE162" i="1"/>
  <c r="A162" i="1"/>
  <c r="AH161" i="1"/>
  <c r="AG161" i="1"/>
  <c r="AF161" i="1"/>
  <c r="AE161" i="1"/>
  <c r="A161" i="1"/>
  <c r="AH160" i="1"/>
  <c r="AG160" i="1"/>
  <c r="AF160" i="1"/>
  <c r="AE160" i="1"/>
  <c r="A160" i="1"/>
  <c r="AH159" i="1"/>
  <c r="AG159" i="1"/>
  <c r="AF159" i="1"/>
  <c r="AE159" i="1"/>
  <c r="A159" i="1"/>
  <c r="AH158" i="1"/>
  <c r="AG158" i="1"/>
  <c r="AF158" i="1"/>
  <c r="AE158" i="1"/>
  <c r="A158" i="1"/>
  <c r="AH157" i="1"/>
  <c r="AG157" i="1"/>
  <c r="AF157" i="1"/>
  <c r="AE157" i="1"/>
  <c r="A157" i="1"/>
  <c r="AH156" i="1"/>
  <c r="AG156" i="1"/>
  <c r="AF156" i="1"/>
  <c r="AE156" i="1"/>
  <c r="A156" i="1"/>
  <c r="AH155" i="1"/>
  <c r="AG155" i="1"/>
  <c r="AF155" i="1"/>
  <c r="AE155" i="1"/>
  <c r="A155" i="1"/>
  <c r="AH154" i="1"/>
  <c r="AG154" i="1"/>
  <c r="AF154" i="1"/>
  <c r="AE154" i="1"/>
  <c r="A154" i="1"/>
  <c r="AH153" i="1"/>
  <c r="AG153" i="1"/>
  <c r="AF153" i="1"/>
  <c r="AE153" i="1"/>
  <c r="A153" i="1"/>
  <c r="AH152" i="1"/>
  <c r="AG152" i="1"/>
  <c r="AF152" i="1"/>
  <c r="AE152" i="1"/>
  <c r="A152" i="1"/>
  <c r="AH151" i="1"/>
  <c r="AG151" i="1"/>
  <c r="AF151" i="1"/>
  <c r="AE151" i="1"/>
  <c r="A151" i="1"/>
  <c r="AH150" i="1"/>
  <c r="AG150" i="1"/>
  <c r="AF150" i="1"/>
  <c r="AE150" i="1"/>
  <c r="A150" i="1"/>
  <c r="AH149" i="1"/>
  <c r="AG149" i="1"/>
  <c r="AF149" i="1"/>
  <c r="AE149" i="1"/>
  <c r="A149" i="1"/>
  <c r="AH148" i="1"/>
  <c r="AG148" i="1"/>
  <c r="AF148" i="1"/>
  <c r="AE148" i="1"/>
  <c r="A148" i="1"/>
  <c r="AH147" i="1"/>
  <c r="AG147" i="1"/>
  <c r="AF147" i="1"/>
  <c r="AE147" i="1"/>
  <c r="A147" i="1"/>
  <c r="AH146" i="1"/>
  <c r="AG146" i="1"/>
  <c r="AF146" i="1"/>
  <c r="AE146" i="1"/>
  <c r="A146" i="1"/>
  <c r="AH145" i="1"/>
  <c r="AG145" i="1"/>
  <c r="AF145" i="1"/>
  <c r="AE145" i="1"/>
  <c r="A145" i="1"/>
  <c r="AH144" i="1"/>
  <c r="AG144" i="1"/>
  <c r="AF144" i="1"/>
  <c r="AE144" i="1"/>
  <c r="A144" i="1"/>
  <c r="AH143" i="1"/>
  <c r="AG143" i="1"/>
  <c r="AF143" i="1"/>
  <c r="AE143" i="1"/>
  <c r="A143" i="1"/>
  <c r="AH142" i="1"/>
  <c r="AG142" i="1"/>
  <c r="AF142" i="1"/>
  <c r="AE142" i="1"/>
  <c r="A142" i="1"/>
  <c r="AH141" i="1"/>
  <c r="AG141" i="1"/>
  <c r="AF141" i="1"/>
  <c r="AE141" i="1"/>
  <c r="A141" i="1"/>
  <c r="AH140" i="1"/>
  <c r="AG140" i="1"/>
  <c r="AF140" i="1"/>
  <c r="AE140" i="1"/>
  <c r="A140" i="1"/>
  <c r="AH139" i="1"/>
  <c r="AG139" i="1"/>
  <c r="AF139" i="1"/>
  <c r="AE139" i="1"/>
  <c r="A139" i="1"/>
  <c r="AH138" i="1"/>
  <c r="AG138" i="1"/>
  <c r="AF138" i="1"/>
  <c r="AE138" i="1"/>
  <c r="A138" i="1"/>
  <c r="AH137" i="1"/>
  <c r="AG137" i="1"/>
  <c r="AF137" i="1"/>
  <c r="AE137" i="1"/>
  <c r="A137" i="1"/>
  <c r="AH136" i="1"/>
  <c r="AG136" i="1"/>
  <c r="AF136" i="1"/>
  <c r="AE136" i="1"/>
  <c r="A136" i="1"/>
  <c r="AH135" i="1"/>
  <c r="AG135" i="1"/>
  <c r="AF135" i="1"/>
  <c r="AE135" i="1"/>
  <c r="A135" i="1"/>
  <c r="AH134" i="1"/>
  <c r="AG134" i="1"/>
  <c r="AF134" i="1"/>
  <c r="AE134" i="1"/>
  <c r="A134" i="1"/>
  <c r="AH133" i="1"/>
  <c r="AG133" i="1"/>
  <c r="AF133" i="1"/>
  <c r="AE133" i="1"/>
  <c r="A133" i="1"/>
  <c r="AH132" i="1"/>
  <c r="AG132" i="1"/>
  <c r="AF132" i="1"/>
  <c r="AE132" i="1"/>
  <c r="A132" i="1"/>
  <c r="AH131" i="1"/>
  <c r="AG131" i="1"/>
  <c r="AF131" i="1"/>
  <c r="AE131" i="1"/>
  <c r="A131" i="1"/>
  <c r="AH130" i="1"/>
  <c r="AG130" i="1"/>
  <c r="AF130" i="1"/>
  <c r="AE130" i="1"/>
  <c r="A130" i="1"/>
  <c r="AH129" i="1"/>
  <c r="AG129" i="1"/>
  <c r="AF129" i="1"/>
  <c r="AE129" i="1"/>
  <c r="A129" i="1"/>
  <c r="AH128" i="1"/>
  <c r="AG128" i="1"/>
  <c r="AF128" i="1"/>
  <c r="AE128" i="1"/>
  <c r="A128" i="1"/>
  <c r="AH127" i="1"/>
  <c r="AG127" i="1"/>
  <c r="AF127" i="1"/>
  <c r="AE127" i="1"/>
  <c r="A127" i="1"/>
  <c r="AH126" i="1"/>
  <c r="AG126" i="1"/>
  <c r="AF126" i="1"/>
  <c r="AE126" i="1"/>
  <c r="A126" i="1"/>
  <c r="AH125" i="1"/>
  <c r="AG125" i="1"/>
  <c r="AF125" i="1"/>
  <c r="AE125" i="1"/>
  <c r="A125" i="1"/>
  <c r="AH124" i="1"/>
  <c r="AG124" i="1"/>
  <c r="AF124" i="1"/>
  <c r="AE124" i="1"/>
  <c r="A124" i="1"/>
  <c r="AH123" i="1"/>
  <c r="AG123" i="1"/>
  <c r="AF123" i="1"/>
  <c r="AE123" i="1"/>
  <c r="A123" i="1"/>
  <c r="AH122" i="1"/>
  <c r="AG122" i="1"/>
  <c r="AF122" i="1"/>
  <c r="AE122" i="1"/>
  <c r="A122" i="1"/>
  <c r="AH121" i="1"/>
  <c r="AG121" i="1"/>
  <c r="AF121" i="1"/>
  <c r="AE121" i="1"/>
  <c r="A121" i="1"/>
  <c r="AH120" i="1"/>
  <c r="AG120" i="1"/>
  <c r="AF120" i="1"/>
  <c r="AE120" i="1"/>
  <c r="A120" i="1"/>
  <c r="AH119" i="1"/>
  <c r="AG119" i="1"/>
  <c r="AF119" i="1"/>
  <c r="AE119" i="1"/>
  <c r="A119" i="1"/>
  <c r="AH118" i="1"/>
  <c r="AG118" i="1"/>
  <c r="AF118" i="1"/>
  <c r="AE118" i="1"/>
  <c r="A118" i="1"/>
  <c r="AH117" i="1"/>
  <c r="AG117" i="1"/>
  <c r="AF117" i="1"/>
  <c r="AE117" i="1"/>
  <c r="A117" i="1"/>
  <c r="AH116" i="1"/>
  <c r="AG116" i="1"/>
  <c r="AF116" i="1"/>
  <c r="AE116" i="1"/>
  <c r="A116" i="1"/>
  <c r="AH115" i="1"/>
  <c r="AG115" i="1"/>
  <c r="AF115" i="1"/>
  <c r="AE115" i="1"/>
  <c r="A115" i="1"/>
  <c r="AH114" i="1"/>
  <c r="AG114" i="1"/>
  <c r="AF114" i="1"/>
  <c r="AE114" i="1"/>
  <c r="A114" i="1"/>
  <c r="AH113" i="1"/>
  <c r="AG113" i="1"/>
  <c r="AF113" i="1"/>
  <c r="AE113" i="1"/>
  <c r="A113" i="1"/>
  <c r="AH112" i="1"/>
  <c r="AG112" i="1"/>
  <c r="AF112" i="1"/>
  <c r="AE112" i="1"/>
  <c r="A112" i="1"/>
  <c r="AH111" i="1"/>
  <c r="AG111" i="1"/>
  <c r="AF111" i="1"/>
  <c r="AE111" i="1"/>
  <c r="A111" i="1"/>
  <c r="AH110" i="1"/>
  <c r="AG110" i="1"/>
  <c r="AF110" i="1"/>
  <c r="AE110" i="1"/>
  <c r="A110" i="1"/>
  <c r="AH109" i="1"/>
  <c r="AG109" i="1"/>
  <c r="AF109" i="1"/>
  <c r="AE109" i="1"/>
  <c r="A109" i="1"/>
  <c r="AH108" i="1"/>
  <c r="AG108" i="1"/>
  <c r="AF108" i="1"/>
  <c r="AE108" i="1"/>
  <c r="A108" i="1"/>
  <c r="AH107" i="1"/>
  <c r="AG107" i="1"/>
  <c r="AF107" i="1"/>
  <c r="AE107" i="1"/>
  <c r="A107" i="1"/>
  <c r="AH106" i="1"/>
  <c r="AG106" i="1"/>
  <c r="AF106" i="1"/>
  <c r="AE106" i="1"/>
  <c r="A106" i="1"/>
  <c r="AH105" i="1"/>
  <c r="AG105" i="1"/>
  <c r="AF105" i="1"/>
  <c r="AE105" i="1"/>
  <c r="A105" i="1"/>
  <c r="AH104" i="1"/>
  <c r="AG104" i="1"/>
  <c r="AF104" i="1"/>
  <c r="AE104" i="1"/>
  <c r="A104" i="1"/>
  <c r="AH103" i="1"/>
  <c r="AG103" i="1"/>
  <c r="AF103" i="1"/>
  <c r="AE103" i="1"/>
  <c r="A103" i="1"/>
  <c r="AH102" i="1"/>
  <c r="AG102" i="1"/>
  <c r="AF102" i="1"/>
  <c r="AE102" i="1"/>
  <c r="A102" i="1"/>
  <c r="AH101" i="1"/>
  <c r="AG101" i="1"/>
  <c r="AF101" i="1"/>
  <c r="AE101" i="1"/>
  <c r="A101" i="1"/>
  <c r="AH100" i="1"/>
  <c r="AG100" i="1"/>
  <c r="AF100" i="1"/>
  <c r="AE100" i="1"/>
  <c r="A100" i="1"/>
  <c r="AH99" i="1"/>
  <c r="AG99" i="1"/>
  <c r="AF99" i="1"/>
  <c r="AE99" i="1"/>
  <c r="A99" i="1"/>
  <c r="AH98" i="1"/>
  <c r="AG98" i="1"/>
  <c r="AF98" i="1"/>
  <c r="AE98" i="1"/>
  <c r="A98" i="1"/>
  <c r="AH97" i="1"/>
  <c r="AG97" i="1"/>
  <c r="AF97" i="1"/>
  <c r="AE97" i="1"/>
  <c r="A97" i="1"/>
  <c r="AH96" i="1"/>
  <c r="AG96" i="1"/>
  <c r="AF96" i="1"/>
  <c r="AE96" i="1"/>
  <c r="A96" i="1"/>
  <c r="AH95" i="1"/>
  <c r="AG95" i="1"/>
  <c r="AF95" i="1"/>
  <c r="AE95" i="1"/>
  <c r="A95" i="1"/>
  <c r="AH94" i="1"/>
  <c r="AG94" i="1"/>
  <c r="AF94" i="1"/>
  <c r="AE94" i="1"/>
  <c r="A94" i="1"/>
  <c r="AH93" i="1"/>
  <c r="AG93" i="1"/>
  <c r="AF93" i="1"/>
  <c r="AE93" i="1"/>
  <c r="A93" i="1"/>
  <c r="AH92" i="1"/>
  <c r="AG92" i="1"/>
  <c r="AF92" i="1"/>
  <c r="AE92" i="1"/>
  <c r="A92" i="1"/>
  <c r="AH91" i="1"/>
  <c r="AG91" i="1"/>
  <c r="AF91" i="1"/>
  <c r="AE91" i="1"/>
  <c r="A91" i="1"/>
  <c r="AH90" i="1"/>
  <c r="AG90" i="1"/>
  <c r="AF90" i="1"/>
  <c r="AE90" i="1"/>
  <c r="A90" i="1"/>
  <c r="AH89" i="1"/>
  <c r="AG89" i="1"/>
  <c r="AF89" i="1"/>
  <c r="AE89" i="1"/>
  <c r="A89" i="1"/>
  <c r="AH88" i="1"/>
  <c r="AG88" i="1"/>
  <c r="AF88" i="1"/>
  <c r="AE88" i="1"/>
  <c r="A88" i="1"/>
  <c r="AH87" i="1"/>
  <c r="AG87" i="1"/>
  <c r="AF87" i="1"/>
  <c r="AE87" i="1"/>
  <c r="A87" i="1"/>
  <c r="AH86" i="1"/>
  <c r="AG86" i="1"/>
  <c r="AF86" i="1"/>
  <c r="AE86" i="1"/>
  <c r="A86" i="1"/>
  <c r="AH85" i="1"/>
  <c r="AG85" i="1"/>
  <c r="AF85" i="1"/>
  <c r="AE85" i="1"/>
  <c r="A85" i="1"/>
  <c r="AH84" i="1"/>
  <c r="AG84" i="1"/>
  <c r="AF84" i="1"/>
  <c r="AE84" i="1"/>
  <c r="A84" i="1"/>
  <c r="AH83" i="1"/>
  <c r="AG83" i="1"/>
  <c r="AF83" i="1"/>
  <c r="AE83" i="1"/>
  <c r="A83" i="1"/>
  <c r="AH82" i="1"/>
  <c r="AG82" i="1"/>
  <c r="AF82" i="1"/>
  <c r="AE82" i="1"/>
  <c r="A82" i="1"/>
  <c r="AH81" i="1"/>
  <c r="AG81" i="1"/>
  <c r="AF81" i="1"/>
  <c r="AE81" i="1"/>
  <c r="A81" i="1"/>
  <c r="AH80" i="1"/>
  <c r="AG80" i="1"/>
  <c r="AF80" i="1"/>
  <c r="AE80" i="1"/>
  <c r="A80" i="1"/>
  <c r="AH79" i="1"/>
  <c r="AG79" i="1"/>
  <c r="AF79" i="1"/>
  <c r="AE79" i="1"/>
  <c r="A79" i="1"/>
  <c r="AH78" i="1"/>
  <c r="AG78" i="1"/>
  <c r="AF78" i="1"/>
  <c r="AE78" i="1"/>
  <c r="A78" i="1"/>
  <c r="AH77" i="1"/>
  <c r="AG77" i="1"/>
  <c r="AF77" i="1"/>
  <c r="AE77" i="1"/>
  <c r="A77" i="1"/>
  <c r="AH76" i="1"/>
  <c r="AG76" i="1"/>
  <c r="AF76" i="1"/>
  <c r="AE76" i="1"/>
  <c r="A76" i="1"/>
  <c r="AH75" i="1"/>
  <c r="AG75" i="1"/>
  <c r="AF75" i="1"/>
  <c r="AE75" i="1"/>
  <c r="A75" i="1"/>
  <c r="AH74" i="1"/>
  <c r="AG74" i="1"/>
  <c r="AF74" i="1"/>
  <c r="AE74" i="1"/>
  <c r="A74" i="1"/>
  <c r="AH73" i="1"/>
  <c r="AG73" i="1"/>
  <c r="AF73" i="1"/>
  <c r="AE73" i="1"/>
  <c r="A73" i="1"/>
  <c r="AH72" i="1"/>
  <c r="AG72" i="1"/>
  <c r="AF72" i="1"/>
  <c r="AE72" i="1"/>
  <c r="A72" i="1"/>
  <c r="AH71" i="1"/>
  <c r="AG71" i="1"/>
  <c r="AF71" i="1"/>
  <c r="AE71" i="1"/>
  <c r="A71" i="1"/>
  <c r="AH70" i="1"/>
  <c r="AG70" i="1"/>
  <c r="AF70" i="1"/>
  <c r="AE70" i="1"/>
  <c r="A70" i="1"/>
  <c r="AH69" i="1"/>
  <c r="AG69" i="1"/>
  <c r="AF69" i="1"/>
  <c r="AE69" i="1"/>
  <c r="A69" i="1"/>
  <c r="AH68" i="1"/>
  <c r="AG68" i="1"/>
  <c r="AF68" i="1"/>
  <c r="AE68" i="1"/>
  <c r="A68" i="1"/>
  <c r="AH67" i="1"/>
  <c r="AG67" i="1"/>
  <c r="AF67" i="1"/>
  <c r="AE67" i="1"/>
  <c r="A67" i="1"/>
  <c r="AH66" i="1"/>
  <c r="AG66" i="1"/>
  <c r="AF66" i="1"/>
  <c r="AE66" i="1"/>
  <c r="A66" i="1"/>
  <c r="AH65" i="1"/>
  <c r="AG65" i="1"/>
  <c r="AF65" i="1"/>
  <c r="AE65" i="1"/>
  <c r="A65" i="1"/>
  <c r="AH64" i="1"/>
  <c r="AG64" i="1"/>
  <c r="AF64" i="1"/>
  <c r="AE64" i="1"/>
  <c r="A64" i="1"/>
  <c r="AH63" i="1"/>
  <c r="AG63" i="1"/>
  <c r="AF63" i="1"/>
  <c r="AE63" i="1"/>
  <c r="A63" i="1"/>
  <c r="AH62" i="1"/>
  <c r="AG62" i="1"/>
  <c r="AF62" i="1"/>
  <c r="AE62" i="1"/>
  <c r="A62" i="1"/>
  <c r="AH61" i="1"/>
  <c r="AG61" i="1"/>
  <c r="AF61" i="1"/>
  <c r="AE61" i="1"/>
  <c r="A61" i="1"/>
  <c r="AH60" i="1"/>
  <c r="AG60" i="1"/>
  <c r="AF60" i="1"/>
  <c r="AE60" i="1"/>
  <c r="A60" i="1"/>
  <c r="AH59" i="1"/>
  <c r="AG59" i="1"/>
  <c r="AF59" i="1"/>
  <c r="AE59" i="1"/>
  <c r="A59" i="1"/>
  <c r="AH58" i="1"/>
  <c r="AG58" i="1"/>
  <c r="AF58" i="1"/>
  <c r="AE58" i="1"/>
  <c r="A58" i="1"/>
  <c r="AH57" i="1"/>
  <c r="AG57" i="1"/>
  <c r="AF57" i="1"/>
  <c r="AE57" i="1"/>
  <c r="A57" i="1"/>
  <c r="AH56" i="1"/>
  <c r="AG56" i="1"/>
  <c r="AF56" i="1"/>
  <c r="AE56" i="1"/>
  <c r="A56" i="1"/>
  <c r="AH55" i="1"/>
  <c r="AG55" i="1"/>
  <c r="AF55" i="1"/>
  <c r="AE55" i="1"/>
  <c r="A55" i="1"/>
  <c r="AH54" i="1"/>
  <c r="AG54" i="1"/>
  <c r="AF54" i="1"/>
  <c r="AE54" i="1"/>
  <c r="A54" i="1"/>
  <c r="AH53" i="1"/>
  <c r="AG53" i="1"/>
  <c r="AF53" i="1"/>
  <c r="AE53" i="1"/>
  <c r="A53" i="1"/>
  <c r="AH52" i="1"/>
  <c r="AG52" i="1"/>
  <c r="AF52" i="1"/>
  <c r="AE52" i="1"/>
  <c r="A52" i="1"/>
  <c r="AH51" i="1"/>
  <c r="AG51" i="1"/>
  <c r="AF51" i="1"/>
  <c r="AE51" i="1"/>
  <c r="A51" i="1"/>
  <c r="AH50" i="1"/>
  <c r="AG50" i="1"/>
  <c r="AF50" i="1"/>
  <c r="AE50" i="1"/>
  <c r="A50" i="1"/>
  <c r="AH49" i="1"/>
  <c r="AG49" i="1"/>
  <c r="AF49" i="1"/>
  <c r="AE49" i="1"/>
  <c r="A49" i="1"/>
  <c r="AH48" i="1"/>
  <c r="AG48" i="1"/>
  <c r="AF48" i="1"/>
  <c r="AE48" i="1"/>
  <c r="A48" i="1"/>
  <c r="AH47" i="1"/>
  <c r="AG47" i="1"/>
  <c r="AF47" i="1"/>
  <c r="AE47" i="1"/>
  <c r="A47" i="1"/>
  <c r="AH46" i="1"/>
  <c r="AG46" i="1"/>
  <c r="AF46" i="1"/>
  <c r="AE46" i="1"/>
  <c r="A46" i="1"/>
  <c r="AH45" i="1"/>
  <c r="AG45" i="1"/>
  <c r="AF45" i="1"/>
  <c r="AE45" i="1"/>
  <c r="A45" i="1"/>
  <c r="AH44" i="1"/>
  <c r="AG44" i="1"/>
  <c r="AF44" i="1"/>
  <c r="AE44" i="1"/>
  <c r="A44" i="1"/>
  <c r="AH43" i="1"/>
  <c r="AG43" i="1"/>
  <c r="AF43" i="1"/>
  <c r="AE43" i="1"/>
  <c r="A43" i="1"/>
  <c r="AH42" i="1"/>
  <c r="AG42" i="1"/>
  <c r="AF42" i="1"/>
  <c r="AE42" i="1"/>
  <c r="A42" i="1"/>
  <c r="AH41" i="1"/>
  <c r="AG41" i="1"/>
  <c r="AF41" i="1"/>
  <c r="AE41" i="1"/>
  <c r="A41" i="1"/>
  <c r="AH40" i="1"/>
  <c r="AG40" i="1"/>
  <c r="AF40" i="1"/>
  <c r="AE40" i="1"/>
  <c r="A40" i="1"/>
  <c r="AH39" i="1"/>
  <c r="AG39" i="1"/>
  <c r="AF39" i="1"/>
  <c r="AE39" i="1"/>
  <c r="A39" i="1"/>
  <c r="AH38" i="1"/>
  <c r="AG38" i="1"/>
  <c r="AF38" i="1"/>
  <c r="AE38" i="1"/>
  <c r="A38" i="1"/>
  <c r="AH37" i="1"/>
  <c r="AG37" i="1"/>
  <c r="AF37" i="1"/>
  <c r="AE37" i="1"/>
  <c r="A37" i="1"/>
  <c r="AH36" i="1"/>
  <c r="AG36" i="1"/>
  <c r="AF36" i="1"/>
  <c r="AE36" i="1"/>
  <c r="A36" i="1"/>
  <c r="AH35" i="1"/>
  <c r="AG35" i="1"/>
  <c r="AF35" i="1"/>
  <c r="AE35" i="1"/>
  <c r="A35" i="1"/>
  <c r="AG34" i="1"/>
  <c r="AF34" i="1"/>
  <c r="AE34" i="1"/>
  <c r="A34" i="1"/>
  <c r="AG33" i="1"/>
  <c r="AF33" i="1"/>
  <c r="AE33" i="1"/>
  <c r="A33" i="1"/>
  <c r="AG32" i="1"/>
  <c r="AF32" i="1"/>
  <c r="AE32" i="1"/>
  <c r="A32" i="1"/>
  <c r="AG31" i="1"/>
  <c r="AF31" i="1"/>
  <c r="AE31" i="1"/>
  <c r="A31" i="1"/>
  <c r="AG30" i="1"/>
  <c r="AF30" i="1"/>
  <c r="AE30" i="1"/>
  <c r="A30" i="1"/>
  <c r="AM29" i="1"/>
  <c r="AO28" i="1" s="1"/>
  <c r="AL29" i="1"/>
  <c r="AN26" i="1" s="1"/>
  <c r="AH29" i="1"/>
  <c r="AG29" i="1"/>
  <c r="AF29" i="1"/>
  <c r="AE29" i="1"/>
  <c r="A29" i="1"/>
  <c r="AH28" i="1"/>
  <c r="AG28" i="1"/>
  <c r="AF28" i="1"/>
  <c r="AE28" i="1"/>
  <c r="A28" i="1"/>
  <c r="AO27" i="1"/>
  <c r="AO29" i="1" s="1"/>
  <c r="AH27" i="1"/>
  <c r="AG27" i="1"/>
  <c r="AF27" i="1"/>
  <c r="AE27" i="1"/>
  <c r="A27" i="1"/>
  <c r="AO26" i="1"/>
  <c r="AH26" i="1"/>
  <c r="AG26" i="1"/>
  <c r="AF26" i="1"/>
  <c r="AE26" i="1"/>
  <c r="A26" i="1"/>
  <c r="AH25" i="1"/>
  <c r="AG25" i="1"/>
  <c r="AF25" i="1"/>
  <c r="AE25" i="1"/>
  <c r="A25" i="1"/>
  <c r="AH24" i="1"/>
  <c r="AG24" i="1"/>
  <c r="AF24" i="1"/>
  <c r="AE24" i="1"/>
  <c r="A24" i="1"/>
  <c r="AM23" i="1"/>
  <c r="AO22" i="1" s="1"/>
  <c r="AL23" i="1"/>
  <c r="AN20" i="1" s="1"/>
  <c r="AH23" i="1"/>
  <c r="AG23" i="1"/>
  <c r="AF23" i="1"/>
  <c r="AE23" i="1"/>
  <c r="A23" i="1"/>
  <c r="AH22" i="1"/>
  <c r="AG22" i="1"/>
  <c r="AF22" i="1"/>
  <c r="AE22" i="1"/>
  <c r="A22" i="1"/>
  <c r="AO21" i="1"/>
  <c r="AH21" i="1"/>
  <c r="AG21" i="1"/>
  <c r="AF21" i="1"/>
  <c r="AE21" i="1"/>
  <c r="A21" i="1"/>
  <c r="AO20" i="1"/>
  <c r="AH20" i="1"/>
  <c r="AG20" i="1"/>
  <c r="AF20" i="1"/>
  <c r="AE20" i="1"/>
  <c r="A20" i="1"/>
  <c r="AH19" i="1"/>
  <c r="AG19" i="1"/>
  <c r="AF19" i="1"/>
  <c r="AE19" i="1"/>
  <c r="A19" i="1"/>
  <c r="AH18" i="1"/>
  <c r="AG18" i="1"/>
  <c r="AF18" i="1"/>
  <c r="AE18" i="1"/>
  <c r="A18" i="1"/>
  <c r="AH17" i="1"/>
  <c r="AG17" i="1"/>
  <c r="AF17" i="1"/>
  <c r="AE17" i="1"/>
  <c r="A17" i="1"/>
  <c r="AM16" i="1"/>
  <c r="AP15" i="1" s="1"/>
  <c r="AL16" i="1"/>
  <c r="AO14" i="1" s="1"/>
  <c r="AH16" i="1"/>
  <c r="AG16" i="1"/>
  <c r="AF16" i="1"/>
  <c r="AE16" i="1"/>
  <c r="A16" i="1"/>
  <c r="AO15" i="1"/>
  <c r="AH15" i="1"/>
  <c r="AG15" i="1"/>
  <c r="AF15" i="1"/>
  <c r="AE15" i="1"/>
  <c r="A15" i="1"/>
  <c r="AP14" i="1"/>
  <c r="AH14" i="1"/>
  <c r="AG14" i="1"/>
  <c r="AF14" i="1"/>
  <c r="AE14" i="1"/>
  <c r="A14" i="1"/>
  <c r="AP13" i="1"/>
  <c r="AO13" i="1"/>
  <c r="AH13" i="1"/>
  <c r="AG13" i="1"/>
  <c r="AF13" i="1"/>
  <c r="AE13" i="1"/>
  <c r="A13" i="1"/>
  <c r="AH12" i="1"/>
  <c r="AG12" i="1"/>
  <c r="AF12" i="1"/>
  <c r="AE12" i="1"/>
  <c r="A12" i="1"/>
  <c r="AH11" i="1"/>
  <c r="AG11" i="1"/>
  <c r="AF11" i="1"/>
  <c r="AE11" i="1"/>
  <c r="A11" i="1"/>
  <c r="AH10" i="1"/>
  <c r="AG10" i="1"/>
  <c r="AF10" i="1"/>
  <c r="AE10" i="1"/>
  <c r="A10" i="1"/>
  <c r="AH9" i="1"/>
  <c r="AG9" i="1"/>
  <c r="AF9" i="1"/>
  <c r="AE9" i="1"/>
  <c r="AE375" i="1" s="1"/>
  <c r="AL8" i="1" s="1"/>
  <c r="A9" i="1"/>
  <c r="AH8" i="1"/>
  <c r="AG8" i="1"/>
  <c r="AF8" i="1"/>
  <c r="AE8" i="1"/>
  <c r="A8" i="1"/>
  <c r="AH7" i="1"/>
  <c r="AG7" i="1"/>
  <c r="AF7" i="1"/>
  <c r="AE7" i="1"/>
  <c r="A7" i="1"/>
  <c r="AH6" i="1"/>
  <c r="AG6" i="1"/>
  <c r="AF6" i="1"/>
  <c r="AE6" i="1"/>
  <c r="A6" i="1"/>
  <c r="AH5" i="1"/>
  <c r="AG5" i="1"/>
  <c r="AF5" i="1"/>
  <c r="AF375" i="1" s="1"/>
  <c r="AM8" i="1" s="1"/>
  <c r="AE5" i="1"/>
  <c r="A5" i="1"/>
  <c r="AN6" i="1" l="1"/>
  <c r="AL7" i="1"/>
  <c r="AN7" i="1" s="1"/>
  <c r="AO6" i="1"/>
  <c r="AM7" i="1"/>
  <c r="AO7" i="1" s="1"/>
  <c r="AO23" i="1"/>
  <c r="AN22" i="1"/>
  <c r="AN28" i="1"/>
  <c r="AN21" i="1"/>
  <c r="AN23" i="1" s="1"/>
  <c r="AN27" i="1"/>
  <c r="AN29" i="1" s="1"/>
  <c r="AO8" i="1" l="1"/>
  <c r="AN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C31" authorId="0" shapeId="0" xr:uid="{ACA7DFF3-5820-410D-BAA0-7E50EE8A972B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sharedStrings.xml><?xml version="1.0" encoding="utf-8"?>
<sst xmlns="http://schemas.openxmlformats.org/spreadsheetml/2006/main" count="1181" uniqueCount="428">
  <si>
    <t>Informe Consumo Anual Medicamentos</t>
  </si>
  <si>
    <t>Consumo anual</t>
  </si>
  <si>
    <t>Promedio</t>
  </si>
  <si>
    <t>Código</t>
  </si>
  <si>
    <t>Medicamento</t>
  </si>
  <si>
    <t>UM</t>
  </si>
  <si>
    <t>Precio Prom Pond</t>
  </si>
  <si>
    <t>sub unidad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</si>
  <si>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</si>
  <si>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</si>
  <si>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</si>
  <si>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</si>
  <si>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</si>
  <si>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</si>
  <si>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</si>
  <si>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</si>
  <si>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</si>
  <si>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</si>
  <si>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</si>
  <si>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</si>
  <si>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Consumo Total por Subunidad (2023 vs 2024)</t>
  </si>
  <si>
    <t>SULBACTAM 500 MG AMPICILINA 1000MG FA POLVO PARA SOLUCION INYECTABLE</t>
  </si>
  <si>
    <t>FA</t>
  </si>
  <si>
    <t>FC</t>
  </si>
  <si>
    <t>Subunidad</t>
  </si>
  <si>
    <t>Total 2023</t>
  </si>
  <si>
    <t>Total 2024</t>
  </si>
  <si>
    <t>%_2023</t>
  </si>
  <si>
    <t>%_2024</t>
  </si>
  <si>
    <t>MEDIO DE CONTRASTE NO IONICO SOL INY 300-320 MG /ML FA 50 ML</t>
  </si>
  <si>
    <t>F. ONCO</t>
  </si>
  <si>
    <t>TAPENTADOL 100MG COMP LIBERACION PROLONGADA</t>
  </si>
  <si>
    <t>CM</t>
  </si>
  <si>
    <t>F. CENTRAL</t>
  </si>
  <si>
    <t>PROPOFOL 2%/50ML FA EMULSION INYECTABLE</t>
  </si>
  <si>
    <t>TOTAL FARMACIA</t>
  </si>
  <si>
    <t>OLIGOELEMENTOS AMPOLLA (SE FE CU CR MN ZN)</t>
  </si>
  <si>
    <t>AM</t>
  </si>
  <si>
    <t>VITAMINAS PARA NUTRICION PARENTERAL</t>
  </si>
  <si>
    <t>UN</t>
  </si>
  <si>
    <t>AMPICILINA 1G POLV/LIOF SOL. INYECT FAM</t>
  </si>
  <si>
    <t>Resumen de clasificación XYZ de medicamentos según subunidad (2024)</t>
  </si>
  <si>
    <t>LEVOCETIRIZINA 5 MG CM REC</t>
  </si>
  <si>
    <t>Clasificación</t>
  </si>
  <si>
    <t>LEVETIRAZETAM 1000MG</t>
  </si>
  <si>
    <t>X</t>
  </si>
  <si>
    <t>DOXICICLINA 100 MG CM O CP</t>
  </si>
  <si>
    <t>Y</t>
  </si>
  <si>
    <t>NUTRICION PARENTERAL PRELLENADA 1518ML/1350 KCAL +BOLSA FOTOPROTECTORA</t>
  </si>
  <si>
    <t>Z</t>
  </si>
  <si>
    <t>NUTRICION PARENTERAL PRELLENADA 986ML/1100 KCAL + BOLSA FOTOPROTECTORA</t>
  </si>
  <si>
    <t>BS</t>
  </si>
  <si>
    <t>CLOBETASOL 0,05% CREMA DERMICA 25 A 30 G</t>
  </si>
  <si>
    <t>PO</t>
  </si>
  <si>
    <t>CLADRIBRINA 10 MG / 5 ML (5 FA),</t>
  </si>
  <si>
    <t>FO</t>
  </si>
  <si>
    <t>Distribución de medicamentos por clase XYZ según subunidad y proporción sobre el total (2023–2024)</t>
  </si>
  <si>
    <t>BETAMETASONA FOSFATO DISODICO/BETAMETASONA ACETATO 3/3 MG/MLRAPILENTA SUSPENSION INYECTABLE</t>
  </si>
  <si>
    <t>% F. ONCO</t>
  </si>
  <si>
    <t>% F. CENTRAL</t>
  </si>
  <si>
    <t>CLORHEXIDINA COLUTORIO 0,12% X 150ML</t>
  </si>
  <si>
    <t>DEGARELIX 80 MG POLVO LIOFILIZADO PARA SOLUCION INYECTABLE</t>
  </si>
  <si>
    <t>LIPIDOS MCT 20 FA 500ML</t>
  </si>
  <si>
    <t>HIDROCORTISONA 1% CREMA TU/PM 10 A 20 G</t>
  </si>
  <si>
    <t>TU</t>
  </si>
  <si>
    <t>TOTAL</t>
  </si>
  <si>
    <t>METRONIDAZOL 500MG OV</t>
  </si>
  <si>
    <t>OV</t>
  </si>
  <si>
    <t>Distribución de medicamentos por clase ABC según subunidad y proporción sobre el total (2023–2024)</t>
  </si>
  <si>
    <t>CABAZITAXEL 60MG/1.5ML FA</t>
  </si>
  <si>
    <t>LABIMIQ IMIQUIMOD 5% CREMA TÓPICA 5 GR</t>
  </si>
  <si>
    <t>A</t>
  </si>
  <si>
    <t>INSULINA GLARGINA HUMANA RECOMBINANTE SOL INY. 300U/ML DISPOSITIVO PRELLENADO</t>
  </si>
  <si>
    <t>B</t>
  </si>
  <si>
    <t>DEGARELIX 120 MG POLVO LIOFILIZADO PARA SOLUCION INYECTABLE</t>
  </si>
  <si>
    <t>C</t>
  </si>
  <si>
    <t>POLIESTIRENO SULFONATO DE CALCIO DE 400 A 500MG</t>
  </si>
  <si>
    <t>LIDOCAINA/CLORHEXIDINA 2/0,5% GEL TOPICO JER 11 ML.</t>
  </si>
  <si>
    <t>JER</t>
  </si>
  <si>
    <t xml:space="preserve">INSUL GLULI 100 UI/ML SOL. INY. DISPOSITIVO PRELLENADO </t>
  </si>
  <si>
    <t>LEVETIRACETAM 100 MG/ML SOL. INY. FAM</t>
  </si>
  <si>
    <t> LUBRICANTE OCULAR GEL OFT.UNIDOSIS.</t>
  </si>
  <si>
    <t>TRAUMEEL S SOL. INY. AM</t>
  </si>
  <si>
    <t>MELATONINA 3 MG CM</t>
  </si>
  <si>
    <t>OLANZAPINA 5 MG CM/CM REC</t>
  </si>
  <si>
    <t>ENZALUTAMIDA 40MG CAPSULA VIA ORAL</t>
  </si>
  <si>
    <t>CP</t>
  </si>
  <si>
    <t>S.P. AMINOACIDOS ESENCIALES 10 FC 500ML ENVASADO EN VIDRIO</t>
  </si>
  <si>
    <t>GABAPENTINA 400MG CP/CM REC.</t>
  </si>
  <si>
    <t>TOXINA BOTULINICA 500UI</t>
  </si>
  <si>
    <t>TIROTROPINA ALFA LIOF PARA SOL INY 0.9 MG/ML (KIT 2 DOSIS)</t>
  </si>
  <si>
    <t>KIT</t>
  </si>
  <si>
    <t>CLOXACILINA SODICA FA 500 MG LIOFILIZADO</t>
  </si>
  <si>
    <t>POLIETILENGLICOL POLVO (MACROGOL 3350) SOBRES 17 GR</t>
  </si>
  <si>
    <t>SO</t>
  </si>
  <si>
    <t>FENILEFRINA AM 0.5 - 1 X 1 ML</t>
  </si>
  <si>
    <t>OCTREOTIDE 0.1 MG/ 1 ML SOL. INYECTABLE</t>
  </si>
  <si>
    <t>AGUA BIDESTILADA 10 ML SOLUCION INYECTABLE</t>
  </si>
  <si>
    <t>NISTATINA GOTAS 100.000UI/24ML FCO (COLUTORIO)</t>
  </si>
  <si>
    <t>DOCETAXEL 120MG/4ML SOLUCION INYECTABLE</t>
  </si>
  <si>
    <t>PROTAMINA SULFATO FA 50 MG/5 ML SOLUCION INYECTABLE</t>
  </si>
  <si>
    <t>TAPENTADOL 50MG COMP</t>
  </si>
  <si>
    <t>S.P. GLUCOSA 5 X 1000 ENVASE TIPO VIAFLEX (COLAPSABLE)</t>
  </si>
  <si>
    <t>CEFTAZIDIMA FA 1GR LIOFILIZADO INYECTABLE</t>
  </si>
  <si>
    <t>ONDANSETRON CM 8 MG (DISPERSABLE)</t>
  </si>
  <si>
    <t>AZTREONAM 1GR FA</t>
  </si>
  <si>
    <t>HIDROXICARBAMIDA CÁPSULAS 500 MG VIA ORAL (BLISTER)</t>
  </si>
  <si>
    <t>DULOXETINA 60MG CP</t>
  </si>
  <si>
    <t>LENVATINIB 4MG CP</t>
  </si>
  <si>
    <t>MELFALAN 2 MG COMPRIMIDOS RECUBIERTOS</t>
  </si>
  <si>
    <t>VACUNA BCG (BACILLUS CALMETTE-GUERIN) FRASCO AMPOLLA</t>
  </si>
  <si>
    <t>PICOSULFATO DE SODIO 750 MG/100 ML FCO GOTAS VIA ORAL</t>
  </si>
  <si>
    <t>ESCITALOPRAM 10MG CM</t>
  </si>
  <si>
    <t>RITUXIMAB FA 100 MG/10ML SOLUCION INYECTABLE</t>
  </si>
  <si>
    <t>QUETIAPINA 100MG CM</t>
  </si>
  <si>
    <t>OCTREOTIDE FA 20MG FRASCO AMPOLLA INYECTABLE</t>
  </si>
  <si>
    <t>GEMCITABINA 1000 MG/100 ML SOLUCION INYECTABLE</t>
  </si>
  <si>
    <t>ACIDO TRANEXAMICO 500 MG COMPRIMIDO VIA ORAL</t>
  </si>
  <si>
    <t>TRASTUZUMAB EMTANSINA (TDM-1) 100MG</t>
  </si>
  <si>
    <t>LORAZEPAN 4 MG/ 2ML</t>
  </si>
  <si>
    <t>NILOTINIB CAPSULAS 150 MG</t>
  </si>
  <si>
    <t>MESALAZINA 1GR SUPOSITORIO</t>
  </si>
  <si>
    <t>NIVOLUMAB SOL INY FA 100 MG</t>
  </si>
  <si>
    <t>SORAFENIB COMP 200MG</t>
  </si>
  <si>
    <t>GENTAMICINA 80MG/2ML AMP SOL. INYECTABLE</t>
  </si>
  <si>
    <t>CLORURO DE POTASIO EN FISIOLOGICO 20 mEq / 1000 ML</t>
  </si>
  <si>
    <t>ETOMIDATO AM 20 MG/10 ML SOLUCION INYECTABLE</t>
  </si>
  <si>
    <t>ACICLOVIR CREMA 5() USO TOPICO TUBO 15 GR</t>
  </si>
  <si>
    <t>HEPARINA DE BAJO PESO MOLECULAR DE 10.000 UI DALTE 80 MG ENOXA JERINGA</t>
  </si>
  <si>
    <t>DOBUTAMINA 250 MG/5 ML AMP SOLUCION INYECTABLE</t>
  </si>
  <si>
    <t>POTASIO GLUCONATO / 200 ML. (VIA ORAL)LIQUIDO</t>
  </si>
  <si>
    <t>PREDNISONA CM O CM RECUBIERTO 5 MG ENVASADA EN BLISTER</t>
  </si>
  <si>
    <t>NIVOLUMAB SOL INY FA 40 MG</t>
  </si>
  <si>
    <t>LIDOCAINA 2% C/EPINEFRINA INYECTABLE</t>
  </si>
  <si>
    <t>CLORURO DE POTASIO EN DEXTROSA 5 CLORURO DE SODIO 0.45 30 MEQ/1000ML</t>
  </si>
  <si>
    <t>MA</t>
  </si>
  <si>
    <t>NITROGLICERINA 50 MG/10 ML</t>
  </si>
  <si>
    <t>CALCITRIOL CAP 0.5MG</t>
  </si>
  <si>
    <t>CARBAMAZEPINA 200 MG. CM(VIA ORAL)</t>
  </si>
  <si>
    <t>AMIODARONA AM 150MG/3 ML SOLUCION INYECTABLE</t>
  </si>
  <si>
    <t>IMATINIB MESILATO 100 MG COMPRIMIDO RECUBIERTO</t>
  </si>
  <si>
    <t>PACLITAXEL 300 MG/50 ML SOLUCION INYECTABLE. Tº AMBIENTE</t>
  </si>
  <si>
    <t>VASELINA ESTERIL AMPOLLA 10 ML</t>
  </si>
  <si>
    <t>AMOXICILINA 875 MG ACIDO CLAVULANICO 125 MG CM. VIA ORAL (CONV-GLAXO PU$ 680) PA-2012</t>
  </si>
  <si>
    <t>NETUPITANTPALONOCETRON 300MG/0.5MG CAPSULAS</t>
  </si>
  <si>
    <t>IRINOTECAN 100MG/5ML SOLUCION INYECTABLE</t>
  </si>
  <si>
    <t>HIDROCORTISONA SUCCINATO 100MG FA LIOFILIZADO INYECTABLE</t>
  </si>
  <si>
    <t>SALBUTAMOL 5MG/ML FC 100CC SOLUCION PARA NEBULIZAR</t>
  </si>
  <si>
    <t>LORAZEPAM COMP 2 MG. ENVASADO EN BLISTER</t>
  </si>
  <si>
    <t>POLIVITAMINICO CM(VIA ORAL)</t>
  </si>
  <si>
    <t>LENALIDOMIDA 15MG V.O.</t>
  </si>
  <si>
    <t>RIVAROXABAN 15MG COMPRIMIDOS RECUBIERTOS VIA ORAL ENVASADO EN BLISTER</t>
  </si>
  <si>
    <t>PEGFILGRASTIM 6 MG/0.6 ML (JERINGA PRECARGADA)</t>
  </si>
  <si>
    <t>BENDAMUSTINA 100 MG FA LIOFILIZADO INYECTABLE</t>
  </si>
  <si>
    <t>LENVATINIB 10MG CP</t>
  </si>
  <si>
    <t>TEMOZOLOMIDA 100 MG CAPSULAS</t>
  </si>
  <si>
    <t>ACIDO FOLICO 5MG CM VIA ORAL</t>
  </si>
  <si>
    <t>MESNA 400 MG/4 ML SOLUCIÓN INYECTABLE</t>
  </si>
  <si>
    <t>RISPERIDONA 1MG/ML FC PARA GOTAS ORAL</t>
  </si>
  <si>
    <t>ABIRATERONA ACETATO CM 250 MG VIA ORAL</t>
  </si>
  <si>
    <t>BROMHEXINA 4MG/ 5 ML JARABE FCO 100 ML</t>
  </si>
  <si>
    <t>CLORANFENICOL UNGÜENTO OFTALMICO AL 1% TU 3.5G</t>
  </si>
  <si>
    <t>MEDIO DE CONTRASTE NO IONICO SOL INY 270-320 MG/ML FA 100 ML</t>
  </si>
  <si>
    <t>OSIMERTINIB 80 MG</t>
  </si>
  <si>
    <t>BORTEZOMIB FA 3.5MG LIOFILIZADO PARA SOLUCIÃ“N INYECTABLE VIA ADM SC Y EV</t>
  </si>
  <si>
    <t>TALIDOMIDA 100 MG COMPRIMIDO RECUBIERTO</t>
  </si>
  <si>
    <t>LEUCOVORINA FA 100 MG/10 ML SOLUCIÓN INYECTABLE</t>
  </si>
  <si>
    <t>ERLOTINIB 150 MG CM RECUBIERTOS</t>
  </si>
  <si>
    <t>ERITROPOYETINA 4000 UI JERINGA PRECARGADA</t>
  </si>
  <si>
    <t>METILPREDNISOLONA FA 500 MG POLVO LIOFILIZADO PARA SOLUCIÓN INYECTABLE</t>
  </si>
  <si>
    <t>DOXORRUBICINA LIPOSOMAL PEFGILADA FA 20 MG/10 ML. SOL. INYECTABLE</t>
  </si>
  <si>
    <t>OXALIPLATINO FA 100 MG/20 ML SOLUCION INYECTABLE</t>
  </si>
  <si>
    <t>IFOSFAMIDA FA 2 GR LIOFILIZADO SOLUCION INYECTABLE</t>
  </si>
  <si>
    <t>AGUA DESTILADA 500 ML ENVASE SEMIRIGIDO</t>
  </si>
  <si>
    <t>NUTRICIÃ“N PARENTERAL PERIFÃ‰RICA (NPP)</t>
  </si>
  <si>
    <t>COTRIMOXAZOL FORTE 60/800 MG. CM(VIA ORAL)</t>
  </si>
  <si>
    <t>ACIDO TRANEXAMICO AM 1 GR/ 10 ML SOLUCION INYECTABLE</t>
  </si>
  <si>
    <t>MEMANTINA CM 20MG</t>
  </si>
  <si>
    <t>MIDAZOLAM 5 MG/1ML</t>
  </si>
  <si>
    <t>QUETIAPINA 25MG CM VIA ORAL BLISTER</t>
  </si>
  <si>
    <t>FOSFATO MONOPOTASICO /10 ML. SOLUCION INYECTABLE</t>
  </si>
  <si>
    <t>LABETALOL 100MG/ 20ML AMP SOLUCION INYECTABLE</t>
  </si>
  <si>
    <t>MEDIO DE CONTRASTE NO IONICO SOL INY 300-350 MG/ML JER 100 ML</t>
  </si>
  <si>
    <t>ACIDO ACETILSALICILICO 100 MG CM VIA ORAL</t>
  </si>
  <si>
    <t>PIRIDOXINA CLORHIDRATO AM 100MG/1 ML SOLUCION INYECTABLE</t>
  </si>
  <si>
    <t>REMIFENTANILO 1 MG FA</t>
  </si>
  <si>
    <t>CLORANFENICOL FC SOLUCION GOTAS OFTALMICAS AL 0.5</t>
  </si>
  <si>
    <t>DULOXETINA CAPS 30MG</t>
  </si>
  <si>
    <t>CLORFENAMINA MALEATO CM 4MG ENVASADO EN BLISTER</t>
  </si>
  <si>
    <t>NEOSTIGMINA SULFATO AM 0.5 MG / 1 ML SOLUCION INYECTABLE</t>
  </si>
  <si>
    <t>PERTUZUMAB 420MG SOL INY. FA</t>
  </si>
  <si>
    <t>CEFTAZIDIMA/AVIBACTAM 2 GR/ 0.5 GR</t>
  </si>
  <si>
    <t>ÁCIDO ZOLEDRONICO FA 4 MG/5ML SOLUCION INYECTABLE</t>
  </si>
  <si>
    <t>ESPIRONOLACTONA CM 25 MG</t>
  </si>
  <si>
    <t>NILOTINIB CAPSULAS 200 MG</t>
  </si>
  <si>
    <t>TRIPTORELINA FA 3.75MG</t>
  </si>
  <si>
    <t>ENALAPRIL CM RANURADO 10MG ENVASADO EN BLISTER</t>
  </si>
  <si>
    <t>HIERRO SACARATO ENDOVENOSO AMPOLLA DE 100MG/5ML</t>
  </si>
  <si>
    <t>ACICLOVIR 400 MG CM ENVASADO EN BLISTER VIA ORAL</t>
  </si>
  <si>
    <t>LIDOCAINA CLORHIDRATO 5% PARCHE</t>
  </si>
  <si>
    <t>COTRIMOXAZOL AM 400 SMZ/80 TMP SOLUCION INYECTABLE X 5 ML</t>
  </si>
  <si>
    <t>ANASTRAZOL CM 1 MG COMPRIMIDOS RECUBIERTOS</t>
  </si>
  <si>
    <t>CICLOFOSFAMIDA FA 1000 MG POLVO PARA SOLUCION INYECTABLE</t>
  </si>
  <si>
    <t>PANCREATINA CM 25.000 UI</t>
  </si>
  <si>
    <t>FLUCLOXACILINA CAP 500MG</t>
  </si>
  <si>
    <t>LANATOSIDO C / 2 ML. SOLUCION INYECTABLE</t>
  </si>
  <si>
    <t>S.P. SODIO BICARBONATO 2/3 M AM 250 ML. ENVASE SEMIRIGIDO</t>
  </si>
  <si>
    <t>AZACITIDINA 100MG INYECTABLE</t>
  </si>
  <si>
    <t>ATORVASTATINA 40MG CAPSULAS</t>
  </si>
  <si>
    <t>NUTRICION PARENTERAL RECETARIO MAGISTRAL</t>
  </si>
  <si>
    <t>S.P. GLUCOSA 10 X 500 ML. ENVASE SEMIRIGIDO</t>
  </si>
  <si>
    <t>DEXAMETASONA FOSFATO CM 4MG VIA ORAL (BLISTER)</t>
  </si>
  <si>
    <t>BICARBONATO DE SODIO 8.4 AMP 10ML SOLUCION INYECTABLE AM</t>
  </si>
  <si>
    <t>LIDOCAINA CLORHIDRATO 10 SPRAY</t>
  </si>
  <si>
    <t>CISPLATINO FA 50 MG/50ML SOLUCION INYECTABLE</t>
  </si>
  <si>
    <t xml:space="preserve">CALCIO CARBONATO 1250 MG VIT D3 400 UI CAPSULA </t>
  </si>
  <si>
    <t>LETROZOL 2.5 MG COMPRIMIDOS RECUBIERTOS</t>
  </si>
  <si>
    <t xml:space="preserve">LOPERAMIDA CLORHIDRATO CM 2 MG </t>
  </si>
  <si>
    <t>FERROVITAMINICO (FUMARATO FERROSO VITAMINAS) CP O CM</t>
  </si>
  <si>
    <t>MORFINA SULFATO 2 SOLUCION GOTAS FRASCO 20 ML</t>
  </si>
  <si>
    <t>DICLOFENACO - COLESTIRAMINA 140 MG LIBERACION SOSTENIDA</t>
  </si>
  <si>
    <t>METADONA CLORHIDRATO CM O CP 10 MG. ENVASADO EN BLISTER</t>
  </si>
  <si>
    <t>TRASTUZUMAB EMTANSINA (TDM-1) 160MG</t>
  </si>
  <si>
    <t>CARVEDILOL 6.25MG V.O.</t>
  </si>
  <si>
    <t>HIDROCLOROTIAZIDA CM 50 MG VIA ORAL ENVASADO BLISTER</t>
  </si>
  <si>
    <t>S.P. SOLUCION RINGER LACTATO AM 500 ML. ENVASE SEMIRIGIDO</t>
  </si>
  <si>
    <t>PIPERACILINA - TAZOBACTAM 4.5 GR FA INYECTABLE</t>
  </si>
  <si>
    <t>ANTIESPASMODICO CM(VIA ORAL)</t>
  </si>
  <si>
    <t>EXEMESTANO CM 25 MG VIA ORAL</t>
  </si>
  <si>
    <t>VINCRISTINA SULFATO FA 1 MG/1 ML SOLUCION INYECTABLE</t>
  </si>
  <si>
    <t>PREGABALINA CM RANURADA 150MG</t>
  </si>
  <si>
    <t xml:space="preserve">DOMPERIDONA 10 MG COMPRIMIDOS </t>
  </si>
  <si>
    <t>ACIDO FOLICO 1MG CM VIA ORAL</t>
  </si>
  <si>
    <t>CEFTRIAXONA FA 1GR LIOFILIZADO INYECTABLE</t>
  </si>
  <si>
    <t>DOXORRUBICINA CLORHIDRATO FA 50 MG/25 ML SOLUCION INYECTABLE</t>
  </si>
  <si>
    <t>GOSEROLINA JERINGA 10.8 MG IMPLANTE SUBCUTÁNEO DE LIBERACIÓN PROLONGADA</t>
  </si>
  <si>
    <t>SODIO CLORURO 0.9 AM 20 ML ENVASE VIDRIO O PLASTICO</t>
  </si>
  <si>
    <t>S.P. SODIO CLORURO 0.9 AM 100 ML ENVASE VIAFLEX</t>
  </si>
  <si>
    <t>S.P. GLUCOSA 30 / 20 ML AMP SOLUCION INYECTABLE</t>
  </si>
  <si>
    <t>FILGRASTIM JERINGA PRECARGADA 300 MG (ESTUDIO MOVILIZACION CD 34)</t>
  </si>
  <si>
    <t>SUNITINIB CÁPSULAS 25 MG</t>
  </si>
  <si>
    <t>VINBLASTINA FA 10 MG/10 ML SOLUCION INYECTABLE</t>
  </si>
  <si>
    <t>METOTREXATO FA 500 MG/20ML SOLUCION INYECTABLE (QUE PERMITA LA ADMINISTRACION INTRATECAL)</t>
  </si>
  <si>
    <t>DANTROLENO SODICO 20 MG IV LIOF FA (CAJA X 6 AMPOLLAS)</t>
  </si>
  <si>
    <t>PARACETAMOL 1 GR/ 100 ML FA ENDOVENOSO</t>
  </si>
  <si>
    <t>FLUCONAZOL 200 MG/100 ML SOLUCION INYECTABLE</t>
  </si>
  <si>
    <t>TESTOSTERONA FA 1000 MG/4 ML SOLUCIÓN INYECTABLE</t>
  </si>
  <si>
    <t>METAMIZOL SODICO CM 300 MG</t>
  </si>
  <si>
    <t>MORFINA CLORHIDRATO AM 20 MG/1 ML SOLUCION INYECTABLE</t>
  </si>
  <si>
    <t>OMEPRAZOL CM O CP 20 MG (MICROGRANULOS LIBERACION ENTERICA)</t>
  </si>
  <si>
    <t>ALBUMINA HUMANA 20 FA 50 ML. SOLUCION INYECTABLE. ENVASE INDIVIDUAL</t>
  </si>
  <si>
    <t>ONDANSETRON AM 8 MG SOLUCION INYECTABLE</t>
  </si>
  <si>
    <t>VINORELBINE 50 MG. SOLUCION INYECTABLE</t>
  </si>
  <si>
    <t>HEPARINA 25.000 U/5 ML. SOLUCION INYECTABLE</t>
  </si>
  <si>
    <t>S.P. GLUCOSA 5 X 500 ENVASE TIPO VIAFLEX (COLAPSABLE)</t>
  </si>
  <si>
    <t>TIAMINA 30 MG / 1 ML AMP SOLUCION INYECTABLE</t>
  </si>
  <si>
    <t>PAZOPANIB 400 MG. CM</t>
  </si>
  <si>
    <t>DASATINIB 100MG COMPRIMIDOS RECUBIERTOS</t>
  </si>
  <si>
    <t>METRONIDAZOL 500MG/CM VIA ORAL</t>
  </si>
  <si>
    <t>S.P. SODIO CLORURO 0.9% AM 250 ML TIPO VIAFLEX (COLAPSABLE)</t>
  </si>
  <si>
    <t>PICOSULFATO DE SODIO SOBRE 10 MG POLVO SOLUCIÓN ORAL (CAJA X 2 SOBRES)</t>
  </si>
  <si>
    <t>BETAMETASONA 4 MG/ 1 ML AMP SOLUCION INYECTABLE (CONV-SANDERSON PU$ 111) PA-2012</t>
  </si>
  <si>
    <t>CLORFENAMINA MALEATO AM 10 MG/ 1ML SOLUCION INYECTABLE</t>
  </si>
  <si>
    <t>TRIPTORELINA FA 11.25 MG POLVO LIOFILIZADO PARA SUSPENSIÓN INYECTABLE</t>
  </si>
  <si>
    <t>AMOXICILINA CM O CP 500 MG. ENVASADO EN BLISTER (CONV-WINPHARM PU$ 30) PA-2012</t>
  </si>
  <si>
    <t>S.P. SODIO CLORURO 0.9 AM 500 ML ENVASE VIAFLEX</t>
  </si>
  <si>
    <t>CLARITROMICINA CM RECUBIERTO 500 MG ENVASADO EN BLISTER</t>
  </si>
  <si>
    <t>AMITRIPTILINA CP GG O CM RECUBIERTO 25MG ENVASADO EN BLISTER</t>
  </si>
  <si>
    <t>FLUOROURACILO 1000 MG/20 ML SOLUCIÓN INYECTABLE</t>
  </si>
  <si>
    <t>TAMOXIFENO 20 MG COMPRIMIDOS RECUBIERTOS</t>
  </si>
  <si>
    <t>DEXAMETASONA FOSFATO AM 4 MG/ML SOLUCION INYECTABLE</t>
  </si>
  <si>
    <t>NITROGLICERINA 0.5MG/ 10 ML. SOLUCION INYECTABLE</t>
  </si>
  <si>
    <t>KETOPROFENO CM 50 MG VIA ORAL</t>
  </si>
  <si>
    <t>EPINEFRINA 1 MG/ 1 ML SOLUCION INYECTABLE</t>
  </si>
  <si>
    <t>IMATINIB MESILATO 400 MG COMPRIMIDO RECUBIERTO</t>
  </si>
  <si>
    <t>TRAMADOL GOTAS 100/ML FCO 10 ML / GOTAS (CONV-NOVOFARMA PU$ 2130) PA-2012</t>
  </si>
  <si>
    <t>ONDANSETRON 8 MG COMPRIMIDO</t>
  </si>
  <si>
    <t>LENALIDOMIDA 25MG V.O.</t>
  </si>
  <si>
    <t>ALOPURINOL CM 100 MG ENVASADO EN BLISTER</t>
  </si>
  <si>
    <t>BUPIVACAINA AM 0.5 /10 ML. SOLUCION INYECTABLE</t>
  </si>
  <si>
    <t>CLONAZEPAM 0.5MG COMP V.O.</t>
  </si>
  <si>
    <t>MORFINA CLORHIDRATO AM 10 MG/1ML SOLUCION INYECTABLE</t>
  </si>
  <si>
    <t>OMEPRAZOL FA 40 MG SOLUCION INYECTABLE</t>
  </si>
  <si>
    <t>METAMIZOL SODICO AM 1G/ 2 ML SOLUCION INYECTABLE</t>
  </si>
  <si>
    <t>SUGAMMADEX FA 200 MG/2 ML SOLUCION INYECTABLE</t>
  </si>
  <si>
    <t>ESCOPOLAMINA 20 MG/ 1 ML SOLUCION INYECTABLE</t>
  </si>
  <si>
    <t>TRAZODONA 100MG CM</t>
  </si>
  <si>
    <t>BUPRENORFINA 35 MCG/H</t>
  </si>
  <si>
    <t>PROPOFOL 1 20 ML (AMPOLLA)</t>
  </si>
  <si>
    <t>ALOPURINOL CM 300 MG</t>
  </si>
  <si>
    <t>ERTAPENEM 1 GR FA</t>
  </si>
  <si>
    <t>PEMBROLIZUMAB 100MG/4ML</t>
  </si>
  <si>
    <t>PREDNISONA CM O CM RECUBIERTO 20 MG ENVASADA EN BLISTER</t>
  </si>
  <si>
    <t>LEVOTIROXINA 100MG BIRANURADA COMPRIMIDOS VIA ORAL ENVASADO EN BLISTER</t>
  </si>
  <si>
    <t>TRAMADOL CP O CM RECUBIERTO 100 MG ACCION PROLONGADA (CONV-NOVOFARMA PU$ 910) PA-2012</t>
  </si>
  <si>
    <t>LINEZOLID 600mg SOLUCION INYECTABLE</t>
  </si>
  <si>
    <t>CAPECITABINA 500 MG COMPRIMIDOS RECUBIERTOS VIA ORAL</t>
  </si>
  <si>
    <t>IPRATROPIO BROMURO 0.025 SOLUCION PARA NEBULIZADOR FC 20ML</t>
  </si>
  <si>
    <t>ROCURONIO BROMURO AM O FA 50 MG/5 ML SOLUCION INYECTABLE</t>
  </si>
  <si>
    <t>FAMOTIDINA 40MGRS ENVASADO EN BLISTER</t>
  </si>
  <si>
    <t>CIPROFLOXACINO FA 200MG/100 ML SOLUCION INYECTABLE</t>
  </si>
  <si>
    <t>ENEMA FOSFATO P/ADULTO FC 130ML</t>
  </si>
  <si>
    <t>CARBOPLATINO FA 450 MG/45ML SOLUCION INYECTABLE  </t>
  </si>
  <si>
    <t>METADONA CLORHIDRATO AM 10 MG / 2MG. SOL. INYECTABLE</t>
  </si>
  <si>
    <t>CRIZOTINIB 250MG VIA ORAL CAPSULAS</t>
  </si>
  <si>
    <t>CIPROFLOXACINO CM O CP RECUBIERTO 500 MG</t>
  </si>
  <si>
    <t>ETOPOSIDO 100 MG/5 ML SOLUCION INYECTABLE</t>
  </si>
  <si>
    <t>TIGECICLINA FA 50 MG INYECTABLE</t>
  </si>
  <si>
    <t>METRONIDAZOL 500 MG/100 ML FA/BOLSA SOLUCION INYECTABLE</t>
  </si>
  <si>
    <t>MAGNESIO SULFATO AL 25 AMP 5 ML SOLUCION INYECTABLE</t>
  </si>
  <si>
    <t>SEVOFLURANE LIQUIDO VOLATIL P/INHALACION FC 250 ML.</t>
  </si>
  <si>
    <t>CAPECITABINA 150 MG COMPRIMIDOS RECUBIERTOS VIA ORAL</t>
  </si>
  <si>
    <t>MIRTAZAPINA 30MG COMP V.O.</t>
  </si>
  <si>
    <t>RITUXIMAB FA 500 MG/50ML SOLUCION INYECTABLE</t>
  </si>
  <si>
    <t>HEPARINA DE BAJO PESO MOLECULAR 5.000 UI DALTE 40 MG ENOXA JERINGA</t>
  </si>
  <si>
    <t>ATROPINA SULFATO AM 1 MG/1 ML SOLUCION INYECTABLE</t>
  </si>
  <si>
    <t>NITROFURANTOINA CM 100MG</t>
  </si>
  <si>
    <t xml:space="preserve">PARACETAMOL CM 500 MG </t>
  </si>
  <si>
    <t>S.P. GLUCOSA 5 X 250 ML. ENVASE SEMIRIGIDO</t>
  </si>
  <si>
    <t>NOREPINEFRINA 4 MG/ML AMP SOLUCION INYECTABLE (CONV-HOSPIRA PU$ 1369) PA-2012</t>
  </si>
  <si>
    <t>AZUL DE METILENO 1 X 5 ML</t>
  </si>
  <si>
    <t>HALOPERIDOL CM 1MG</t>
  </si>
  <si>
    <t>LIDOCAINA CLORHIDRATO 2 AM 5-10ML SOLUCION INYECTABLE</t>
  </si>
  <si>
    <t>INSULINA CRISTALINA FA 100 UI/ML X 10 ML SOLUCION INYECTABLE</t>
  </si>
  <si>
    <t>TRAMADOL 100 MG/ 2 ML. SOLUCION INYECTABLE</t>
  </si>
  <si>
    <t>TOPOTECAN FA 4 MG. POLVO LIOFILIZADO (CONV-GLAXO PU$ 218942) PA-2012</t>
  </si>
  <si>
    <t>METOCLOPRAMIDA CLORHIDRATO AM 10 MG/2 ML SOLUCION INYECTABLE</t>
  </si>
  <si>
    <t>NUTRICION PARENTERAL BOLSA PRELLENADA 3 CAMARAS EXTRA NITROGENO 2025 ML/1800 KCAL. KIT INCLUYE NPT-FILTRO 1.2 UM-OLIGOELEMENTOS-VITAMINAS NPT-BOLSA FOTOP.</t>
  </si>
  <si>
    <t>KETOPROFENO AM/FA 100 MG INYECTABLE USO E.V.</t>
  </si>
  <si>
    <t>FUROSEMIDA CM 40 MG ENVASADO EN BLISTER</t>
  </si>
  <si>
    <t>BUPIVACAINA 0.75 HIPERBARICA AMP DE 2 ML SOLUCION INYECTABLE</t>
  </si>
  <si>
    <t>FENTANILO 0.5MG/10ML AMPOLLA</t>
  </si>
  <si>
    <t>ALPRAZOLAM CM 0.5 MG ENVASADO EN BLISTER</t>
  </si>
  <si>
    <t>AZUL DE ISOSULFANO</t>
  </si>
  <si>
    <t>CALCIO GLUCONATO 10 / 10ML. SOLUCION INYECTABLE</t>
  </si>
  <si>
    <t>CLORURO DE POTASIO SOLUCIÃ“N INYECTABLE 40 MEQ/100 ML</t>
  </si>
  <si>
    <t>S.P. MANITOL 15 AM 500 ML. ENVASE SEMIRIGIDO</t>
  </si>
  <si>
    <t>AFATINIB 40 MG CAPSULA</t>
  </si>
  <si>
    <t>CLINDAMICINA FOSFATO AM 600MG/4ML SOLUCION INYECTABLE</t>
  </si>
  <si>
    <t>BUPRENORFINA 10UG PARCHES (SOBRE DOS UNIDADES)</t>
  </si>
  <si>
    <t>VANCOMICINA CLORHIDRATO FA 1GR SOLUCION INYECTABLE (CONV-LAB. CHILE PU$ 2353) PA-2012</t>
  </si>
  <si>
    <t>POTASIO CLORURO AL 10 AM 10 ML VIDRIO O PLASTICO</t>
  </si>
  <si>
    <t>IBUPROFENO CM CM RECUBIERTO GG O CP 400MG ENVASADO BLISTER</t>
  </si>
  <si>
    <t>CEFADROXILO 500MG COMPRIMIDOS RECUBIERTOS VIA ORAL ENVASADO EN BLISTER</t>
  </si>
  <si>
    <t>S.P. SODIO CLORURO 0.9 AM 1000 ML TIPO VIAFLEX (COLAPSABLE)</t>
  </si>
  <si>
    <t>HALOPERIDOL 5 MG/ 1 ML AMP SOLUCION INYECTABLE</t>
  </si>
  <si>
    <t>KETOROLACO TROMETAMOL AM 30 MG/ML SOLUCION INYECTABLE</t>
  </si>
  <si>
    <t>INSULINA HUMANA SUSPENSION NPH FA 100 UI/ML X10 ML INYECTABLE</t>
  </si>
  <si>
    <t>AMIKACINA FA 500 MG / 2 ML SOLUCION INYECTABLE</t>
  </si>
  <si>
    <t xml:space="preserve">METOCLOPRAMIDA CLORHIDRATO CM 10 MG </t>
  </si>
  <si>
    <t>CIANOCOBALAMINA AM 0.1MG/1 ML SOLUCION INYECTABLE</t>
  </si>
  <si>
    <t>DENOSUMAB 120MG FA SUBCUTANEO</t>
  </si>
  <si>
    <t>FLUMAZENILO AM 0.5 MG/5 ML SOLUCION INYECTABLE</t>
  </si>
  <si>
    <t>BICALUTAMIDA CM 150 MG COMPRIMIDOS RECUBIERTOS (BLISTER) VIA ORAL</t>
  </si>
  <si>
    <t>FLUCONAZOL 150 MG. CM(VIA ORAL)</t>
  </si>
  <si>
    <t>DROPERIDOL 5 MG/ 2 ML AMP SOLUCION INYECTABLE</t>
  </si>
  <si>
    <t>SERTRALINA 50 MG. CM(VIA ORAL)</t>
  </si>
  <si>
    <t>DACARBAZINA FA 200 MG POLVO LIOFILIZADO</t>
  </si>
  <si>
    <t>FENTANILO 25MCG/ H PARCHE</t>
  </si>
  <si>
    <t>FITOQUINONA(FITOMENADIONA) ENDOVENOSA AM 10 MG/ 1 ML. SOL. INYECTABLE</t>
  </si>
  <si>
    <t>MEROPENEM 500 MG SOLUCION INYECTABLE</t>
  </si>
  <si>
    <t>IMIPENEM 500 MG FA LIOFILIZADO INYECTABLE</t>
  </si>
  <si>
    <t>S.P. GLUCOSALINO ISOTONICO X 500 ML. ENVASE SEMIRIGIDO</t>
  </si>
  <si>
    <t>FUROSEMIDA AM 20 MG/ 1 ML. SOLUCION INYECTABLE</t>
  </si>
  <si>
    <t>GEFITINIB CO 250MG/ FC 30CO (caja por 30 comprimidos)</t>
  </si>
  <si>
    <t>SODIO CLORURO 10 AM 10 ML A 20 ML. ENVASE VIDRIO O PLASTICO</t>
  </si>
  <si>
    <t>CEFAZOLINA FA 1GR LIOFILIZADO SOLUCION INYECTABLE</t>
  </si>
  <si>
    <t>N ACETILCISTEINA POLVO GRANULADO SOBRE DE 600MG</t>
  </si>
  <si>
    <t>PROPINOXATO 5MG/ 1 ML. SOLUCION INYECTABLE (PARGEVERINA)</t>
  </si>
  <si>
    <t>FENTANILO CITRATO 0.1MG/ 2ML AMP SOL. INYECTABLE ADM IM-EV</t>
  </si>
  <si>
    <t>PEMETREXED FA 500 MG LIOF PARA SOL INYECTABLE</t>
  </si>
  <si>
    <t>CICLOFOSFAMIDA CM 50 MG COMPRIMIDOS RECUBIERTOS VIA ORAL</t>
  </si>
  <si>
    <t>BLEOMICINA FA 15 U.I. POLVO LIOFILIZADO PARA SOLUCIÓN INYECTABLE (T° AMBIENTE)</t>
  </si>
  <si>
    <t>NALOXONA 0.4 MG/2ML</t>
  </si>
  <si>
    <t>MIVACURIO 2MG/ML AM SOLUCIÓN INYECTABLE</t>
  </si>
  <si>
    <t>SUNITINIB CÁPSULAS 50 MG</t>
  </si>
  <si>
    <t>OXALIPLATINO FA 50 MG/10 ML SOLUCION INYECTABLE</t>
  </si>
  <si>
    <t>SALBUTAMOL 100MCG POR DOSIS AEROSOL INHALADOR</t>
  </si>
  <si>
    <t>TEMOZOLOMIDA 140 MG CAPSULA</t>
  </si>
  <si>
    <t>ALECTINIB 150MG</t>
  </si>
  <si>
    <t>GEL ORAL CONCENTRADO USO EN MUCOSISTIS / SOBRE CON 15 ML</t>
  </si>
  <si>
    <t>NUTRICION PARENTERAL BAJA EN H DE C. 3 CAMARAS 1477 ML/1600 KCAL. (KCAL NO PROT/GR N) APROX 100 MENOR QUE NPT ESTANDAR. KIT INCLUYE NPT-FILTRO 1.2 UM-OLIGOELEMENTOS-VITAMINAS NPT BOLSA FOTP</t>
  </si>
  <si>
    <t>CAPTOPRIL CM 25MG ENVASADO EN BLISTER</t>
  </si>
  <si>
    <t>SUCRALFATO SUSP 10% FCO X 200ML (COLUTORIO)</t>
  </si>
  <si>
    <t>CLINDAMICINA 300 MG CAPSULAS VIA ORAL</t>
  </si>
  <si>
    <t>HEPARINA DE BAJO PESO MOLECULAR DE 7500 UI DALTE 60 MG ENOXA JERINGA</t>
  </si>
  <si>
    <t>PAPAVERINA AM 80 MG/2ML SOLUCION INYECTABLE</t>
  </si>
  <si>
    <t>RISPERIDONA COM 1MG</t>
  </si>
  <si>
    <t>DEXMEDETOMIDINA 200UG/2ML FA SOLUCION INYECTABLE</t>
  </si>
  <si>
    <t>SIMETICONA CP 60 MG ENVASADO EN BLISTER</t>
  </si>
  <si>
    <t>TEMOZOLOMIDA 180MG CAPSULA</t>
  </si>
  <si>
    <t>CLORAMBUCILO 2 MG COMPRIMIDOS RECUBIERTOS</t>
  </si>
  <si>
    <t>S.P. GLUCOSALINO ISOTONICO X 1000 ML. ENVASE SEMIRIGIDO</t>
  </si>
  <si>
    <t>S.P. SODIO CLORURO 0.9 3LT TIPO VIAFLEX</t>
  </si>
  <si>
    <t>ATENOLOL 50 MG. CM(VIA ORAL)</t>
  </si>
  <si>
    <t>EFEDRINA 6 % AM 1 ML. SOLUCION INYECTABLE</t>
  </si>
  <si>
    <t>PROPOFOL 2 X 50 ML (JERINGA)</t>
  </si>
  <si>
    <t>PACLITAXEL 100 MG/16.7 ML SOLUCION INYECTABLE. Tº AMBIENTE</t>
  </si>
  <si>
    <t>TEMOZOLOMIDA 20 MG CAPSULAS</t>
  </si>
  <si>
    <t>AMIODARONA 200 MG. CM(VIA ORAL)</t>
  </si>
  <si>
    <t>VENLAFAXINA CM 75MG</t>
  </si>
  <si>
    <t>HEPARINA DE BAJO PESO MOLECULAR 2.500 UI DALTE 20 MG ENOXA JERINGA</t>
  </si>
  <si>
    <t>CITARABINA FA 1000 MG/10ML SOLUCION INYECTABLE (QUE PERMITA LA ADMINISTRACION INTRATECAL)</t>
  </si>
  <si>
    <t>PROPOFOL 1 50 ML (JERINGA)</t>
  </si>
  <si>
    <t>IPATROPIO MONOHIDRATO 21 CMCG</t>
  </si>
  <si>
    <t>KETAMINA 500 MG/10 ML SOLUCION INYECTABLE</t>
  </si>
  <si>
    <t>SUCCINILCOLINA 100 MG/ 5 ML AMP SOLUCION INYECTABLE</t>
  </si>
  <si>
    <t>S.P. GLUCOSA 30 X 500 ML ENVASE SEMIRIGIDO</t>
  </si>
  <si>
    <t>LIDOCAINA CLORHIDRATO 4 % TUBO GEL POMO 15 GRS</t>
  </si>
  <si>
    <t>NUTRICION PARENTERAL 3 CAMARAS 1970 ML/2200 KCAL. (KCAL NO PROT/GR N)  APROX 110. KIT INCLUYE NPT-FILTRO 1.2 UM-OLIGOELEMENTOS-VITAMINAS NPT</t>
  </si>
  <si>
    <t>BICALUTAMIDA CM 50 MG COMPRIMIDOS RECUBIERTOS (BLISTER) VIA ORAL</t>
  </si>
  <si>
    <t>VASELINA FCO X 100 ML</t>
  </si>
  <si>
    <t>PROPANOLOL AM 1 MG/1 ML SOLUCION INYECTABLE</t>
  </si>
  <si>
    <t>ANIDULAFUNGINA 100 MG</t>
  </si>
  <si>
    <t>PAZOPANIB 200 MG. CM</t>
  </si>
  <si>
    <t>ACENOCUMAROL 4 MG CM VIA ORAL</t>
  </si>
  <si>
    <t>ADENOSINA AM/FA/JER 6 MG/2 ML SOLUCION INYECTABLE</t>
  </si>
  <si>
    <t>MIDAZOLAM 50 MG/10ML SOLUCION INYECTABLE</t>
  </si>
  <si>
    <t>MITOMICINA FA 20 MG. POLVO LIOFILIZADO</t>
  </si>
  <si>
    <t>LACTULOSA 66.7 GR/100 ML FCO 200 ML VIA ORAL LIQUIDO</t>
  </si>
  <si>
    <t>DOCETAXEL TRIHIDRATO FA 80 MG/ 4ML SOLUCION INYECTABLE</t>
  </si>
  <si>
    <t>CLOPIDOGREL 75 MG COMPRIMIDOS</t>
  </si>
  <si>
    <t>S.P. GLUCOSA 10 X 1000 ML. ENVASE SEMIRIGIDO (CONV-SANDERSON PU$ 774) PA-2012</t>
  </si>
  <si>
    <t>CLORPROMAZINA 25 MG/2 ML SOL.INY. AM</t>
  </si>
  <si>
    <t>COMPLEJO PROTROMBINA 500 UI LIOF. P/SOL. INY. FAM</t>
  </si>
  <si>
    <t>DOPAMINA 200 MG/5 ML SOL INY. AM</t>
  </si>
  <si>
    <t>TEMOZOLOMIDA 250 MG CP</t>
  </si>
  <si>
    <t xml:space="preserve">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</si>
</sst>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11"/>
      <color rgb="FF0D0D0D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5" fillId="0" borderId="0" xfId="0" applyFont="1"/>
    <xf numFmtId="0" fontId="4" fillId="3" borderId="4" xfId="0" applyFont="1" applyFill="1" applyBorder="1" applyAlignment="1">
      <alignment wrapText="1"/>
    </xf>
    <xf numFmtId="0" fontId="4" fillId="3" borderId="0" xfId="0" applyFont="1" applyFill="1"/>
    <xf numFmtId="0" fontId="6" fillId="3" borderId="0" xfId="0" applyFont="1" applyFill="1" applyAlignment="1">
      <alignment wrapText="1"/>
    </xf>
    <xf numFmtId="0" fontId="7" fillId="0" borderId="0" xfId="0" applyFont="1"/>
    <xf numFmtId="0" fontId="8" fillId="0" borderId="0" xfId="0" applyFont="1"/>
    <xf numFmtId="0" fontId="4" fillId="2" borderId="5" xfId="0" applyFont="1" applyFill="1" applyBorder="1" applyAlignment="1">
      <alignment wrapText="1"/>
    </xf>
    <xf numFmtId="0" fontId="4" fillId="2" borderId="6" xfId="0" applyFont="1" applyFill="1" applyBorder="1"/>
    <xf numFmtId="42" fontId="4" fillId="2" borderId="6" xfId="1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6" fillId="4" borderId="6" xfId="0" applyFont="1" applyFill="1" applyBorder="1" applyAlignment="1">
      <alignment wrapText="1"/>
    </xf>
    <xf numFmtId="1" fontId="6" fillId="4" borderId="6" xfId="0" applyNumberFormat="1" applyFont="1" applyFill="1" applyBorder="1" applyAlignment="1">
      <alignment wrapText="1"/>
    </xf>
    <xf numFmtId="1" fontId="6" fillId="4" borderId="0" xfId="0" applyNumberFormat="1" applyFont="1" applyFill="1" applyAlignment="1">
      <alignment wrapText="1"/>
    </xf>
    <xf numFmtId="0" fontId="9" fillId="5" borderId="7" xfId="0" applyFont="1" applyFill="1" applyBorder="1" applyAlignment="1">
      <alignment horizontal="center" vertical="center" wrapText="1"/>
    </xf>
    <xf numFmtId="0" fontId="10" fillId="0" borderId="7" xfId="0" applyFont="1" applyBorder="1"/>
    <xf numFmtId="0" fontId="0" fillId="0" borderId="7" xfId="0" applyBorder="1"/>
    <xf numFmtId="9" fontId="0" fillId="0" borderId="7" xfId="2" applyFont="1" applyBorder="1"/>
    <xf numFmtId="1" fontId="0" fillId="0" borderId="7" xfId="0" applyNumberFormat="1" applyBorder="1"/>
    <xf numFmtId="9" fontId="0" fillId="0" borderId="7" xfId="0" applyNumberFormat="1" applyBorder="1"/>
    <xf numFmtId="9" fontId="0" fillId="0" borderId="0" xfId="2" applyFont="1"/>
    <xf numFmtId="0" fontId="11" fillId="5" borderId="7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6" fillId="3" borderId="6" xfId="0" applyFont="1" applyFill="1" applyBorder="1" applyAlignment="1">
      <alignment wrapText="1"/>
    </xf>
    <xf numFmtId="1" fontId="6" fillId="3" borderId="6" xfId="0" applyNumberFormat="1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2" borderId="3" xfId="0" applyFont="1" applyFill="1" applyBorder="1"/>
    <xf numFmtId="0" fontId="4" fillId="2" borderId="8" xfId="0" applyFont="1" applyFill="1" applyBorder="1"/>
    <xf numFmtId="0" fontId="6" fillId="4" borderId="8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6" fillId="0" borderId="0" xfId="0" applyFont="1"/>
    <xf numFmtId="0" fontId="6" fillId="4" borderId="0" xfId="0" applyFont="1" applyFill="1" applyAlignment="1">
      <alignment wrapText="1"/>
    </xf>
    <xf numFmtId="0" fontId="10" fillId="0" borderId="0" xfId="0" applyFont="1" applyAlignment="1">
      <alignment horizontal="justify" vertic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c0b010b5f11b40e/Escritorio/3.%20Proyecto%20TFG/TFG/Bases%20de%20datos/Bases%20de%20Datos%20Final/Bases%20de%20datos.xlsx" TargetMode="External"/><Relationship Id="rId1" Type="http://schemas.openxmlformats.org/officeDocument/2006/relationships/externalLinkPath" Target="/7c0b010b5f11b40e/Escritorio/3.%20Proyecto%20TFG/TFG/Bases%20de%20datos/Bases%20de%20Datos%20Final/Bases%20de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1 Arsenal"/>
      <sheetName val="Tabla 2. Consumos"/>
      <sheetName val="ABC-XYZ FO 2023-2024"/>
      <sheetName val="Pareto FO"/>
      <sheetName val="Pareto FC"/>
      <sheetName val="Stock a junio 2025"/>
      <sheetName val="Arsenal"/>
      <sheetName val="Ingresos 2023"/>
      <sheetName val="Ingresos 2024"/>
    </sheetNames>
    <sheetDataSet>
      <sheetData sheetId="0">
        <row r="11">
          <cell r="B11">
            <v>101047</v>
          </cell>
          <cell r="C11">
            <v>100004700</v>
          </cell>
          <cell r="D11" t="str">
            <v>ABIRATERONA 250 MG CM/CM REC</v>
          </cell>
          <cell r="E11" t="str">
            <v>CM</v>
          </cell>
          <cell r="F11" t="str">
            <v>FO</v>
          </cell>
          <cell r="G11">
            <v>22080</v>
          </cell>
          <cell r="H11">
            <v>845</v>
          </cell>
          <cell r="I11">
            <v>18657600</v>
          </cell>
          <cell r="J11">
            <v>101047</v>
          </cell>
          <cell r="K11" t="str">
            <v>P001</v>
          </cell>
        </row>
        <row r="12">
          <cell r="B12">
            <v>102038</v>
          </cell>
          <cell r="C12">
            <v>100000009</v>
          </cell>
          <cell r="D12" t="str">
            <v xml:space="preserve">ACENOCUMAROL 4 MG CM/CM REC </v>
          </cell>
          <cell r="E12" t="str">
            <v>CM</v>
          </cell>
          <cell r="F12" t="str">
            <v>FC</v>
          </cell>
          <cell r="G12">
            <v>747</v>
          </cell>
          <cell r="H12">
            <v>81</v>
          </cell>
          <cell r="I12">
            <v>60507</v>
          </cell>
          <cell r="J12">
            <v>102038</v>
          </cell>
          <cell r="K12" t="str">
            <v>P002</v>
          </cell>
        </row>
        <row r="13">
          <cell r="B13">
            <v>103001</v>
          </cell>
          <cell r="C13">
            <v>100000013</v>
          </cell>
          <cell r="D13" t="str">
            <v>ACICLOVIR 400 MG CM/CM REC</v>
          </cell>
          <cell r="E13" t="str">
            <v>CM</v>
          </cell>
          <cell r="F13" t="str">
            <v>FC</v>
          </cell>
          <cell r="G13">
            <v>16145</v>
          </cell>
          <cell r="H13">
            <v>67</v>
          </cell>
          <cell r="I13">
            <v>1081715</v>
          </cell>
          <cell r="J13">
            <v>103001</v>
          </cell>
          <cell r="K13" t="str">
            <v>P003</v>
          </cell>
        </row>
        <row r="14">
          <cell r="B14">
            <v>103039</v>
          </cell>
          <cell r="C14" t="str">
            <v>NO ZGEN</v>
          </cell>
          <cell r="D14" t="str">
            <v>ACICLOVIR 5% CREMA 5-15 G TU/PO</v>
          </cell>
          <cell r="E14" t="str">
            <v>TU</v>
          </cell>
          <cell r="F14" t="str">
            <v>FC</v>
          </cell>
          <cell r="G14">
            <v>26</v>
          </cell>
          <cell r="H14">
            <v>1398</v>
          </cell>
          <cell r="I14">
            <v>36348</v>
          </cell>
          <cell r="J14">
            <v>103039</v>
          </cell>
          <cell r="K14" t="str">
            <v>P004</v>
          </cell>
        </row>
        <row r="15">
          <cell r="B15">
            <v>102037</v>
          </cell>
          <cell r="C15">
            <v>100000003</v>
          </cell>
          <cell r="D15" t="str">
            <v>ACIDO ACETILSALICILICO 100MG CM/CM REC</v>
          </cell>
          <cell r="E15" t="str">
            <v>CM</v>
          </cell>
          <cell r="F15" t="str">
            <v>FC</v>
          </cell>
          <cell r="G15">
            <v>8380</v>
          </cell>
          <cell r="H15">
            <v>8</v>
          </cell>
          <cell r="I15">
            <v>67040</v>
          </cell>
          <cell r="J15">
            <v>102037</v>
          </cell>
          <cell r="K15" t="str">
            <v>P005</v>
          </cell>
        </row>
        <row r="16">
          <cell r="B16">
            <v>104001</v>
          </cell>
          <cell r="C16">
            <v>100000021</v>
          </cell>
          <cell r="D16" t="str">
            <v>ACIDO FOLICO 1 MG CM/CM REC</v>
          </cell>
          <cell r="E16" t="str">
            <v>CM</v>
          </cell>
          <cell r="F16" t="str">
            <v>FC</v>
          </cell>
          <cell r="G16">
            <v>12035</v>
          </cell>
          <cell r="H16">
            <v>22</v>
          </cell>
          <cell r="I16">
            <v>264770</v>
          </cell>
          <cell r="J16">
            <v>104001</v>
          </cell>
          <cell r="K16" t="str">
            <v>P006</v>
          </cell>
        </row>
        <row r="17">
          <cell r="B17">
            <v>104055</v>
          </cell>
          <cell r="C17">
            <v>100000022</v>
          </cell>
          <cell r="D17" t="str">
            <v>ACIDO FOLICO 5 MG CM/CM REC</v>
          </cell>
          <cell r="E17" t="str">
            <v>CM</v>
          </cell>
          <cell r="F17" t="str">
            <v>FC</v>
          </cell>
          <cell r="G17">
            <v>4613</v>
          </cell>
          <cell r="H17">
            <v>17</v>
          </cell>
          <cell r="I17">
            <v>78421</v>
          </cell>
          <cell r="J17">
            <v>104055</v>
          </cell>
          <cell r="K17" t="str">
            <v>P007</v>
          </cell>
        </row>
        <row r="18">
          <cell r="B18">
            <v>106019</v>
          </cell>
          <cell r="C18">
            <v>100002000</v>
          </cell>
          <cell r="D18" t="str">
            <v>ACIDO TRANEX. 1 G/10 ML SOL. INY. AM</v>
          </cell>
          <cell r="E18" t="str">
            <v>AM</v>
          </cell>
          <cell r="F18" t="str">
            <v>FC</v>
          </cell>
          <cell r="G18">
            <v>518</v>
          </cell>
          <cell r="H18">
            <v>583</v>
          </cell>
          <cell r="I18">
            <v>301994</v>
          </cell>
          <cell r="J18">
            <v>106019</v>
          </cell>
          <cell r="K18" t="str">
            <v>P008</v>
          </cell>
        </row>
        <row r="19">
          <cell r="B19">
            <v>101030</v>
          </cell>
          <cell r="C19">
            <v>100000028</v>
          </cell>
          <cell r="D19" t="str">
            <v>ACIDO TRANEXAMICO 500 MG CP/CM REC</v>
          </cell>
          <cell r="E19" t="str">
            <v>CM</v>
          </cell>
          <cell r="F19" t="str">
            <v>FC</v>
          </cell>
          <cell r="G19">
            <v>601</v>
          </cell>
          <cell r="H19">
            <v>899</v>
          </cell>
          <cell r="I19">
            <v>540299</v>
          </cell>
          <cell r="J19">
            <v>101030</v>
          </cell>
          <cell r="K19" t="str">
            <v>P009</v>
          </cell>
        </row>
        <row r="20">
          <cell r="B20">
            <v>209052</v>
          </cell>
          <cell r="C20">
            <v>100000036</v>
          </cell>
          <cell r="D20" t="str">
            <v>ACIDO ZOLEDRONICO 4 MG SOL. INY. FAM</v>
          </cell>
          <cell r="E20" t="str">
            <v>FA</v>
          </cell>
          <cell r="F20" t="str">
            <v>FO</v>
          </cell>
          <cell r="G20">
            <v>179</v>
          </cell>
          <cell r="H20">
            <v>7878</v>
          </cell>
          <cell r="I20">
            <v>1410162</v>
          </cell>
          <cell r="J20">
            <v>209052</v>
          </cell>
          <cell r="K20" t="str">
            <v>P010</v>
          </cell>
        </row>
        <row r="21">
          <cell r="B21">
            <v>101035</v>
          </cell>
          <cell r="C21">
            <v>100000038</v>
          </cell>
          <cell r="D21" t="str">
            <v>ADENOSINA 6 MG/2 ML SOL. INY. AM/FAM/JERP</v>
          </cell>
          <cell r="E21" t="str">
            <v>JER</v>
          </cell>
          <cell r="F21" t="str">
            <v>FC</v>
          </cell>
          <cell r="G21">
            <v>21</v>
          </cell>
          <cell r="H21">
            <v>1488</v>
          </cell>
          <cell r="I21">
            <v>31248</v>
          </cell>
          <cell r="J21">
            <v>101035</v>
          </cell>
          <cell r="K21" t="str">
            <v>P011</v>
          </cell>
        </row>
        <row r="22">
          <cell r="B22">
            <v>101058</v>
          </cell>
          <cell r="C22">
            <v>100004982</v>
          </cell>
          <cell r="D22" t="str">
            <v>AFATINIB 40 MG CM REC</v>
          </cell>
          <cell r="E22" t="str">
            <v>CM</v>
          </cell>
          <cell r="F22" t="str">
            <v>FO</v>
          </cell>
          <cell r="G22">
            <v>84</v>
          </cell>
          <cell r="H22">
            <v>45026</v>
          </cell>
          <cell r="I22">
            <v>3782184</v>
          </cell>
          <cell r="J22">
            <v>101058</v>
          </cell>
          <cell r="K22" t="str">
            <v>P012</v>
          </cell>
        </row>
        <row r="23">
          <cell r="B23">
            <v>106001</v>
          </cell>
          <cell r="C23">
            <v>100000046</v>
          </cell>
          <cell r="D23" t="str">
            <v>AGUA ESTERIL P/INYECTABLES 10 ML AM</v>
          </cell>
          <cell r="E23" t="str">
            <v>AM</v>
          </cell>
          <cell r="F23" t="str">
            <v>FC</v>
          </cell>
          <cell r="G23">
            <v>1780</v>
          </cell>
          <cell r="H23">
            <v>238</v>
          </cell>
          <cell r="I23">
            <v>423640</v>
          </cell>
          <cell r="J23">
            <v>106001</v>
          </cell>
          <cell r="K23" t="str">
            <v>P013</v>
          </cell>
        </row>
        <row r="24">
          <cell r="B24">
            <v>108017</v>
          </cell>
          <cell r="C24">
            <v>100000044</v>
          </cell>
          <cell r="D24" t="str">
            <v>AGUA ESTERIL P/INY. 500 ML ENV. SEMIRRIGIDO</v>
          </cell>
          <cell r="E24" t="str">
            <v>MTZ</v>
          </cell>
          <cell r="F24" t="str">
            <v>FC</v>
          </cell>
          <cell r="G24">
            <v>45</v>
          </cell>
          <cell r="H24">
            <v>643</v>
          </cell>
          <cell r="I24">
            <v>28935</v>
          </cell>
          <cell r="J24">
            <v>108017</v>
          </cell>
          <cell r="K24" t="str">
            <v>P014</v>
          </cell>
        </row>
        <row r="25">
          <cell r="B25">
            <v>106073</v>
          </cell>
          <cell r="C25">
            <v>100000085</v>
          </cell>
          <cell r="D25" t="str">
            <v>ALBUMINA HUMANA 20% SOL. PERF. IV FAM 50ML</v>
          </cell>
          <cell r="E25" t="str">
            <v>FA</v>
          </cell>
          <cell r="F25" t="str">
            <v>FC</v>
          </cell>
          <cell r="G25">
            <v>186</v>
          </cell>
          <cell r="H25">
            <v>21950</v>
          </cell>
          <cell r="I25">
            <v>4082700</v>
          </cell>
          <cell r="J25">
            <v>106073</v>
          </cell>
          <cell r="K25" t="str">
            <v>P015</v>
          </cell>
        </row>
        <row r="26">
          <cell r="B26">
            <v>101098</v>
          </cell>
          <cell r="C26">
            <v>100005325</v>
          </cell>
          <cell r="D26" t="str">
            <v>ALECTINIB 150 MG CP</v>
          </cell>
          <cell r="E26" t="str">
            <v>CP</v>
          </cell>
          <cell r="F26" t="str">
            <v>FO</v>
          </cell>
          <cell r="G26">
            <v>1344</v>
          </cell>
          <cell r="H26">
            <v>13483</v>
          </cell>
          <cell r="I26">
            <v>18121152</v>
          </cell>
          <cell r="J26">
            <v>101098</v>
          </cell>
          <cell r="K26" t="str">
            <v>P016</v>
          </cell>
        </row>
        <row r="27">
          <cell r="B27">
            <v>109007</v>
          </cell>
          <cell r="C27">
            <v>100000100</v>
          </cell>
          <cell r="D27" t="str">
            <v>ALOPURINOL 100 MG CM/CM REC</v>
          </cell>
          <cell r="E27" t="str">
            <v>CM</v>
          </cell>
          <cell r="F27" t="str">
            <v>FC</v>
          </cell>
          <cell r="G27">
            <v>1295</v>
          </cell>
          <cell r="H27">
            <v>20</v>
          </cell>
          <cell r="I27">
            <v>25900</v>
          </cell>
          <cell r="J27">
            <v>109007</v>
          </cell>
          <cell r="K27" t="str">
            <v>P017</v>
          </cell>
        </row>
        <row r="28">
          <cell r="B28">
            <v>109043</v>
          </cell>
          <cell r="C28">
            <v>100000101</v>
          </cell>
          <cell r="D28" t="str">
            <v>ALOPURINOL 300 MG CM/C REC</v>
          </cell>
          <cell r="E28" t="str">
            <v>CM</v>
          </cell>
          <cell r="F28" t="str">
            <v>FC</v>
          </cell>
          <cell r="G28">
            <v>2297</v>
          </cell>
          <cell r="H28">
            <v>34</v>
          </cell>
          <cell r="I28">
            <v>78098</v>
          </cell>
          <cell r="J28">
            <v>109043</v>
          </cell>
          <cell r="K28" t="str">
            <v>P018</v>
          </cell>
        </row>
        <row r="29">
          <cell r="B29">
            <v>102028</v>
          </cell>
          <cell r="C29">
            <v>100000103</v>
          </cell>
          <cell r="D29" t="str">
            <v>ALPRAZOLAM 0,50 MG CM/CM REC</v>
          </cell>
          <cell r="E29" t="str">
            <v>CM</v>
          </cell>
          <cell r="F29" t="str">
            <v>FC</v>
          </cell>
          <cell r="G29">
            <v>15341</v>
          </cell>
          <cell r="H29">
            <v>15</v>
          </cell>
          <cell r="I29">
            <v>230115</v>
          </cell>
          <cell r="J29">
            <v>102028</v>
          </cell>
          <cell r="K29" t="str">
            <v>P019</v>
          </cell>
        </row>
        <row r="30">
          <cell r="B30">
            <v>103002</v>
          </cell>
          <cell r="C30">
            <v>100000113</v>
          </cell>
          <cell r="D30" t="str">
            <v>AMIKACINA 500 MG/2 ML SOL. INY. AM/FAM</v>
          </cell>
          <cell r="E30" t="str">
            <v>AM</v>
          </cell>
          <cell r="F30" t="str">
            <v>FC</v>
          </cell>
          <cell r="G30">
            <v>317</v>
          </cell>
          <cell r="H30">
            <v>250</v>
          </cell>
          <cell r="I30">
            <v>79250</v>
          </cell>
          <cell r="J30">
            <v>103002</v>
          </cell>
          <cell r="K30" t="str">
            <v>P020</v>
          </cell>
        </row>
        <row r="31">
          <cell r="B31">
            <v>108001</v>
          </cell>
          <cell r="C31">
            <v>100000114</v>
          </cell>
          <cell r="D31" t="str">
            <v>AMINOACIDOS ESENCIAL 10% SOL. IV. FAM 500ML</v>
          </cell>
          <cell r="E31" t="str">
            <v>FC</v>
          </cell>
          <cell r="F31" t="str">
            <v>FC</v>
          </cell>
          <cell r="G31">
            <v>23</v>
          </cell>
          <cell r="H31">
            <v>4820</v>
          </cell>
          <cell r="I31">
            <v>110860</v>
          </cell>
          <cell r="J31">
            <v>108001</v>
          </cell>
          <cell r="K31" t="str">
            <v>P021</v>
          </cell>
        </row>
        <row r="32">
          <cell r="B32">
            <v>106003</v>
          </cell>
          <cell r="C32">
            <v>100000118</v>
          </cell>
          <cell r="D32" t="str">
            <v>AMIODARONA 150 MG/3 ML SOL. INY. AM</v>
          </cell>
          <cell r="E32" t="str">
            <v>AM</v>
          </cell>
          <cell r="F32" t="str">
            <v>FC</v>
          </cell>
          <cell r="G32">
            <v>725</v>
          </cell>
          <cell r="H32">
            <v>363</v>
          </cell>
          <cell r="I32">
            <v>263175</v>
          </cell>
          <cell r="J32">
            <v>106003</v>
          </cell>
          <cell r="K32" t="str">
            <v>P022</v>
          </cell>
        </row>
        <row r="33">
          <cell r="B33">
            <v>104003</v>
          </cell>
          <cell r="C33">
            <v>100000119</v>
          </cell>
          <cell r="D33" t="str">
            <v>AMIODARONA 200 MG CM/CM REC</v>
          </cell>
          <cell r="E33" t="str">
            <v>CM</v>
          </cell>
          <cell r="F33" t="str">
            <v>FC</v>
          </cell>
          <cell r="G33">
            <v>1713</v>
          </cell>
          <cell r="H33">
            <v>83</v>
          </cell>
          <cell r="I33">
            <v>142179</v>
          </cell>
          <cell r="J33">
            <v>104003</v>
          </cell>
          <cell r="K33" t="str">
            <v>P023</v>
          </cell>
        </row>
        <row r="34">
          <cell r="B34">
            <v>104004</v>
          </cell>
          <cell r="C34">
            <v>100000120</v>
          </cell>
          <cell r="D34" t="str">
            <v>AMITRIPTILINA 25 MG CM REC</v>
          </cell>
          <cell r="E34" t="str">
            <v>CM</v>
          </cell>
          <cell r="F34" t="str">
            <v>FC</v>
          </cell>
          <cell r="G34">
            <v>6001</v>
          </cell>
          <cell r="H34">
            <v>29</v>
          </cell>
          <cell r="I34">
            <v>174029</v>
          </cell>
          <cell r="J34">
            <v>104004</v>
          </cell>
          <cell r="K34" t="str">
            <v>P024</v>
          </cell>
        </row>
        <row r="35">
          <cell r="B35">
            <v>103036</v>
          </cell>
          <cell r="C35">
            <v>100000122</v>
          </cell>
          <cell r="D35" t="str">
            <v>AMOXICILINA 500 MG CP/CM REC</v>
          </cell>
          <cell r="E35" t="str">
            <v>CP</v>
          </cell>
          <cell r="F35" t="str">
            <v>FC</v>
          </cell>
          <cell r="G35">
            <v>1243</v>
          </cell>
          <cell r="H35">
            <v>46</v>
          </cell>
          <cell r="I35">
            <v>57178</v>
          </cell>
          <cell r="J35">
            <v>103036</v>
          </cell>
          <cell r="K35" t="str">
            <v>P025</v>
          </cell>
        </row>
        <row r="36">
          <cell r="B36">
            <v>103047</v>
          </cell>
          <cell r="C36">
            <v>100000126</v>
          </cell>
          <cell r="D36" t="str">
            <v>AMOXICIL/CLAVULAN 875/125 MG CM/CM REC</v>
          </cell>
          <cell r="E36" t="str">
            <v>CM</v>
          </cell>
          <cell r="F36" t="str">
            <v>FC</v>
          </cell>
          <cell r="G36">
            <v>2812</v>
          </cell>
          <cell r="H36">
            <v>162</v>
          </cell>
          <cell r="I36">
            <v>455544</v>
          </cell>
          <cell r="J36">
            <v>103047</v>
          </cell>
          <cell r="K36" t="str">
            <v>P026</v>
          </cell>
        </row>
        <row r="37">
          <cell r="B37">
            <v>103037</v>
          </cell>
          <cell r="C37">
            <v>100002167</v>
          </cell>
          <cell r="D37" t="str">
            <v>AMPICILINA 1G POLVO/LIOF. P/SOL. INY. FAM</v>
          </cell>
          <cell r="E37" t="str">
            <v>FA</v>
          </cell>
          <cell r="F37" t="str">
            <v>FC</v>
          </cell>
          <cell r="G37">
            <v>100</v>
          </cell>
          <cell r="H37">
            <v>476</v>
          </cell>
          <cell r="I37">
            <v>47600</v>
          </cell>
          <cell r="J37">
            <v>103037</v>
          </cell>
          <cell r="K37" t="str">
            <v>P027</v>
          </cell>
        </row>
        <row r="38">
          <cell r="B38">
            <v>102175</v>
          </cell>
          <cell r="C38">
            <v>100001363</v>
          </cell>
          <cell r="D38" t="str">
            <v>AMPICILINA/SULBACTAM 1000/500 MG P/SOL. INY.FAM</v>
          </cell>
          <cell r="E38" t="str">
            <v>FA</v>
          </cell>
          <cell r="F38" t="str">
            <v>FC</v>
          </cell>
          <cell r="G38">
            <v>310</v>
          </cell>
          <cell r="H38">
            <v>672</v>
          </cell>
          <cell r="I38">
            <v>208320</v>
          </cell>
          <cell r="J38">
            <v>102175</v>
          </cell>
          <cell r="K38" t="str">
            <v>P028</v>
          </cell>
        </row>
        <row r="39">
          <cell r="B39">
            <v>209092</v>
          </cell>
          <cell r="C39">
            <v>100002022</v>
          </cell>
          <cell r="D39" t="str">
            <v>ANASTROZOL 1 MG CM REC</v>
          </cell>
          <cell r="E39" t="str">
            <v>CM</v>
          </cell>
          <cell r="F39" t="str">
            <v>FO</v>
          </cell>
          <cell r="G39">
            <v>25710</v>
          </cell>
          <cell r="H39">
            <v>153</v>
          </cell>
          <cell r="I39">
            <v>3933630</v>
          </cell>
          <cell r="J39">
            <v>209092</v>
          </cell>
          <cell r="K39" t="str">
            <v>P029</v>
          </cell>
        </row>
        <row r="40">
          <cell r="B40">
            <v>102062</v>
          </cell>
          <cell r="C40">
            <v>100003405</v>
          </cell>
          <cell r="D40" t="str">
            <v>ANIDULAFUNGINA 100MG POLVO LIOF. FAM</v>
          </cell>
          <cell r="E40" t="str">
            <v>FA</v>
          </cell>
          <cell r="F40" t="str">
            <v>FC</v>
          </cell>
          <cell r="G40">
            <v>3</v>
          </cell>
          <cell r="H40">
            <v>65331</v>
          </cell>
          <cell r="I40">
            <v>195993</v>
          </cell>
          <cell r="J40">
            <v>102062</v>
          </cell>
          <cell r="K40" t="str">
            <v>P030</v>
          </cell>
        </row>
        <row r="41">
          <cell r="B41">
            <v>104006</v>
          </cell>
          <cell r="C41">
            <v>100000165</v>
          </cell>
          <cell r="D41" t="str">
            <v>ATENOLOL 50 MG CM/CM REC</v>
          </cell>
          <cell r="E41" t="str">
            <v>CM</v>
          </cell>
          <cell r="F41" t="str">
            <v>FC</v>
          </cell>
          <cell r="G41">
            <v>755</v>
          </cell>
          <cell r="H41">
            <v>11</v>
          </cell>
          <cell r="I41">
            <v>8305</v>
          </cell>
          <cell r="J41">
            <v>104006</v>
          </cell>
          <cell r="K41" t="str">
            <v>P031</v>
          </cell>
        </row>
        <row r="42">
          <cell r="B42">
            <v>102067</v>
          </cell>
          <cell r="C42">
            <v>100002074</v>
          </cell>
          <cell r="D42" t="str">
            <v>ATORVASTATINA 40 MG CM REC</v>
          </cell>
          <cell r="E42" t="str">
            <v>CM</v>
          </cell>
          <cell r="F42" t="str">
            <v>FC</v>
          </cell>
          <cell r="G42">
            <v>3003</v>
          </cell>
          <cell r="H42">
            <v>23</v>
          </cell>
          <cell r="I42">
            <v>69069</v>
          </cell>
          <cell r="J42">
            <v>102067</v>
          </cell>
          <cell r="K42" t="str">
            <v>P032</v>
          </cell>
        </row>
        <row r="43">
          <cell r="B43">
            <v>106054</v>
          </cell>
          <cell r="C43">
            <v>100000170</v>
          </cell>
          <cell r="D43" t="str">
            <v>ATROPINA 1 MG/1 ML SOL. INY. AM</v>
          </cell>
          <cell r="E43" t="str">
            <v>AM</v>
          </cell>
          <cell r="F43" t="str">
            <v>FC</v>
          </cell>
          <cell r="G43">
            <v>516</v>
          </cell>
          <cell r="H43">
            <v>169</v>
          </cell>
          <cell r="I43">
            <v>87204</v>
          </cell>
          <cell r="J43">
            <v>106054</v>
          </cell>
          <cell r="K43" t="str">
            <v>P033</v>
          </cell>
        </row>
        <row r="44">
          <cell r="B44">
            <v>104005</v>
          </cell>
          <cell r="C44">
            <v>100000172</v>
          </cell>
          <cell r="D44" t="str">
            <v>ATROPINA/PAPAVERINA 0,5/40 MG CM/CM REC</v>
          </cell>
          <cell r="E44" t="str">
            <v>CM</v>
          </cell>
          <cell r="F44" t="str">
            <v>FC</v>
          </cell>
          <cell r="G44">
            <v>4727</v>
          </cell>
          <cell r="H44">
            <v>37</v>
          </cell>
          <cell r="I44">
            <v>174899</v>
          </cell>
          <cell r="J44">
            <v>104005</v>
          </cell>
          <cell r="K44" t="str">
            <v>P034</v>
          </cell>
        </row>
        <row r="45">
          <cell r="B45">
            <v>101097</v>
          </cell>
          <cell r="C45">
            <v>100003907</v>
          </cell>
          <cell r="D45" t="str">
            <v>AZACITIDINA 100 MG FA POLVO P/ SOL. INY. FAM</v>
          </cell>
          <cell r="E45" t="str">
            <v>FA</v>
          </cell>
          <cell r="F45" t="str">
            <v>FO</v>
          </cell>
          <cell r="G45">
            <v>2</v>
          </cell>
          <cell r="H45">
            <v>22064</v>
          </cell>
          <cell r="I45">
            <v>44128</v>
          </cell>
          <cell r="J45">
            <v>101097</v>
          </cell>
          <cell r="K45" t="str">
            <v>P035</v>
          </cell>
        </row>
        <row r="46">
          <cell r="B46">
            <v>106076</v>
          </cell>
          <cell r="C46" t="str">
            <v>NO ZGEN</v>
          </cell>
          <cell r="D46" t="str">
            <v>AZUL DE ISOSULFANO 1 % 5 ML AM SOL. INY.</v>
          </cell>
          <cell r="E46" t="str">
            <v>AM</v>
          </cell>
          <cell r="F46" t="str">
            <v>FC</v>
          </cell>
          <cell r="G46">
            <v>52</v>
          </cell>
          <cell r="H46">
            <v>29750</v>
          </cell>
          <cell r="I46">
            <v>1547000</v>
          </cell>
          <cell r="J46">
            <v>106076</v>
          </cell>
          <cell r="K46" t="str">
            <v>P036</v>
          </cell>
        </row>
        <row r="47">
          <cell r="B47">
            <v>201032</v>
          </cell>
          <cell r="C47">
            <v>100005737</v>
          </cell>
          <cell r="D47" t="str">
            <v>AZTREONAM 1G P/SOL. INY.FAM</v>
          </cell>
          <cell r="E47" t="str">
            <v>FA</v>
          </cell>
          <cell r="F47" t="str">
            <v>FC</v>
          </cell>
          <cell r="G47">
            <v>0</v>
          </cell>
          <cell r="H47">
            <v>5593</v>
          </cell>
          <cell r="I47">
            <v>0</v>
          </cell>
          <cell r="J47">
            <v>201032</v>
          </cell>
          <cell r="K47" t="str">
            <v>P037</v>
          </cell>
        </row>
        <row r="48">
          <cell r="B48">
            <v>106068</v>
          </cell>
          <cell r="C48" t="str">
            <v>NO ZGEN</v>
          </cell>
          <cell r="D48" t="str">
            <v>AZUL DE METILENO 1 % 5 ML AM  SOL. INY.</v>
          </cell>
          <cell r="E48" t="str">
            <v>AM</v>
          </cell>
          <cell r="F48" t="str">
            <v>FC</v>
          </cell>
          <cell r="G48">
            <v>19</v>
          </cell>
          <cell r="H48">
            <v>2440</v>
          </cell>
          <cell r="I48">
            <v>46360</v>
          </cell>
          <cell r="J48">
            <v>106068</v>
          </cell>
          <cell r="K48" t="str">
            <v>P038</v>
          </cell>
        </row>
        <row r="49">
          <cell r="B49">
            <v>101072</v>
          </cell>
          <cell r="C49">
            <v>100005268</v>
          </cell>
          <cell r="D49" t="str">
            <v>BENDAMUSTINA 100 MG SOL. INY. FAM</v>
          </cell>
          <cell r="E49" t="str">
            <v>FA</v>
          </cell>
          <cell r="F49" t="str">
            <v>FO</v>
          </cell>
          <cell r="G49">
            <v>138</v>
          </cell>
          <cell r="H49">
            <v>128520</v>
          </cell>
          <cell r="I49">
            <v>17735760</v>
          </cell>
          <cell r="J49">
            <v>101072</v>
          </cell>
          <cell r="K49" t="str">
            <v>P039</v>
          </cell>
        </row>
        <row r="50">
          <cell r="B50">
            <v>102179</v>
          </cell>
          <cell r="C50">
            <v>100000197</v>
          </cell>
          <cell r="D50" t="str">
            <v>BETAMETASONA FOSF/ACET 3/3 MG 3 A 5 ML RAPILENTA SUSP. INY. FAM</v>
          </cell>
          <cell r="E50" t="str">
            <v>FA</v>
          </cell>
          <cell r="F50" t="str">
            <v>FC</v>
          </cell>
          <cell r="G50">
            <v>42</v>
          </cell>
          <cell r="H50">
            <v>11305</v>
          </cell>
          <cell r="I50">
            <v>474810</v>
          </cell>
          <cell r="J50">
            <v>102179</v>
          </cell>
          <cell r="K50" t="str">
            <v>P040</v>
          </cell>
        </row>
        <row r="51">
          <cell r="B51">
            <v>106004</v>
          </cell>
          <cell r="C51">
            <v>100000194</v>
          </cell>
          <cell r="D51" t="str">
            <v>BETAMETASONA FOSF. DISOD. 4 MG/ML SOL. INY. AM</v>
          </cell>
          <cell r="E51" t="str">
            <v>AM</v>
          </cell>
          <cell r="F51" t="str">
            <v>FC</v>
          </cell>
          <cell r="G51">
            <v>410</v>
          </cell>
          <cell r="H51">
            <v>80</v>
          </cell>
          <cell r="I51">
            <v>32800</v>
          </cell>
          <cell r="J51">
            <v>106004</v>
          </cell>
          <cell r="K51" t="str">
            <v>P041</v>
          </cell>
        </row>
        <row r="52">
          <cell r="B52">
            <v>101045</v>
          </cell>
          <cell r="C52">
            <v>100004156</v>
          </cell>
          <cell r="D52" t="str">
            <v>BICALUTAMIDA 150 MG CM REC</v>
          </cell>
          <cell r="E52" t="str">
            <v>CM</v>
          </cell>
          <cell r="F52" t="str">
            <v>FO</v>
          </cell>
          <cell r="G52">
            <v>1992</v>
          </cell>
          <cell r="H52">
            <v>988</v>
          </cell>
          <cell r="I52">
            <v>1968096</v>
          </cell>
          <cell r="J52">
            <v>101045</v>
          </cell>
          <cell r="K52" t="str">
            <v>P042</v>
          </cell>
        </row>
        <row r="53">
          <cell r="B53">
            <v>101022</v>
          </cell>
          <cell r="C53">
            <v>100003892</v>
          </cell>
          <cell r="D53" t="str">
            <v>BICALUTAMIDA 50 MG CM REC</v>
          </cell>
          <cell r="E53" t="str">
            <v>CM</v>
          </cell>
          <cell r="F53" t="str">
            <v>FO</v>
          </cell>
          <cell r="G53">
            <v>1819</v>
          </cell>
          <cell r="H53">
            <v>194</v>
          </cell>
          <cell r="I53">
            <v>352886</v>
          </cell>
          <cell r="J53">
            <v>101022</v>
          </cell>
          <cell r="K53" t="str">
            <v>P043</v>
          </cell>
        </row>
        <row r="54">
          <cell r="B54">
            <v>209003</v>
          </cell>
          <cell r="C54">
            <v>100002092</v>
          </cell>
          <cell r="D54" t="str">
            <v>BLEOMICINA 15U.I. POLVO/LIOF. P/SOL. INY. FAM</v>
          </cell>
          <cell r="E54" t="str">
            <v>FA</v>
          </cell>
          <cell r="F54" t="str">
            <v>FO</v>
          </cell>
          <cell r="G54">
            <v>284</v>
          </cell>
          <cell r="H54">
            <v>29869</v>
          </cell>
          <cell r="I54">
            <v>8482796</v>
          </cell>
          <cell r="J54">
            <v>209003</v>
          </cell>
          <cell r="K54" t="str">
            <v>P044</v>
          </cell>
        </row>
        <row r="55">
          <cell r="B55">
            <v>101039</v>
          </cell>
          <cell r="C55">
            <v>100003428</v>
          </cell>
          <cell r="D55" t="str">
            <v>BORTEZOMIB 3,5 MG POLVO/LIOF. P/SOL. INY. FAM</v>
          </cell>
          <cell r="E55" t="str">
            <v>FA</v>
          </cell>
          <cell r="F55" t="str">
            <v>FO</v>
          </cell>
          <cell r="G55">
            <v>171</v>
          </cell>
          <cell r="H55">
            <v>10520</v>
          </cell>
          <cell r="I55">
            <v>1798920</v>
          </cell>
          <cell r="J55">
            <v>101039</v>
          </cell>
          <cell r="K55" t="str">
            <v>P045</v>
          </cell>
        </row>
        <row r="56">
          <cell r="B56">
            <v>107002</v>
          </cell>
          <cell r="C56">
            <v>100000236</v>
          </cell>
          <cell r="D56" t="str">
            <v>BROMHEXINA 4 MG/5 ML JARAB FC 100 A 120 ML</v>
          </cell>
          <cell r="E56" t="str">
            <v>FC</v>
          </cell>
          <cell r="F56" t="str">
            <v>FC</v>
          </cell>
          <cell r="G56">
            <v>72</v>
          </cell>
          <cell r="H56">
            <v>660</v>
          </cell>
          <cell r="I56">
            <v>47520</v>
          </cell>
          <cell r="J56">
            <v>107002</v>
          </cell>
          <cell r="K56" t="str">
            <v>P046</v>
          </cell>
        </row>
        <row r="57">
          <cell r="B57">
            <v>106006</v>
          </cell>
          <cell r="C57">
            <v>100000241</v>
          </cell>
          <cell r="D57" t="str">
            <v>BUPIVACAINA 0,5% 10 ML SOL. INY.  AM</v>
          </cell>
          <cell r="E57" t="str">
            <v>AM</v>
          </cell>
          <cell r="F57" t="str">
            <v>FC</v>
          </cell>
          <cell r="G57">
            <v>657</v>
          </cell>
          <cell r="H57">
            <v>393</v>
          </cell>
          <cell r="I57">
            <v>258201</v>
          </cell>
          <cell r="J57">
            <v>106006</v>
          </cell>
          <cell r="K57" t="str">
            <v>P047</v>
          </cell>
        </row>
        <row r="58">
          <cell r="B58">
            <v>106007</v>
          </cell>
          <cell r="C58">
            <v>100000243</v>
          </cell>
          <cell r="D58" t="str">
            <v>BUPIVACAINA HIPERBARICA 0,75% 2 ML SOL. INY. AM</v>
          </cell>
          <cell r="E58" t="str">
            <v>AM</v>
          </cell>
          <cell r="F58" t="str">
            <v>FC</v>
          </cell>
          <cell r="G58">
            <v>243</v>
          </cell>
          <cell r="H58">
            <v>1035</v>
          </cell>
          <cell r="I58">
            <v>251505</v>
          </cell>
          <cell r="J58">
            <v>106007</v>
          </cell>
          <cell r="K58" t="str">
            <v>P048</v>
          </cell>
        </row>
        <row r="59">
          <cell r="B59">
            <v>102146</v>
          </cell>
          <cell r="C59">
            <v>100005282</v>
          </cell>
          <cell r="D59" t="str">
            <v>BUPRENORFINA SIST. TRANSDERMICO 10 MCG/H</v>
          </cell>
          <cell r="E59" t="str">
            <v>PARCHE</v>
          </cell>
          <cell r="F59" t="str">
            <v>FC</v>
          </cell>
          <cell r="G59">
            <v>163</v>
          </cell>
          <cell r="H59">
            <v>5950</v>
          </cell>
          <cell r="I59">
            <v>969850</v>
          </cell>
          <cell r="J59">
            <v>102146</v>
          </cell>
          <cell r="K59" t="str">
            <v>P049</v>
          </cell>
        </row>
        <row r="60">
          <cell r="B60">
            <v>102027</v>
          </cell>
          <cell r="C60">
            <v>100000244</v>
          </cell>
          <cell r="D60" t="str">
            <v>BUPRENORFINA SIST. TRANSDERMICO 35 MCG/H</v>
          </cell>
          <cell r="E60" t="str">
            <v>PARCHE</v>
          </cell>
          <cell r="F60" t="str">
            <v>FC</v>
          </cell>
          <cell r="G60">
            <v>1257</v>
          </cell>
          <cell r="H60">
            <v>3808</v>
          </cell>
          <cell r="I60">
            <v>4786656</v>
          </cell>
          <cell r="J60">
            <v>102027</v>
          </cell>
          <cell r="K60" t="str">
            <v>P050</v>
          </cell>
        </row>
        <row r="61">
          <cell r="B61">
            <v>201043</v>
          </cell>
          <cell r="C61" t="str">
            <v>NO ZGEN</v>
          </cell>
          <cell r="D61" t="str">
            <v>CABAZITAXEL 60 MG/1,5 ML CONCENTRADO P/SOL. INY. FAM</v>
          </cell>
          <cell r="E61" t="str">
            <v>FA</v>
          </cell>
          <cell r="F61" t="str">
            <v>FO</v>
          </cell>
          <cell r="G61">
            <v>21</v>
          </cell>
          <cell r="H61">
            <v>1231650</v>
          </cell>
          <cell r="I61">
            <v>25864650</v>
          </cell>
          <cell r="J61">
            <v>201043</v>
          </cell>
          <cell r="K61" t="str">
            <v>P051</v>
          </cell>
        </row>
        <row r="62">
          <cell r="B62">
            <v>101033</v>
          </cell>
          <cell r="C62">
            <v>100001902</v>
          </cell>
          <cell r="D62" t="str">
            <v>CALCIO/VITAMINA D 500 MG/400 UI CM</v>
          </cell>
          <cell r="E62" t="str">
            <v>CM</v>
          </cell>
          <cell r="F62" t="str">
            <v>FC</v>
          </cell>
          <cell r="G62">
            <v>129032</v>
          </cell>
          <cell r="H62">
            <v>18</v>
          </cell>
          <cell r="I62">
            <v>2322576</v>
          </cell>
          <cell r="J62">
            <v>101033</v>
          </cell>
          <cell r="K62" t="str">
            <v>P052</v>
          </cell>
        </row>
        <row r="63">
          <cell r="B63">
            <v>106008</v>
          </cell>
          <cell r="C63">
            <v>100000279</v>
          </cell>
          <cell r="D63" t="str">
            <v>CALCIO GLUCONATO 10% 10 ML SOL. INY.  AM</v>
          </cell>
          <cell r="E63" t="str">
            <v>AM</v>
          </cell>
          <cell r="F63" t="str">
            <v>FC</v>
          </cell>
          <cell r="G63">
            <v>315</v>
          </cell>
          <cell r="H63">
            <v>238</v>
          </cell>
          <cell r="I63">
            <v>74970</v>
          </cell>
          <cell r="J63">
            <v>106008</v>
          </cell>
          <cell r="K63" t="str">
            <v>P053</v>
          </cell>
        </row>
        <row r="64">
          <cell r="B64">
            <v>102133</v>
          </cell>
          <cell r="C64">
            <v>100000281</v>
          </cell>
          <cell r="D64" t="str">
            <v>CALCITRIOL 0,5 MCG CP</v>
          </cell>
          <cell r="E64" t="str">
            <v>CP</v>
          </cell>
          <cell r="F64" t="str">
            <v>FC</v>
          </cell>
          <cell r="G64">
            <v>1844</v>
          </cell>
          <cell r="H64">
            <v>151</v>
          </cell>
          <cell r="I64">
            <v>278444</v>
          </cell>
          <cell r="J64">
            <v>102133</v>
          </cell>
          <cell r="K64" t="str">
            <v>P054</v>
          </cell>
        </row>
        <row r="65">
          <cell r="B65">
            <v>209105</v>
          </cell>
          <cell r="C65">
            <v>100003422</v>
          </cell>
          <cell r="D65" t="str">
            <v>CAPECITABINA 150 MG CM REC</v>
          </cell>
          <cell r="E65" t="str">
            <v>CM</v>
          </cell>
          <cell r="F65" t="str">
            <v>FO</v>
          </cell>
          <cell r="G65">
            <v>6373</v>
          </cell>
          <cell r="H65">
            <v>593</v>
          </cell>
          <cell r="I65">
            <v>3779189</v>
          </cell>
          <cell r="J65">
            <v>209105</v>
          </cell>
          <cell r="K65" t="str">
            <v>P055</v>
          </cell>
        </row>
        <row r="66">
          <cell r="B66">
            <v>209117</v>
          </cell>
          <cell r="C66">
            <v>100002025</v>
          </cell>
          <cell r="D66" t="str">
            <v>CAPECITABINA 500 MG CM REC</v>
          </cell>
          <cell r="E66" t="str">
            <v>CM</v>
          </cell>
          <cell r="F66" t="str">
            <v>FO</v>
          </cell>
          <cell r="G66">
            <v>4690</v>
          </cell>
          <cell r="H66">
            <v>671</v>
          </cell>
          <cell r="I66">
            <v>3146990</v>
          </cell>
          <cell r="J66">
            <v>209117</v>
          </cell>
          <cell r="K66" t="str">
            <v>P056</v>
          </cell>
        </row>
        <row r="67">
          <cell r="B67">
            <v>104047</v>
          </cell>
          <cell r="C67">
            <v>100000306</v>
          </cell>
          <cell r="D67" t="str">
            <v>CAPTOPRIL 25 MG CM/CM REC</v>
          </cell>
          <cell r="E67" t="str">
            <v>CM</v>
          </cell>
          <cell r="F67" t="str">
            <v>FC</v>
          </cell>
          <cell r="G67">
            <v>505</v>
          </cell>
          <cell r="H67">
            <v>36</v>
          </cell>
          <cell r="I67">
            <v>18180</v>
          </cell>
          <cell r="J67">
            <v>104047</v>
          </cell>
          <cell r="K67" t="str">
            <v>P057</v>
          </cell>
        </row>
        <row r="68">
          <cell r="B68">
            <v>104007</v>
          </cell>
          <cell r="C68">
            <v>100000309</v>
          </cell>
          <cell r="D68" t="str">
            <v>CARBAMAZEPINA 200 MG CM/CM REC</v>
          </cell>
          <cell r="E68" t="str">
            <v>CM</v>
          </cell>
          <cell r="F68" t="str">
            <v>FC</v>
          </cell>
          <cell r="G68">
            <v>1591</v>
          </cell>
          <cell r="H68">
            <v>34</v>
          </cell>
          <cell r="I68">
            <v>54094</v>
          </cell>
          <cell r="J68">
            <v>104007</v>
          </cell>
          <cell r="K68" t="str">
            <v>P058</v>
          </cell>
        </row>
        <row r="69">
          <cell r="B69">
            <v>209007</v>
          </cell>
          <cell r="C69">
            <v>100002347</v>
          </cell>
          <cell r="D69" t="str">
            <v>CARBOPLATINO 450 MG/45 MG SOL. INY. FAM</v>
          </cell>
          <cell r="E69" t="str">
            <v>FA</v>
          </cell>
          <cell r="F69" t="str">
            <v>FO</v>
          </cell>
          <cell r="G69">
            <v>546</v>
          </cell>
          <cell r="H69">
            <v>23205</v>
          </cell>
          <cell r="I69">
            <v>12669930</v>
          </cell>
          <cell r="J69">
            <v>209007</v>
          </cell>
          <cell r="K69" t="str">
            <v>P059</v>
          </cell>
        </row>
        <row r="70">
          <cell r="B70">
            <v>102148</v>
          </cell>
          <cell r="C70">
            <v>100002004</v>
          </cell>
          <cell r="D70" t="str">
            <v>CARVEDILOL 6,25 MG CM/CM REC.</v>
          </cell>
          <cell r="E70" t="str">
            <v>CM</v>
          </cell>
          <cell r="F70" t="str">
            <v>FC</v>
          </cell>
          <cell r="G70">
            <v>1460</v>
          </cell>
          <cell r="H70">
            <v>19</v>
          </cell>
          <cell r="I70">
            <v>27740</v>
          </cell>
          <cell r="J70">
            <v>102148</v>
          </cell>
          <cell r="K70" t="str">
            <v>P060</v>
          </cell>
        </row>
        <row r="71">
          <cell r="B71">
            <v>102060</v>
          </cell>
          <cell r="C71">
            <v>100000352</v>
          </cell>
          <cell r="D71" t="str">
            <v>CEFADROXILO 500 MG CP/CM REC</v>
          </cell>
          <cell r="E71" t="str">
            <v>CM/CP</v>
          </cell>
          <cell r="F71" t="str">
            <v>FC</v>
          </cell>
          <cell r="G71">
            <v>5323</v>
          </cell>
          <cell r="H71">
            <v>121</v>
          </cell>
          <cell r="I71">
            <v>644083</v>
          </cell>
          <cell r="J71">
            <v>102060</v>
          </cell>
          <cell r="K71" t="str">
            <v>P061</v>
          </cell>
        </row>
        <row r="72">
          <cell r="B72">
            <v>103005</v>
          </cell>
          <cell r="C72">
            <v>100000353</v>
          </cell>
          <cell r="D72" t="str">
            <v>CEFAZOLINA 1G POLVO/LIOF. P/SOL. INY. FAM</v>
          </cell>
          <cell r="E72" t="str">
            <v>FA</v>
          </cell>
          <cell r="F72" t="str">
            <v>FC</v>
          </cell>
          <cell r="G72">
            <v>1619</v>
          </cell>
          <cell r="H72">
            <v>363</v>
          </cell>
          <cell r="I72">
            <v>587697</v>
          </cell>
          <cell r="J72">
            <v>103005</v>
          </cell>
          <cell r="K72" t="str">
            <v>P062</v>
          </cell>
        </row>
        <row r="73">
          <cell r="B73">
            <v>103006</v>
          </cell>
          <cell r="C73">
            <v>100000357</v>
          </cell>
          <cell r="D73" t="str">
            <v>CEFTAZIDIMA 1G POLVO/LIOF P/SOL. INY. FAM</v>
          </cell>
          <cell r="E73" t="str">
            <v>FA</v>
          </cell>
          <cell r="F73" t="str">
            <v>FC</v>
          </cell>
          <cell r="G73">
            <v>87</v>
          </cell>
          <cell r="H73">
            <v>690</v>
          </cell>
          <cell r="I73">
            <v>60030</v>
          </cell>
          <cell r="J73">
            <v>103006</v>
          </cell>
          <cell r="K73" t="str">
            <v>P063</v>
          </cell>
        </row>
        <row r="74">
          <cell r="B74">
            <v>101093</v>
          </cell>
          <cell r="C74">
            <v>100005535</v>
          </cell>
          <cell r="D74" t="str">
            <v>CEFTAZ/AVIBACTAM 2/0,5 G SOL. INY. FAM</v>
          </cell>
          <cell r="E74" t="str">
            <v>FA</v>
          </cell>
          <cell r="F74" t="str">
            <v>FC</v>
          </cell>
          <cell r="G74">
            <v>37</v>
          </cell>
          <cell r="H74">
            <v>98854</v>
          </cell>
          <cell r="I74">
            <v>3657598</v>
          </cell>
          <cell r="J74">
            <v>101093</v>
          </cell>
          <cell r="K74" t="str">
            <v>P064</v>
          </cell>
        </row>
        <row r="75">
          <cell r="B75">
            <v>103007</v>
          </cell>
          <cell r="C75">
            <v>100000358</v>
          </cell>
          <cell r="D75" t="str">
            <v>CEFTRIAXONA 1G POLVO SOL. INY. FAM</v>
          </cell>
          <cell r="E75" t="str">
            <v>FA</v>
          </cell>
          <cell r="F75" t="str">
            <v>FC</v>
          </cell>
          <cell r="G75">
            <v>744</v>
          </cell>
          <cell r="H75">
            <v>267</v>
          </cell>
          <cell r="I75">
            <v>198648</v>
          </cell>
          <cell r="J75">
            <v>103007</v>
          </cell>
          <cell r="K75" t="str">
            <v>P065</v>
          </cell>
        </row>
        <row r="76">
          <cell r="B76">
            <v>106009</v>
          </cell>
          <cell r="C76">
            <v>100000368</v>
          </cell>
          <cell r="D76" t="str">
            <v>CIANOCOBALAMINA 0,1MG/1ML SOL. INY. AM/FAM</v>
          </cell>
          <cell r="E76" t="str">
            <v>AM</v>
          </cell>
          <cell r="F76" t="str">
            <v>FC</v>
          </cell>
          <cell r="G76">
            <v>95</v>
          </cell>
          <cell r="H76">
            <v>580</v>
          </cell>
          <cell r="I76">
            <v>55100</v>
          </cell>
          <cell r="J76">
            <v>106009</v>
          </cell>
          <cell r="K76" t="str">
            <v>P066</v>
          </cell>
        </row>
        <row r="77">
          <cell r="B77">
            <v>209010</v>
          </cell>
          <cell r="C77">
            <v>100000370</v>
          </cell>
          <cell r="D77" t="str">
            <v>CICLOFOSFAMIDA 50 MG GG</v>
          </cell>
          <cell r="E77" t="str">
            <v>GG</v>
          </cell>
          <cell r="F77" t="str">
            <v>FO</v>
          </cell>
          <cell r="G77">
            <v>108</v>
          </cell>
          <cell r="H77">
            <v>447</v>
          </cell>
          <cell r="I77">
            <v>48276</v>
          </cell>
          <cell r="J77">
            <v>209010</v>
          </cell>
          <cell r="K77" t="str">
            <v>P067</v>
          </cell>
        </row>
        <row r="78">
          <cell r="B78">
            <v>209008</v>
          </cell>
          <cell r="C78">
            <v>100000371</v>
          </cell>
          <cell r="D78" t="str">
            <v>CICLOFOSFAMIDA 1000 MG POLVO/LIOF. P/SOL. INY. FAM</v>
          </cell>
          <cell r="E78" t="str">
            <v>FA</v>
          </cell>
          <cell r="F78" t="str">
            <v>FO</v>
          </cell>
          <cell r="G78">
            <v>71</v>
          </cell>
          <cell r="H78">
            <v>12244</v>
          </cell>
          <cell r="I78">
            <v>869324</v>
          </cell>
          <cell r="J78">
            <v>209008</v>
          </cell>
          <cell r="K78" t="str">
            <v>P068</v>
          </cell>
        </row>
        <row r="79">
          <cell r="B79">
            <v>103033</v>
          </cell>
          <cell r="C79">
            <v>100000379</v>
          </cell>
          <cell r="D79" t="str">
            <v>CIPROFLOXACINO 200 MG/100 ML SOL. INY. FAM</v>
          </cell>
          <cell r="E79" t="str">
            <v>FA</v>
          </cell>
          <cell r="F79" t="str">
            <v>FC</v>
          </cell>
          <cell r="G79">
            <v>158</v>
          </cell>
          <cell r="H79">
            <v>1180</v>
          </cell>
          <cell r="I79">
            <v>186440</v>
          </cell>
          <cell r="J79">
            <v>103033</v>
          </cell>
          <cell r="K79" t="str">
            <v>P069</v>
          </cell>
        </row>
        <row r="80">
          <cell r="B80">
            <v>103008</v>
          </cell>
          <cell r="C80">
            <v>100000378</v>
          </cell>
          <cell r="D80" t="str">
            <v>CIPROFLOXACINO 500 MG CM/CM REC</v>
          </cell>
          <cell r="E80" t="str">
            <v>CM</v>
          </cell>
          <cell r="F80" t="str">
            <v>FC</v>
          </cell>
          <cell r="G80">
            <v>3482</v>
          </cell>
          <cell r="H80">
            <v>39</v>
          </cell>
          <cell r="I80">
            <v>135798</v>
          </cell>
          <cell r="J80">
            <v>103008</v>
          </cell>
          <cell r="K80" t="str">
            <v>P070</v>
          </cell>
        </row>
        <row r="81">
          <cell r="B81">
            <v>209014</v>
          </cell>
          <cell r="C81">
            <v>100000381</v>
          </cell>
          <cell r="D81" t="str">
            <v>CISPLATINO 50 MG/50 ML SOL. INY. FAM</v>
          </cell>
          <cell r="E81" t="str">
            <v>FA</v>
          </cell>
          <cell r="F81" t="str">
            <v>FO</v>
          </cell>
          <cell r="G81">
            <v>171</v>
          </cell>
          <cell r="H81">
            <v>11983</v>
          </cell>
          <cell r="I81">
            <v>2049093</v>
          </cell>
          <cell r="J81">
            <v>209014</v>
          </cell>
          <cell r="K81" t="str">
            <v>P071</v>
          </cell>
        </row>
        <row r="82">
          <cell r="B82">
            <v>209119</v>
          </cell>
          <cell r="C82">
            <v>100002349</v>
          </cell>
          <cell r="D82" t="str">
            <v>CITARABINA 1000 MG SOL. INY. FAM</v>
          </cell>
          <cell r="E82" t="str">
            <v>FA</v>
          </cell>
          <cell r="F82" t="str">
            <v>FO</v>
          </cell>
          <cell r="G82">
            <v>11</v>
          </cell>
          <cell r="H82">
            <v>17180</v>
          </cell>
          <cell r="I82">
            <v>188980</v>
          </cell>
          <cell r="J82">
            <v>209119</v>
          </cell>
          <cell r="K82" t="str">
            <v>P072</v>
          </cell>
        </row>
        <row r="83">
          <cell r="B83">
            <v>201039</v>
          </cell>
          <cell r="C83" t="str">
            <v>NO ZGEN</v>
          </cell>
          <cell r="D83" t="str">
            <v>CLADRIBINA 10 MG/5 ML SOL. INY. FAM</v>
          </cell>
          <cell r="E83" t="str">
            <v>FA</v>
          </cell>
          <cell r="F83" t="str">
            <v>FO</v>
          </cell>
          <cell r="G83">
            <v>0</v>
          </cell>
          <cell r="H83">
            <v>530588</v>
          </cell>
          <cell r="I83">
            <v>0</v>
          </cell>
          <cell r="J83">
            <v>201039</v>
          </cell>
          <cell r="K83" t="str">
            <v>P073</v>
          </cell>
        </row>
        <row r="84">
          <cell r="B84">
            <v>103045</v>
          </cell>
          <cell r="C84">
            <v>100000386</v>
          </cell>
          <cell r="D84" t="str">
            <v>CLARITROMICINA 500 MG CM/CM REC</v>
          </cell>
          <cell r="E84" t="str">
            <v>CM</v>
          </cell>
          <cell r="F84" t="str">
            <v>FC</v>
          </cell>
          <cell r="G84">
            <v>127</v>
          </cell>
          <cell r="H84">
            <v>196</v>
          </cell>
          <cell r="I84">
            <v>24892</v>
          </cell>
          <cell r="J84">
            <v>103045</v>
          </cell>
          <cell r="K84" t="str">
            <v>P074</v>
          </cell>
        </row>
        <row r="85">
          <cell r="B85">
            <v>101031</v>
          </cell>
          <cell r="C85">
            <v>100000389</v>
          </cell>
          <cell r="D85" t="str">
            <v>CLINDAMICINA 300 MG CP</v>
          </cell>
          <cell r="E85" t="str">
            <v>CP</v>
          </cell>
          <cell r="F85" t="str">
            <v>FC</v>
          </cell>
          <cell r="G85">
            <v>663</v>
          </cell>
          <cell r="H85">
            <v>774</v>
          </cell>
          <cell r="I85">
            <v>513162</v>
          </cell>
          <cell r="J85">
            <v>101031</v>
          </cell>
          <cell r="K85" t="str">
            <v>P075</v>
          </cell>
        </row>
        <row r="86">
          <cell r="B86">
            <v>103009</v>
          </cell>
          <cell r="C86">
            <v>100000388</v>
          </cell>
          <cell r="D86" t="str">
            <v>CLINDAMICINA 600 MG/4 ML SOL. INY. AM</v>
          </cell>
          <cell r="E86" t="str">
            <v>AM</v>
          </cell>
          <cell r="F86" t="str">
            <v>FC</v>
          </cell>
          <cell r="G86">
            <v>597</v>
          </cell>
          <cell r="H86">
            <v>571</v>
          </cell>
          <cell r="I86">
            <v>340887</v>
          </cell>
          <cell r="J86">
            <v>103009</v>
          </cell>
          <cell r="K86" t="str">
            <v>P076</v>
          </cell>
        </row>
        <row r="87">
          <cell r="B87">
            <v>102186</v>
          </cell>
          <cell r="C87">
            <v>100006806</v>
          </cell>
          <cell r="D87" t="str">
            <v>CLOBETASOL 0,05% CREMA DERMICA 25 A 30 G TU/PO</v>
          </cell>
          <cell r="E87" t="str">
            <v>TU</v>
          </cell>
          <cell r="F87" t="str">
            <v>FC</v>
          </cell>
          <cell r="G87">
            <v>41</v>
          </cell>
          <cell r="H87">
            <v>666</v>
          </cell>
          <cell r="I87">
            <v>27306</v>
          </cell>
          <cell r="J87">
            <v>102186</v>
          </cell>
          <cell r="K87" t="str">
            <v>P077</v>
          </cell>
        </row>
        <row r="88">
          <cell r="B88">
            <v>102083</v>
          </cell>
          <cell r="C88">
            <v>100003290</v>
          </cell>
          <cell r="D88" t="str">
            <v>CLONAZEPAM 0,5MG CM (NO BUCODISP NI DISP)</v>
          </cell>
          <cell r="E88" t="str">
            <v>CM</v>
          </cell>
          <cell r="F88" t="str">
            <v>FC</v>
          </cell>
          <cell r="G88">
            <v>6615</v>
          </cell>
          <cell r="H88">
            <v>18</v>
          </cell>
          <cell r="I88">
            <v>119070</v>
          </cell>
          <cell r="J88">
            <v>102083</v>
          </cell>
          <cell r="K88" t="str">
            <v>P078</v>
          </cell>
        </row>
        <row r="89">
          <cell r="B89">
            <v>102066</v>
          </cell>
          <cell r="C89">
            <v>100000397</v>
          </cell>
          <cell r="D89" t="str">
            <v>CLOPIDOGREL 75 MG CM REC</v>
          </cell>
          <cell r="E89" t="str">
            <v>CM</v>
          </cell>
          <cell r="F89" t="str">
            <v>FC</v>
          </cell>
          <cell r="G89">
            <v>78</v>
          </cell>
          <cell r="H89">
            <v>51</v>
          </cell>
          <cell r="I89">
            <v>3978</v>
          </cell>
          <cell r="J89">
            <v>102066</v>
          </cell>
          <cell r="K89" t="str">
            <v>P079</v>
          </cell>
        </row>
        <row r="90">
          <cell r="B90">
            <v>209085</v>
          </cell>
          <cell r="C90">
            <v>100000398</v>
          </cell>
          <cell r="D90" t="str">
            <v>CLORAMBUCILO 2 MG CM REC</v>
          </cell>
          <cell r="E90" t="str">
            <v>CM</v>
          </cell>
          <cell r="F90" t="str">
            <v>FO</v>
          </cell>
          <cell r="G90">
            <v>440</v>
          </cell>
          <cell r="H90">
            <v>1187</v>
          </cell>
          <cell r="I90">
            <v>522280</v>
          </cell>
          <cell r="J90">
            <v>209085</v>
          </cell>
          <cell r="K90" t="str">
            <v>P080</v>
          </cell>
        </row>
        <row r="91">
          <cell r="B91">
            <v>103011</v>
          </cell>
          <cell r="C91">
            <v>100002324</v>
          </cell>
          <cell r="D91" t="str">
            <v>CLORANFENICOL 0,5% SOL. OFT. FC 5 A 10 ML</v>
          </cell>
          <cell r="E91" t="str">
            <v>FC</v>
          </cell>
          <cell r="F91" t="str">
            <v>FC</v>
          </cell>
          <cell r="G91">
            <v>28</v>
          </cell>
          <cell r="H91">
            <v>512</v>
          </cell>
          <cell r="I91">
            <v>14336</v>
          </cell>
          <cell r="J91">
            <v>103011</v>
          </cell>
          <cell r="K91" t="str">
            <v>P081</v>
          </cell>
        </row>
        <row r="92">
          <cell r="B92">
            <v>103013</v>
          </cell>
          <cell r="C92">
            <v>100001903</v>
          </cell>
          <cell r="D92" t="str">
            <v>CLORANFENICOL 1% UNG. OFT. 3 A 5 G TU/PO</v>
          </cell>
          <cell r="E92" t="str">
            <v>TU</v>
          </cell>
          <cell r="F92" t="str">
            <v>FC</v>
          </cell>
          <cell r="G92">
            <v>38</v>
          </cell>
          <cell r="H92">
            <v>343</v>
          </cell>
          <cell r="I92">
            <v>13034</v>
          </cell>
          <cell r="J92">
            <v>103013</v>
          </cell>
          <cell r="K92" t="str">
            <v>P082</v>
          </cell>
        </row>
        <row r="93">
          <cell r="B93">
            <v>106011</v>
          </cell>
          <cell r="C93">
            <v>100000403</v>
          </cell>
          <cell r="D93" t="str">
            <v>CLORFENAMINA 10 MG/1 ML SOL. INY. AM</v>
          </cell>
          <cell r="E93" t="str">
            <v>AM</v>
          </cell>
          <cell r="F93" t="str">
            <v>FC</v>
          </cell>
          <cell r="G93">
            <v>1829</v>
          </cell>
          <cell r="H93">
            <v>81</v>
          </cell>
          <cell r="I93">
            <v>148149</v>
          </cell>
          <cell r="J93">
            <v>106011</v>
          </cell>
          <cell r="K93" t="str">
            <v>P083</v>
          </cell>
        </row>
        <row r="94">
          <cell r="B94">
            <v>104009</v>
          </cell>
          <cell r="C94">
            <v>100000404</v>
          </cell>
          <cell r="D94" t="str">
            <v>CLORFENAMINA 4 MG CM/CM REC</v>
          </cell>
          <cell r="E94" t="str">
            <v>CM</v>
          </cell>
          <cell r="F94" t="str">
            <v>FC</v>
          </cell>
          <cell r="G94">
            <v>6517</v>
          </cell>
          <cell r="H94">
            <v>7</v>
          </cell>
          <cell r="I94">
            <v>45619</v>
          </cell>
          <cell r="J94">
            <v>104009</v>
          </cell>
          <cell r="K94" t="str">
            <v>P084</v>
          </cell>
        </row>
        <row r="95">
          <cell r="B95">
            <v>102207</v>
          </cell>
          <cell r="C95">
            <v>100002007</v>
          </cell>
          <cell r="D95" t="str">
            <v>CLORHEXIDINA COLUT 0,12% 150 ML FRA</v>
          </cell>
          <cell r="E95" t="str">
            <v>FC</v>
          </cell>
          <cell r="F95" t="str">
            <v>FC</v>
          </cell>
          <cell r="G95">
            <v>0</v>
          </cell>
          <cell r="H95">
            <v>0</v>
          </cell>
          <cell r="I95">
            <v>0</v>
          </cell>
          <cell r="J95">
            <v>102207</v>
          </cell>
          <cell r="K95" t="str">
            <v>P085</v>
          </cell>
        </row>
        <row r="96">
          <cell r="B96">
            <v>106048</v>
          </cell>
          <cell r="C96">
            <v>100000410</v>
          </cell>
          <cell r="D96" t="str">
            <v>CLORPROMAZINA 25 MG/2 ML SOL. INY. AM</v>
          </cell>
          <cell r="E96" t="str">
            <v>AM</v>
          </cell>
          <cell r="F96" t="str">
            <v>FC</v>
          </cell>
          <cell r="G96">
            <v>0</v>
          </cell>
          <cell r="H96">
            <v>107</v>
          </cell>
          <cell r="I96">
            <v>0</v>
          </cell>
          <cell r="J96">
            <v>106048</v>
          </cell>
          <cell r="K96" t="str">
            <v>P086</v>
          </cell>
        </row>
        <row r="97">
          <cell r="B97">
            <v>103015</v>
          </cell>
          <cell r="C97">
            <v>100000419</v>
          </cell>
          <cell r="D97" t="str">
            <v>CLOXACILINA 500 MG POLVO/LIOF. P/SOL. INY. FAM</v>
          </cell>
          <cell r="E97" t="str">
            <v>FA</v>
          </cell>
          <cell r="F97" t="str">
            <v>FC</v>
          </cell>
          <cell r="G97">
            <v>1356</v>
          </cell>
          <cell r="H97">
            <v>225</v>
          </cell>
          <cell r="I97">
            <v>305100</v>
          </cell>
          <cell r="J97">
            <v>103015</v>
          </cell>
          <cell r="K97" t="str">
            <v>P087</v>
          </cell>
        </row>
        <row r="98">
          <cell r="B98">
            <v>102125</v>
          </cell>
          <cell r="C98">
            <v>100004356</v>
          </cell>
          <cell r="D98" t="str">
            <v>COMPLEJO PROTROMBINA 500 UI LIOF. P/SOL. INY. FAM</v>
          </cell>
          <cell r="E98" t="str">
            <v>FA</v>
          </cell>
          <cell r="F98" t="str">
            <v>FC</v>
          </cell>
          <cell r="G98">
            <v>8</v>
          </cell>
          <cell r="H98">
            <v>187611</v>
          </cell>
          <cell r="I98">
            <v>1500888</v>
          </cell>
          <cell r="J98">
            <v>102125</v>
          </cell>
          <cell r="K98" t="str">
            <v>P088</v>
          </cell>
        </row>
        <row r="99">
          <cell r="B99">
            <v>103049</v>
          </cell>
          <cell r="C99">
            <v>100001367</v>
          </cell>
          <cell r="D99" t="str">
            <v>COTRIMOXAZOL 400/80 MG/5ML SOL. INY. AM</v>
          </cell>
          <cell r="E99" t="str">
            <v>AM</v>
          </cell>
          <cell r="F99" t="str">
            <v>FC</v>
          </cell>
          <cell r="G99">
            <v>169</v>
          </cell>
          <cell r="H99">
            <v>655</v>
          </cell>
          <cell r="I99">
            <v>110695</v>
          </cell>
          <cell r="J99">
            <v>103049</v>
          </cell>
          <cell r="K99" t="str">
            <v>P089</v>
          </cell>
        </row>
        <row r="100">
          <cell r="B100">
            <v>103016</v>
          </cell>
          <cell r="C100">
            <v>100001368</v>
          </cell>
          <cell r="D100" t="str">
            <v>COTRIMOXAZOL FORTE 800/160 MG CM</v>
          </cell>
          <cell r="E100" t="str">
            <v>CM</v>
          </cell>
          <cell r="F100" t="str">
            <v>FC</v>
          </cell>
          <cell r="G100">
            <v>4823</v>
          </cell>
          <cell r="H100">
            <v>157</v>
          </cell>
          <cell r="I100">
            <v>757211</v>
          </cell>
          <cell r="J100">
            <v>103016</v>
          </cell>
          <cell r="K100" t="str">
            <v>P090</v>
          </cell>
        </row>
        <row r="101">
          <cell r="B101">
            <v>101065</v>
          </cell>
          <cell r="C101">
            <v>100004643</v>
          </cell>
          <cell r="D101" t="str">
            <v>CRIZOTINIB 250 MG CP</v>
          </cell>
          <cell r="E101" t="str">
            <v>CP</v>
          </cell>
          <cell r="F101" t="str">
            <v>FO</v>
          </cell>
          <cell r="G101">
            <v>180</v>
          </cell>
          <cell r="H101">
            <v>48616</v>
          </cell>
          <cell r="I101">
            <v>8750880</v>
          </cell>
          <cell r="J101">
            <v>101065</v>
          </cell>
          <cell r="K101" t="str">
            <v>P091</v>
          </cell>
        </row>
        <row r="102">
          <cell r="B102">
            <v>209064</v>
          </cell>
          <cell r="C102">
            <v>100002208</v>
          </cell>
          <cell r="D102" t="str">
            <v>DACARBAZINA 200 MG LIOF. P/SOL. INY. FAM</v>
          </cell>
          <cell r="E102" t="str">
            <v>FA</v>
          </cell>
          <cell r="F102" t="str">
            <v>FO</v>
          </cell>
          <cell r="G102">
            <v>174</v>
          </cell>
          <cell r="H102">
            <v>11624</v>
          </cell>
          <cell r="I102">
            <v>2022576</v>
          </cell>
          <cell r="J102">
            <v>209064</v>
          </cell>
          <cell r="K102" t="str">
            <v>P092</v>
          </cell>
        </row>
        <row r="103">
          <cell r="B103">
            <v>101016</v>
          </cell>
          <cell r="C103">
            <v>100000486</v>
          </cell>
          <cell r="D103" t="str">
            <v>DANTROLENO 20 MG LIOF. P/SOL. INY. FAM</v>
          </cell>
          <cell r="E103" t="str">
            <v>FA</v>
          </cell>
          <cell r="F103" t="str">
            <v>FC</v>
          </cell>
          <cell r="G103">
            <v>30</v>
          </cell>
          <cell r="H103">
            <v>221578</v>
          </cell>
          <cell r="I103">
            <v>6647340</v>
          </cell>
          <cell r="J103">
            <v>101016</v>
          </cell>
          <cell r="K103" t="str">
            <v>P093</v>
          </cell>
        </row>
        <row r="104">
          <cell r="B104">
            <v>101034</v>
          </cell>
          <cell r="C104">
            <v>100002037</v>
          </cell>
          <cell r="D104" t="str">
            <v>DASATINIB 100 MG CM REC</v>
          </cell>
          <cell r="E104" t="str">
            <v>CM</v>
          </cell>
          <cell r="F104" t="str">
            <v>FO</v>
          </cell>
          <cell r="G104">
            <v>1350</v>
          </cell>
          <cell r="H104">
            <v>17472</v>
          </cell>
          <cell r="I104">
            <v>23587200</v>
          </cell>
          <cell r="J104">
            <v>101034</v>
          </cell>
          <cell r="K104" t="str">
            <v>P094</v>
          </cell>
        </row>
        <row r="105">
          <cell r="B105">
            <v>101103</v>
          </cell>
          <cell r="C105">
            <v>100004001</v>
          </cell>
          <cell r="D105" t="str">
            <v>DEGARELIX 120 MG LIOF. P/SOL. INY. FAM</v>
          </cell>
          <cell r="E105" t="str">
            <v>FA</v>
          </cell>
          <cell r="F105" t="str">
            <v>FO</v>
          </cell>
          <cell r="G105">
            <v>117</v>
          </cell>
          <cell r="H105">
            <v>181526</v>
          </cell>
          <cell r="I105">
            <v>21238542</v>
          </cell>
          <cell r="J105">
            <v>101103</v>
          </cell>
          <cell r="K105" t="str">
            <v>P095</v>
          </cell>
        </row>
        <row r="106">
          <cell r="B106">
            <v>101104</v>
          </cell>
          <cell r="C106">
            <v>100004000</v>
          </cell>
          <cell r="D106" t="str">
            <v>DEGARELIX 80 MG LIOF. P/SOL. INY. FAM</v>
          </cell>
          <cell r="E106" t="str">
            <v>FA</v>
          </cell>
          <cell r="F106" t="str">
            <v>FO</v>
          </cell>
          <cell r="G106">
            <v>0</v>
          </cell>
          <cell r="H106">
            <v>192236</v>
          </cell>
          <cell r="I106">
            <v>0</v>
          </cell>
          <cell r="J106">
            <v>101104</v>
          </cell>
          <cell r="K106" t="str">
            <v>P096</v>
          </cell>
        </row>
        <row r="107">
          <cell r="B107">
            <v>101044</v>
          </cell>
          <cell r="C107" t="str">
            <v>NO ZGEN</v>
          </cell>
          <cell r="D107" t="str">
            <v>DENOSUMAB 120 MG SOL. INY. FAM</v>
          </cell>
          <cell r="E107" t="str">
            <v>FA</v>
          </cell>
          <cell r="F107" t="str">
            <v>FO</v>
          </cell>
          <cell r="G107">
            <v>23</v>
          </cell>
          <cell r="H107">
            <v>305604</v>
          </cell>
          <cell r="I107">
            <v>7028892</v>
          </cell>
          <cell r="J107">
            <v>101044</v>
          </cell>
          <cell r="K107" t="str">
            <v>P097</v>
          </cell>
        </row>
        <row r="108">
          <cell r="B108">
            <v>104054</v>
          </cell>
          <cell r="C108">
            <v>100002088</v>
          </cell>
          <cell r="D108" t="str">
            <v>DEXAMETASONA 4 MG CM</v>
          </cell>
          <cell r="E108" t="str">
            <v>CM</v>
          </cell>
          <cell r="F108" t="str">
            <v>FO</v>
          </cell>
          <cell r="G108">
            <v>11184</v>
          </cell>
          <cell r="H108">
            <v>464</v>
          </cell>
          <cell r="I108">
            <v>5189376</v>
          </cell>
          <cell r="J108">
            <v>104054</v>
          </cell>
          <cell r="K108" t="str">
            <v>P098</v>
          </cell>
        </row>
        <row r="109">
          <cell r="B109">
            <v>106058</v>
          </cell>
          <cell r="C109">
            <v>100000498</v>
          </cell>
          <cell r="D109" t="str">
            <v>DEXAMETASONA 4 MG/1ML SOL. INY. AM</v>
          </cell>
          <cell r="E109" t="str">
            <v>AM</v>
          </cell>
          <cell r="F109" t="str">
            <v>FC</v>
          </cell>
          <cell r="G109">
            <v>3448</v>
          </cell>
          <cell r="H109">
            <v>115</v>
          </cell>
          <cell r="I109">
            <v>396520</v>
          </cell>
          <cell r="J109">
            <v>106058</v>
          </cell>
          <cell r="K109" t="str">
            <v>P099</v>
          </cell>
        </row>
        <row r="110">
          <cell r="B110">
            <v>109050</v>
          </cell>
          <cell r="C110">
            <v>100003404</v>
          </cell>
          <cell r="D110" t="str">
            <v>DEXMEDETOMIDINA 100 MCG/ML SOL. INY. 2 A 4 ML AM/FAM</v>
          </cell>
          <cell r="E110" t="str">
            <v>AM</v>
          </cell>
          <cell r="F110" t="str">
            <v>FC</v>
          </cell>
          <cell r="G110">
            <v>226</v>
          </cell>
          <cell r="H110">
            <v>1404</v>
          </cell>
          <cell r="I110">
            <v>317304</v>
          </cell>
          <cell r="J110">
            <v>109050</v>
          </cell>
          <cell r="K110" t="str">
            <v>P100</v>
          </cell>
        </row>
        <row r="111">
          <cell r="B111">
            <v>102049</v>
          </cell>
          <cell r="C111" t="str">
            <v>NO ZGEN</v>
          </cell>
          <cell r="D111" t="str">
            <v>DICLOFENACO COLESTIRAMINA 140 MG CP LP</v>
          </cell>
          <cell r="E111" t="str">
            <v>CP</v>
          </cell>
          <cell r="F111" t="str">
            <v>FC</v>
          </cell>
          <cell r="G111">
            <v>375</v>
          </cell>
          <cell r="H111">
            <v>334</v>
          </cell>
          <cell r="I111">
            <v>125250</v>
          </cell>
          <cell r="J111">
            <v>102049</v>
          </cell>
          <cell r="K111" t="str">
            <v>P101</v>
          </cell>
        </row>
        <row r="112">
          <cell r="B112">
            <v>106012</v>
          </cell>
          <cell r="C112">
            <v>100000519</v>
          </cell>
          <cell r="D112" t="str">
            <v>DOBUTAMINA 250 MG/5 ML SOL. INY. AM</v>
          </cell>
          <cell r="E112" t="str">
            <v>AM</v>
          </cell>
          <cell r="F112" t="str">
            <v>FC</v>
          </cell>
          <cell r="G112">
            <v>51</v>
          </cell>
          <cell r="H112">
            <v>827</v>
          </cell>
          <cell r="I112">
            <v>42177</v>
          </cell>
          <cell r="J112">
            <v>106012</v>
          </cell>
          <cell r="K112" t="str">
            <v>P102</v>
          </cell>
        </row>
        <row r="113">
          <cell r="B113">
            <v>209146</v>
          </cell>
          <cell r="C113" t="str">
            <v>NO ZGEN</v>
          </cell>
          <cell r="D113" t="str">
            <v>DOCETAXEL 120 MG SOL. INY. FAM</v>
          </cell>
          <cell r="E113" t="str">
            <v>FA</v>
          </cell>
          <cell r="F113" t="str">
            <v>FO</v>
          </cell>
          <cell r="G113">
            <v>31</v>
          </cell>
          <cell r="H113">
            <v>99960</v>
          </cell>
          <cell r="I113">
            <v>3098760</v>
          </cell>
          <cell r="J113">
            <v>209146</v>
          </cell>
          <cell r="K113" t="str">
            <v>P103</v>
          </cell>
        </row>
        <row r="114">
          <cell r="B114">
            <v>209045</v>
          </cell>
          <cell r="C114">
            <v>100002220</v>
          </cell>
          <cell r="D114" t="str">
            <v>DOCETAXEL 80 MG SOL. INY. FAM</v>
          </cell>
          <cell r="E114" t="str">
            <v>FA</v>
          </cell>
          <cell r="F114" t="str">
            <v>FO</v>
          </cell>
          <cell r="G114">
            <v>69</v>
          </cell>
          <cell r="H114">
            <v>59405</v>
          </cell>
          <cell r="I114">
            <v>4098945</v>
          </cell>
          <cell r="J114">
            <v>209045</v>
          </cell>
          <cell r="K114" t="str">
            <v>P104</v>
          </cell>
        </row>
        <row r="115">
          <cell r="B115">
            <v>422002</v>
          </cell>
          <cell r="C115">
            <v>100000524</v>
          </cell>
          <cell r="D115" t="str">
            <v>DOMPERIDONA 10 MG CM/CM REC</v>
          </cell>
          <cell r="E115" t="str">
            <v>CM</v>
          </cell>
          <cell r="F115" t="str">
            <v>FC</v>
          </cell>
          <cell r="G115">
            <v>25878</v>
          </cell>
          <cell r="H115">
            <v>11</v>
          </cell>
          <cell r="I115">
            <v>284658</v>
          </cell>
          <cell r="J115">
            <v>422002</v>
          </cell>
          <cell r="K115" t="str">
            <v>P105</v>
          </cell>
        </row>
        <row r="116">
          <cell r="B116">
            <v>106013</v>
          </cell>
          <cell r="C116">
            <v>100000527</v>
          </cell>
          <cell r="D116" t="str">
            <v>DOPAMINA 200 MG/5 ML SOL INY. AM</v>
          </cell>
          <cell r="E116" t="str">
            <v>AM</v>
          </cell>
          <cell r="F116" t="str">
            <v>FC</v>
          </cell>
          <cell r="G116">
            <v>228</v>
          </cell>
          <cell r="H116">
            <v>405</v>
          </cell>
          <cell r="I116">
            <v>92340</v>
          </cell>
          <cell r="J116">
            <v>106013</v>
          </cell>
          <cell r="K116" t="str">
            <v>P106</v>
          </cell>
        </row>
        <row r="117">
          <cell r="B117">
            <v>102182</v>
          </cell>
          <cell r="C117">
            <v>100001960</v>
          </cell>
          <cell r="D117" t="str">
            <v>DOXICICLINA 100 MG CM/CP</v>
          </cell>
          <cell r="E117" t="str">
            <v>CM/CP</v>
          </cell>
          <cell r="F117" t="str">
            <v>FC</v>
          </cell>
          <cell r="G117">
            <v>430</v>
          </cell>
          <cell r="H117">
            <v>179</v>
          </cell>
          <cell r="I117">
            <v>76970</v>
          </cell>
          <cell r="J117">
            <v>102182</v>
          </cell>
          <cell r="K117" t="str">
            <v>P107</v>
          </cell>
        </row>
        <row r="118">
          <cell r="B118">
            <v>209123</v>
          </cell>
          <cell r="C118">
            <v>100002040</v>
          </cell>
          <cell r="D118" t="str">
            <v>DOXORRUBICINA 50 MG/25 ML SOL. INY. FAM</v>
          </cell>
          <cell r="E118" t="str">
            <v>FA</v>
          </cell>
          <cell r="F118" t="str">
            <v>FO</v>
          </cell>
          <cell r="G118">
            <v>555</v>
          </cell>
          <cell r="H118">
            <v>9996</v>
          </cell>
          <cell r="I118">
            <v>5547780</v>
          </cell>
          <cell r="J118">
            <v>209123</v>
          </cell>
          <cell r="K118" t="str">
            <v>P108</v>
          </cell>
        </row>
        <row r="119">
          <cell r="B119">
            <v>209151</v>
          </cell>
          <cell r="C119">
            <v>100004355</v>
          </cell>
          <cell r="D119" t="str">
            <v>DOXORRUBICINA LIPOSOMAL PEGILADA 20 MG SOL. INY. FAM</v>
          </cell>
          <cell r="E119" t="str">
            <v>FA</v>
          </cell>
          <cell r="F119" t="str">
            <v>FO</v>
          </cell>
          <cell r="G119">
            <v>80</v>
          </cell>
          <cell r="H119">
            <v>102222</v>
          </cell>
          <cell r="I119">
            <v>8177760</v>
          </cell>
          <cell r="J119">
            <v>209151</v>
          </cell>
          <cell r="K119" t="str">
            <v>P109</v>
          </cell>
        </row>
        <row r="120">
          <cell r="B120">
            <v>106014</v>
          </cell>
          <cell r="C120">
            <v>100000529</v>
          </cell>
          <cell r="D120" t="str">
            <v>DROPERIDOL 5 MG/2 ML SOL. INY. AM</v>
          </cell>
          <cell r="E120" t="str">
            <v>AM</v>
          </cell>
          <cell r="F120" t="str">
            <v>FC</v>
          </cell>
          <cell r="G120">
            <v>571</v>
          </cell>
          <cell r="H120">
            <v>414</v>
          </cell>
          <cell r="I120">
            <v>236394</v>
          </cell>
          <cell r="J120">
            <v>106014</v>
          </cell>
          <cell r="K120" t="str">
            <v>P110</v>
          </cell>
        </row>
        <row r="121">
          <cell r="B121">
            <v>101060</v>
          </cell>
          <cell r="C121">
            <v>100004005</v>
          </cell>
          <cell r="D121" t="str">
            <v xml:space="preserve">DULOXETINA 30 MG CM REC/CP </v>
          </cell>
          <cell r="E121" t="str">
            <v>CM/CP</v>
          </cell>
          <cell r="F121" t="str">
            <v>FC</v>
          </cell>
          <cell r="G121">
            <v>8682</v>
          </cell>
          <cell r="H121">
            <v>67</v>
          </cell>
          <cell r="I121">
            <v>581694</v>
          </cell>
          <cell r="J121">
            <v>101060</v>
          </cell>
          <cell r="K121" t="str">
            <v>P111</v>
          </cell>
        </row>
        <row r="122">
          <cell r="B122">
            <v>102156</v>
          </cell>
          <cell r="C122">
            <v>100004006</v>
          </cell>
          <cell r="D122" t="str">
            <v>DULOXETINA 60 MG CM REC/CP</v>
          </cell>
          <cell r="E122" t="str">
            <v>CM/CP</v>
          </cell>
          <cell r="F122" t="str">
            <v>FC</v>
          </cell>
          <cell r="G122">
            <v>2723</v>
          </cell>
          <cell r="H122">
            <v>74</v>
          </cell>
          <cell r="I122">
            <v>201502</v>
          </cell>
          <cell r="J122">
            <v>102156</v>
          </cell>
          <cell r="K122" t="str">
            <v>P112</v>
          </cell>
        </row>
        <row r="123">
          <cell r="B123">
            <v>106015</v>
          </cell>
          <cell r="C123">
            <v>100000535</v>
          </cell>
          <cell r="D123" t="str">
            <v xml:space="preserve">EFEDRINA SULFATO 6% 1ML SOL. INY. AM </v>
          </cell>
          <cell r="E123" t="str">
            <v>AM</v>
          </cell>
          <cell r="F123" t="str">
            <v>FC</v>
          </cell>
          <cell r="G123">
            <v>1289</v>
          </cell>
          <cell r="H123">
            <v>239</v>
          </cell>
          <cell r="I123">
            <v>308071</v>
          </cell>
          <cell r="J123">
            <v>106015</v>
          </cell>
          <cell r="K123" t="str">
            <v>P113</v>
          </cell>
        </row>
        <row r="124">
          <cell r="B124">
            <v>104011</v>
          </cell>
          <cell r="C124">
            <v>100000547</v>
          </cell>
          <cell r="D124" t="str">
            <v>ENALAPRIL 10 MG CM/CM REC</v>
          </cell>
          <cell r="E124" t="str">
            <v>CM</v>
          </cell>
          <cell r="F124" t="str">
            <v>FC</v>
          </cell>
          <cell r="G124">
            <v>1138</v>
          </cell>
          <cell r="H124">
            <v>5</v>
          </cell>
          <cell r="I124">
            <v>5690</v>
          </cell>
          <cell r="J124">
            <v>104011</v>
          </cell>
          <cell r="K124" t="str">
            <v>P114</v>
          </cell>
        </row>
        <row r="125">
          <cell r="B125">
            <v>101049</v>
          </cell>
          <cell r="C125">
            <v>100004644</v>
          </cell>
          <cell r="D125" t="str">
            <v>ENZALUTAMIDA 40 MG CP</v>
          </cell>
          <cell r="E125" t="str">
            <v>CP</v>
          </cell>
          <cell r="F125" t="str">
            <v>FO</v>
          </cell>
          <cell r="G125">
            <v>1440</v>
          </cell>
          <cell r="H125">
            <v>8854</v>
          </cell>
          <cell r="I125">
            <v>12749760</v>
          </cell>
          <cell r="J125">
            <v>101049</v>
          </cell>
          <cell r="K125" t="str">
            <v>P115</v>
          </cell>
        </row>
        <row r="126">
          <cell r="B126">
            <v>106016</v>
          </cell>
          <cell r="C126">
            <v>100000559</v>
          </cell>
          <cell r="D126" t="str">
            <v>EPINEFRINA 1MG/1ML SOL. INY. AM</v>
          </cell>
          <cell r="E126" t="str">
            <v>AM</v>
          </cell>
          <cell r="F126" t="str">
            <v>FC</v>
          </cell>
          <cell r="G126">
            <v>479</v>
          </cell>
          <cell r="H126">
            <v>238</v>
          </cell>
          <cell r="I126">
            <v>114002</v>
          </cell>
          <cell r="J126">
            <v>106016</v>
          </cell>
          <cell r="K126" t="str">
            <v>P116</v>
          </cell>
        </row>
        <row r="127">
          <cell r="B127">
            <v>102124</v>
          </cell>
          <cell r="C127">
            <v>100001916</v>
          </cell>
          <cell r="D127" t="str">
            <v>ERITROPOYETINA ALFA-BETA HUMANA RECOMB 4000 UI SOL. INY. JER/FAM</v>
          </cell>
          <cell r="E127" t="str">
            <v>FA</v>
          </cell>
          <cell r="F127" t="str">
            <v>FC</v>
          </cell>
          <cell r="G127">
            <v>855</v>
          </cell>
          <cell r="H127">
            <v>1348</v>
          </cell>
          <cell r="I127">
            <v>1152540</v>
          </cell>
          <cell r="J127">
            <v>102124</v>
          </cell>
          <cell r="K127" t="str">
            <v>P117</v>
          </cell>
        </row>
        <row r="128">
          <cell r="B128">
            <v>101020</v>
          </cell>
          <cell r="C128">
            <v>100004647</v>
          </cell>
          <cell r="D128" t="str">
            <v>ERLOTINIB 150 MG CM REC</v>
          </cell>
          <cell r="E128" t="str">
            <v>CM</v>
          </cell>
          <cell r="F128" t="str">
            <v>FO</v>
          </cell>
          <cell r="G128">
            <v>240</v>
          </cell>
          <cell r="H128">
            <v>8531</v>
          </cell>
          <cell r="I128">
            <v>2047440</v>
          </cell>
          <cell r="J128">
            <v>101020</v>
          </cell>
          <cell r="K128" t="str">
            <v>P118</v>
          </cell>
        </row>
        <row r="129">
          <cell r="B129">
            <v>103044</v>
          </cell>
          <cell r="C129">
            <v>100000582</v>
          </cell>
          <cell r="D129" t="str">
            <v>ERTAPENEM 1 G POLVO/LIOF. P/SOL. INY. FAM</v>
          </cell>
          <cell r="E129" t="str">
            <v>FA</v>
          </cell>
          <cell r="F129" t="str">
            <v>FC</v>
          </cell>
          <cell r="G129">
            <v>43</v>
          </cell>
          <cell r="H129">
            <v>26073</v>
          </cell>
          <cell r="I129">
            <v>1121139</v>
          </cell>
          <cell r="J129">
            <v>103044</v>
          </cell>
          <cell r="K129" t="str">
            <v>P119</v>
          </cell>
        </row>
        <row r="130">
          <cell r="B130">
            <v>102153</v>
          </cell>
          <cell r="C130">
            <v>100003210</v>
          </cell>
          <cell r="D130" t="str">
            <v>ESCITALOPRAM 10 MG CM REC</v>
          </cell>
          <cell r="E130" t="str">
            <v>CM</v>
          </cell>
          <cell r="F130" t="str">
            <v>FC</v>
          </cell>
          <cell r="G130">
            <v>7655</v>
          </cell>
          <cell r="H130">
            <v>25</v>
          </cell>
          <cell r="I130">
            <v>191375</v>
          </cell>
          <cell r="J130">
            <v>102153</v>
          </cell>
          <cell r="K130" t="str">
            <v>P120</v>
          </cell>
        </row>
        <row r="131">
          <cell r="B131">
            <v>106072</v>
          </cell>
          <cell r="C131">
            <v>100000585</v>
          </cell>
          <cell r="D131" t="str">
            <v>ESCOPOLAMINA N-BUTIL BROMUR 20 MG/ML SOL. INY. AM</v>
          </cell>
          <cell r="E131" t="str">
            <v>AM</v>
          </cell>
          <cell r="F131" t="str">
            <v>FC</v>
          </cell>
          <cell r="G131">
            <v>1366</v>
          </cell>
          <cell r="H131">
            <v>220</v>
          </cell>
          <cell r="I131">
            <v>300520</v>
          </cell>
          <cell r="J131">
            <v>106072</v>
          </cell>
          <cell r="K131" t="str">
            <v>P121</v>
          </cell>
        </row>
        <row r="132">
          <cell r="B132">
            <v>104045</v>
          </cell>
          <cell r="C132">
            <v>100000587</v>
          </cell>
          <cell r="D132" t="str">
            <v>ESPIRONOLACTONA 25 MG CM</v>
          </cell>
          <cell r="E132" t="str">
            <v>CM</v>
          </cell>
          <cell r="F132" t="str">
            <v>FC</v>
          </cell>
          <cell r="G132">
            <v>6881</v>
          </cell>
          <cell r="H132">
            <v>20</v>
          </cell>
          <cell r="I132">
            <v>137620</v>
          </cell>
          <cell r="J132">
            <v>104045</v>
          </cell>
          <cell r="K132" t="str">
            <v>P122</v>
          </cell>
        </row>
        <row r="133">
          <cell r="B133">
            <v>101006</v>
          </cell>
          <cell r="C133">
            <v>100000600</v>
          </cell>
          <cell r="D133" t="str">
            <v>ETOMIDATO 20 MG / 10 ML SOL. INY. AM</v>
          </cell>
          <cell r="E133" t="str">
            <v>AM</v>
          </cell>
          <cell r="F133" t="str">
            <v>FC</v>
          </cell>
          <cell r="G133">
            <v>56</v>
          </cell>
          <cell r="H133">
            <v>2261</v>
          </cell>
          <cell r="I133">
            <v>126616</v>
          </cell>
          <cell r="J133">
            <v>101006</v>
          </cell>
          <cell r="K133" t="str">
            <v>P123</v>
          </cell>
        </row>
        <row r="134">
          <cell r="B134">
            <v>209019</v>
          </cell>
          <cell r="C134">
            <v>100000602</v>
          </cell>
          <cell r="D134" t="str">
            <v>ETOPOSIDO 100 MG/5 ML SOL. INY. FAM</v>
          </cell>
          <cell r="E134" t="str">
            <v>FA</v>
          </cell>
          <cell r="F134" t="str">
            <v>FO</v>
          </cell>
          <cell r="G134">
            <v>334</v>
          </cell>
          <cell r="H134">
            <v>6283</v>
          </cell>
          <cell r="I134">
            <v>2098522</v>
          </cell>
          <cell r="J134">
            <v>209019</v>
          </cell>
          <cell r="K134" t="str">
            <v>P124</v>
          </cell>
        </row>
        <row r="135">
          <cell r="B135">
            <v>209058</v>
          </cell>
          <cell r="C135">
            <v>100000604</v>
          </cell>
          <cell r="D135" t="str">
            <v>EXEMESTANO 25 MG CM REC</v>
          </cell>
          <cell r="E135" t="str">
            <v>CM</v>
          </cell>
          <cell r="F135" t="str">
            <v>FO</v>
          </cell>
          <cell r="G135">
            <v>9150</v>
          </cell>
          <cell r="H135">
            <v>583</v>
          </cell>
          <cell r="I135">
            <v>5334450</v>
          </cell>
          <cell r="J135">
            <v>209058</v>
          </cell>
          <cell r="K135" t="str">
            <v>P125</v>
          </cell>
        </row>
        <row r="136">
          <cell r="B136">
            <v>102144</v>
          </cell>
          <cell r="C136">
            <v>100000618</v>
          </cell>
          <cell r="D136" t="str">
            <v>FAMOTIDINA 40 MG CM/CM REC.</v>
          </cell>
          <cell r="E136" t="str">
            <v>CM</v>
          </cell>
          <cell r="F136" t="str">
            <v>FC</v>
          </cell>
          <cell r="G136">
            <v>1236</v>
          </cell>
          <cell r="H136">
            <v>18</v>
          </cell>
          <cell r="I136">
            <v>22248</v>
          </cell>
          <cell r="J136">
            <v>102144</v>
          </cell>
          <cell r="K136" t="str">
            <v>P126</v>
          </cell>
        </row>
        <row r="137">
          <cell r="B137">
            <v>106066</v>
          </cell>
          <cell r="C137">
            <v>100002229</v>
          </cell>
          <cell r="D137" t="str">
            <v>FENILEFRINA 10 MG/1ML SOL. INY. AM</v>
          </cell>
          <cell r="E137" t="str">
            <v>AM</v>
          </cell>
          <cell r="F137" t="str">
            <v>FC</v>
          </cell>
          <cell r="G137">
            <v>99</v>
          </cell>
          <cell r="H137">
            <v>3832</v>
          </cell>
          <cell r="I137">
            <v>379368</v>
          </cell>
          <cell r="J137">
            <v>106066</v>
          </cell>
          <cell r="K137" t="str">
            <v>P127</v>
          </cell>
        </row>
        <row r="138">
          <cell r="B138">
            <v>102034</v>
          </cell>
          <cell r="C138">
            <v>100000629</v>
          </cell>
          <cell r="D138" t="str">
            <v>FENTANILO 0,5 MG/ 10 ML SOL. INY. AM</v>
          </cell>
          <cell r="E138" t="str">
            <v>AM</v>
          </cell>
          <cell r="F138" t="str">
            <v>FC</v>
          </cell>
          <cell r="G138">
            <v>2341</v>
          </cell>
          <cell r="H138">
            <v>226</v>
          </cell>
          <cell r="I138">
            <v>529066</v>
          </cell>
          <cell r="J138">
            <v>102034</v>
          </cell>
          <cell r="K138" t="str">
            <v>P128</v>
          </cell>
        </row>
        <row r="139">
          <cell r="B139">
            <v>102033</v>
          </cell>
          <cell r="C139">
            <v>100002164</v>
          </cell>
          <cell r="D139" t="str">
            <v>FENTANILO 25 MCG/HORA PARCHE TRANSDERMICO</v>
          </cell>
          <cell r="E139" t="str">
            <v>PARCHE</v>
          </cell>
          <cell r="F139" t="str">
            <v>FC</v>
          </cell>
          <cell r="G139">
            <v>352</v>
          </cell>
          <cell r="H139">
            <v>3296</v>
          </cell>
          <cell r="I139">
            <v>1160192</v>
          </cell>
          <cell r="J139">
            <v>102033</v>
          </cell>
          <cell r="K139" t="str">
            <v>P129</v>
          </cell>
        </row>
        <row r="140">
          <cell r="B140">
            <v>102007</v>
          </cell>
          <cell r="C140">
            <v>100000628</v>
          </cell>
          <cell r="D140" t="str">
            <v>FENTANILO 0,1 MG/ 2 ML SOL. INY. AM</v>
          </cell>
          <cell r="E140" t="str">
            <v>AM</v>
          </cell>
          <cell r="F140" t="str">
            <v>FC</v>
          </cell>
          <cell r="G140">
            <v>1176</v>
          </cell>
          <cell r="H140">
            <v>203</v>
          </cell>
          <cell r="I140">
            <v>238728</v>
          </cell>
          <cell r="J140">
            <v>102007</v>
          </cell>
          <cell r="K140" t="str">
            <v>P130</v>
          </cell>
        </row>
        <row r="141">
          <cell r="B141">
            <v>209039</v>
          </cell>
          <cell r="C141">
            <v>100000635</v>
          </cell>
          <cell r="D141" t="str">
            <v>FILGRASTIM 300 MG/0,5 ML SOL. INY. JERP</v>
          </cell>
          <cell r="E141" t="str">
            <v>JER</v>
          </cell>
          <cell r="F141" t="str">
            <v>FO</v>
          </cell>
          <cell r="G141">
            <v>955</v>
          </cell>
          <cell r="H141">
            <v>34773</v>
          </cell>
          <cell r="I141">
            <v>33208215</v>
          </cell>
          <cell r="J141">
            <v>209039</v>
          </cell>
          <cell r="K141" t="str">
            <v>P131</v>
          </cell>
        </row>
        <row r="142">
          <cell r="B142">
            <v>102093</v>
          </cell>
          <cell r="C142">
            <v>100002903</v>
          </cell>
          <cell r="D142" t="str">
            <v>FITOQUINONA 10 MG/1 ML SOL IV/ORAL AM</v>
          </cell>
          <cell r="E142" t="str">
            <v>AM</v>
          </cell>
          <cell r="F142" t="str">
            <v>FC</v>
          </cell>
          <cell r="G142">
            <v>8</v>
          </cell>
          <cell r="H142">
            <v>4305</v>
          </cell>
          <cell r="I142">
            <v>34440</v>
          </cell>
          <cell r="J142">
            <v>102093</v>
          </cell>
          <cell r="K142" t="str">
            <v>P132</v>
          </cell>
        </row>
        <row r="143">
          <cell r="B143">
            <v>102069</v>
          </cell>
          <cell r="C143">
            <v>100000642</v>
          </cell>
          <cell r="D143" t="str">
            <v>FLUCLOXACILINA 500 MG CP/CM REC</v>
          </cell>
          <cell r="E143" t="str">
            <v>CM/CP</v>
          </cell>
          <cell r="F143" t="str">
            <v>FC</v>
          </cell>
          <cell r="G143">
            <v>716</v>
          </cell>
          <cell r="H143">
            <v>101</v>
          </cell>
          <cell r="I143">
            <v>72316</v>
          </cell>
          <cell r="J143">
            <v>102069</v>
          </cell>
          <cell r="K143" t="str">
            <v>P133</v>
          </cell>
        </row>
        <row r="144">
          <cell r="B144">
            <v>103018</v>
          </cell>
          <cell r="C144">
            <v>100000644</v>
          </cell>
          <cell r="D144" t="str">
            <v>FLUCONAZOL 150 MG CP</v>
          </cell>
          <cell r="E144" t="str">
            <v>CP</v>
          </cell>
          <cell r="F144" t="str">
            <v>FC</v>
          </cell>
          <cell r="G144">
            <v>329</v>
          </cell>
          <cell r="H144">
            <v>107</v>
          </cell>
          <cell r="I144">
            <v>35203</v>
          </cell>
          <cell r="J144">
            <v>103018</v>
          </cell>
          <cell r="K144" t="str">
            <v>P134</v>
          </cell>
        </row>
        <row r="145">
          <cell r="B145">
            <v>103019</v>
          </cell>
          <cell r="C145">
            <v>100000645</v>
          </cell>
          <cell r="D145" t="str">
            <v>FLUCONAZOL 200 MG/100 ML SOL. INY. FAM</v>
          </cell>
          <cell r="E145" t="str">
            <v>FA</v>
          </cell>
          <cell r="F145" t="str">
            <v>FC</v>
          </cell>
          <cell r="G145">
            <v>301</v>
          </cell>
          <cell r="H145">
            <v>1050</v>
          </cell>
          <cell r="I145">
            <v>316050</v>
          </cell>
          <cell r="J145">
            <v>103019</v>
          </cell>
          <cell r="K145" t="str">
            <v>P135</v>
          </cell>
        </row>
        <row r="146">
          <cell r="B146">
            <v>102008</v>
          </cell>
          <cell r="C146">
            <v>100000649</v>
          </cell>
          <cell r="D146" t="str">
            <v>FLUMAZENIL 0,5 MG/5 ML SOL. INY. AM</v>
          </cell>
          <cell r="E146" t="str">
            <v>AM</v>
          </cell>
          <cell r="F146" t="str">
            <v>FC</v>
          </cell>
          <cell r="G146">
            <v>23</v>
          </cell>
          <cell r="H146">
            <v>655</v>
          </cell>
          <cell r="I146">
            <v>15065</v>
          </cell>
          <cell r="J146">
            <v>102008</v>
          </cell>
          <cell r="K146" t="str">
            <v>P136</v>
          </cell>
        </row>
        <row r="147">
          <cell r="B147">
            <v>101027</v>
          </cell>
          <cell r="C147">
            <v>100003448</v>
          </cell>
          <cell r="D147" t="str">
            <v>FLUOROURACILO 1000MG/20 ML SOL. INY. FAM</v>
          </cell>
          <cell r="E147" t="str">
            <v>FA</v>
          </cell>
          <cell r="F147" t="str">
            <v>FO</v>
          </cell>
          <cell r="G147">
            <v>1038</v>
          </cell>
          <cell r="H147">
            <v>4046</v>
          </cell>
          <cell r="I147">
            <v>4199748</v>
          </cell>
          <cell r="J147">
            <v>101027</v>
          </cell>
          <cell r="K147" t="str">
            <v>P137</v>
          </cell>
        </row>
        <row r="148">
          <cell r="B148">
            <v>106021</v>
          </cell>
          <cell r="C148">
            <v>100000669</v>
          </cell>
          <cell r="D148" t="str">
            <v xml:space="preserve">FOSFATO MONOPOT 15% 10 ML SOL. INY. AM </v>
          </cell>
          <cell r="E148" t="str">
            <v>AM</v>
          </cell>
          <cell r="F148" t="str">
            <v>FC</v>
          </cell>
          <cell r="G148">
            <v>279</v>
          </cell>
          <cell r="H148">
            <v>500</v>
          </cell>
          <cell r="I148">
            <v>139500</v>
          </cell>
          <cell r="J148">
            <v>106021</v>
          </cell>
          <cell r="K148" t="str">
            <v>P138</v>
          </cell>
        </row>
        <row r="149">
          <cell r="B149">
            <v>105002</v>
          </cell>
          <cell r="C149">
            <v>100000548</v>
          </cell>
          <cell r="D149" t="str">
            <v>ENEMA FOSFATO ADULTO FC 130 A 133 ML</v>
          </cell>
          <cell r="E149" t="str">
            <v>FC</v>
          </cell>
          <cell r="F149" t="str">
            <v>FC</v>
          </cell>
          <cell r="G149">
            <v>102</v>
          </cell>
          <cell r="H149">
            <v>1131</v>
          </cell>
          <cell r="I149">
            <v>115362</v>
          </cell>
          <cell r="J149">
            <v>105002</v>
          </cell>
          <cell r="K149" t="str">
            <v>P139</v>
          </cell>
        </row>
        <row r="150">
          <cell r="B150">
            <v>104014</v>
          </cell>
          <cell r="C150">
            <v>100000688</v>
          </cell>
          <cell r="D150" t="str">
            <v>FUMARATO FERROSO+VITAMINAS CM/CM REC/CP</v>
          </cell>
          <cell r="E150" t="str">
            <v>CM/CP</v>
          </cell>
          <cell r="F150" t="str">
            <v>FC</v>
          </cell>
          <cell r="G150">
            <v>11900</v>
          </cell>
          <cell r="H150">
            <v>70</v>
          </cell>
          <cell r="I150">
            <v>833000</v>
          </cell>
          <cell r="J150">
            <v>104014</v>
          </cell>
          <cell r="K150" t="str">
            <v>P140</v>
          </cell>
        </row>
        <row r="151">
          <cell r="B151">
            <v>106024</v>
          </cell>
          <cell r="C151">
            <v>100000693</v>
          </cell>
          <cell r="D151" t="str">
            <v>FUROSEMIDA 20 MG/1-2 ML SOL. INY. AM</v>
          </cell>
          <cell r="E151" t="str">
            <v>AM</v>
          </cell>
          <cell r="F151" t="str">
            <v>FC</v>
          </cell>
          <cell r="G151">
            <v>466</v>
          </cell>
          <cell r="H151">
            <v>74</v>
          </cell>
          <cell r="I151">
            <v>34484</v>
          </cell>
          <cell r="J151">
            <v>106024</v>
          </cell>
          <cell r="K151" t="str">
            <v>P141</v>
          </cell>
        </row>
        <row r="152">
          <cell r="B152">
            <v>104016</v>
          </cell>
          <cell r="C152">
            <v>100000694</v>
          </cell>
          <cell r="D152" t="str">
            <v>FUROSEMIDA 40 MG CM/CM REC</v>
          </cell>
          <cell r="E152" t="str">
            <v>CM</v>
          </cell>
          <cell r="F152" t="str">
            <v>FC</v>
          </cell>
          <cell r="G152">
            <v>5182</v>
          </cell>
          <cell r="H152">
            <v>14</v>
          </cell>
          <cell r="I152">
            <v>72548</v>
          </cell>
          <cell r="J152">
            <v>104016</v>
          </cell>
          <cell r="K152" t="str">
            <v>P142</v>
          </cell>
        </row>
        <row r="153">
          <cell r="B153">
            <v>102177</v>
          </cell>
          <cell r="C153">
            <v>100000697</v>
          </cell>
          <cell r="D153" t="str">
            <v>GABAPENTINA 400 MG CP/CM REC.</v>
          </cell>
          <cell r="E153" t="str">
            <v>CM/CP</v>
          </cell>
          <cell r="F153" t="str">
            <v>FC</v>
          </cell>
          <cell r="G153">
            <v>799</v>
          </cell>
          <cell r="H153">
            <v>66</v>
          </cell>
          <cell r="I153">
            <v>52734</v>
          </cell>
          <cell r="J153">
            <v>102177</v>
          </cell>
          <cell r="K153" t="str">
            <v>P143</v>
          </cell>
        </row>
        <row r="154">
          <cell r="B154">
            <v>209155</v>
          </cell>
          <cell r="C154">
            <v>100004642</v>
          </cell>
          <cell r="D154" t="str">
            <v>GEFITINIB 250 MG CM REC</v>
          </cell>
          <cell r="E154" t="str">
            <v>CM</v>
          </cell>
          <cell r="F154" t="str">
            <v>FO</v>
          </cell>
          <cell r="G154">
            <v>30</v>
          </cell>
          <cell r="H154">
            <v>3451</v>
          </cell>
          <cell r="I154">
            <v>103530</v>
          </cell>
          <cell r="J154">
            <v>209155</v>
          </cell>
          <cell r="K154" t="str">
            <v>P144</v>
          </cell>
        </row>
        <row r="155">
          <cell r="B155">
            <v>102213</v>
          </cell>
          <cell r="C155">
            <v>100000924</v>
          </cell>
          <cell r="D155" t="str">
            <v>LIDOCAINA/CLORHEXIDINA 2/0,5% GEL TOPICO JER 11 ML.</v>
          </cell>
          <cell r="E155" t="str">
            <v>JER</v>
          </cell>
          <cell r="F155" t="str">
            <v>FC</v>
          </cell>
          <cell r="G155">
            <v>0</v>
          </cell>
          <cell r="H155">
            <v>4760</v>
          </cell>
          <cell r="I155">
            <v>0</v>
          </cell>
          <cell r="J155">
            <v>102213</v>
          </cell>
          <cell r="K155" t="str">
            <v>P145</v>
          </cell>
        </row>
        <row r="156">
          <cell r="B156">
            <v>353005</v>
          </cell>
          <cell r="C156" t="str">
            <v>NO ZGEN</v>
          </cell>
          <cell r="D156" t="str">
            <v>GEL ORAL CONCENTRADO 15 ML SO PARA ENJUAGUE BUCAL (GELCLAIR®)</v>
          </cell>
          <cell r="E156" t="str">
            <v>SO</v>
          </cell>
          <cell r="F156" t="str">
            <v>FO</v>
          </cell>
          <cell r="G156">
            <v>128</v>
          </cell>
          <cell r="H156">
            <v>4522</v>
          </cell>
          <cell r="I156">
            <v>578816</v>
          </cell>
          <cell r="J156">
            <v>353005</v>
          </cell>
          <cell r="K156" t="str">
            <v>P146</v>
          </cell>
        </row>
        <row r="157">
          <cell r="B157">
            <v>103020</v>
          </cell>
          <cell r="C157">
            <v>100000715</v>
          </cell>
          <cell r="D157" t="str">
            <v>GENTAMICINA 80 MG/2ML SOL. INY. AM</v>
          </cell>
          <cell r="E157" t="str">
            <v>AM</v>
          </cell>
          <cell r="F157" t="str">
            <v>FC</v>
          </cell>
          <cell r="G157">
            <v>48</v>
          </cell>
          <cell r="H157">
            <v>131</v>
          </cell>
          <cell r="I157">
            <v>6288</v>
          </cell>
          <cell r="J157">
            <v>103020</v>
          </cell>
          <cell r="K157" t="str">
            <v>P147</v>
          </cell>
        </row>
        <row r="158">
          <cell r="B158">
            <v>209051</v>
          </cell>
          <cell r="C158">
            <v>100006810</v>
          </cell>
          <cell r="D158" t="str">
            <v>GEMCITABINA 1000 MG SOL. INY. FAM</v>
          </cell>
          <cell r="E158" t="str">
            <v>FA</v>
          </cell>
          <cell r="F158" t="str">
            <v>FO</v>
          </cell>
          <cell r="G158">
            <v>341</v>
          </cell>
          <cell r="H158">
            <v>22491</v>
          </cell>
          <cell r="I158">
            <v>7669431</v>
          </cell>
          <cell r="J158">
            <v>209051</v>
          </cell>
          <cell r="K158" t="str">
            <v>P148</v>
          </cell>
        </row>
        <row r="159">
          <cell r="B159">
            <v>106025</v>
          </cell>
          <cell r="C159">
            <v>100000730</v>
          </cell>
          <cell r="D159" t="str">
            <v xml:space="preserve">GLUCOSA 30% 20 ML SOL. INY. I.V.  AM </v>
          </cell>
          <cell r="E159" t="str">
            <v>AM</v>
          </cell>
          <cell r="F159" t="str">
            <v>FC</v>
          </cell>
          <cell r="G159">
            <v>8</v>
          </cell>
          <cell r="H159">
            <v>571</v>
          </cell>
          <cell r="I159">
            <v>4568</v>
          </cell>
          <cell r="J159">
            <v>106025</v>
          </cell>
          <cell r="K159" t="str">
            <v>P149</v>
          </cell>
        </row>
        <row r="160">
          <cell r="B160">
            <v>108003</v>
          </cell>
          <cell r="C160">
            <v>100000727</v>
          </cell>
          <cell r="D160" t="str">
            <v>GLUCOSA 10% 500 ML ENV. SEMIRRIGIDO</v>
          </cell>
          <cell r="E160" t="str">
            <v>MTZ</v>
          </cell>
          <cell r="F160" t="str">
            <v>FC</v>
          </cell>
          <cell r="G160">
            <v>4</v>
          </cell>
          <cell r="H160">
            <v>655</v>
          </cell>
          <cell r="I160">
            <v>2620</v>
          </cell>
          <cell r="J160">
            <v>108003</v>
          </cell>
          <cell r="K160" t="str">
            <v>P150</v>
          </cell>
        </row>
        <row r="161">
          <cell r="B161">
            <v>108002</v>
          </cell>
          <cell r="C161">
            <v>100000729</v>
          </cell>
          <cell r="D161" t="str">
            <v>GLUCOSA 10% 1000 ML ENV. SEMIRRIGIDO</v>
          </cell>
          <cell r="E161" t="str">
            <v xml:space="preserve">MTZ </v>
          </cell>
          <cell r="F161" t="str">
            <v>FC</v>
          </cell>
          <cell r="G161">
            <v>87</v>
          </cell>
          <cell r="H161">
            <v>1250</v>
          </cell>
          <cell r="I161">
            <v>108750</v>
          </cell>
          <cell r="J161">
            <v>108002</v>
          </cell>
          <cell r="K161" t="str">
            <v>P151</v>
          </cell>
        </row>
        <row r="162">
          <cell r="B162">
            <v>108004</v>
          </cell>
          <cell r="C162">
            <v>100002361</v>
          </cell>
          <cell r="D162" t="str">
            <v>GLUCOSA 30% 500 ML ENV. SEMIRRIGIDO</v>
          </cell>
          <cell r="E162" t="str">
            <v>MTZ</v>
          </cell>
          <cell r="F162" t="str">
            <v>FC</v>
          </cell>
          <cell r="G162">
            <v>24</v>
          </cell>
          <cell r="H162">
            <v>928</v>
          </cell>
          <cell r="I162">
            <v>22272</v>
          </cell>
          <cell r="J162">
            <v>108004</v>
          </cell>
          <cell r="K162" t="str">
            <v>P152</v>
          </cell>
        </row>
        <row r="163">
          <cell r="B163">
            <v>108027</v>
          </cell>
          <cell r="C163">
            <v>100000726</v>
          </cell>
          <cell r="D163" t="str">
            <v>GLUCOSA 5% 1000 ML BOLSA</v>
          </cell>
          <cell r="E163" t="str">
            <v>MTZ</v>
          </cell>
          <cell r="F163" t="str">
            <v>FC</v>
          </cell>
          <cell r="G163">
            <v>136</v>
          </cell>
          <cell r="H163">
            <v>1035</v>
          </cell>
          <cell r="I163">
            <v>140760</v>
          </cell>
          <cell r="J163">
            <v>108027</v>
          </cell>
          <cell r="K163" t="str">
            <v>P153</v>
          </cell>
        </row>
        <row r="164">
          <cell r="B164">
            <v>108006</v>
          </cell>
          <cell r="C164">
            <v>100000721</v>
          </cell>
          <cell r="D164" t="str">
            <v>GLUCOSA 5% 250 ML ENV. SEMIRRIGIDO</v>
          </cell>
          <cell r="E164" t="str">
            <v>MTZ</v>
          </cell>
          <cell r="F164" t="str">
            <v>FC</v>
          </cell>
          <cell r="G164">
            <v>110</v>
          </cell>
          <cell r="H164">
            <v>696</v>
          </cell>
          <cell r="I164">
            <v>76560</v>
          </cell>
          <cell r="J164">
            <v>108006</v>
          </cell>
          <cell r="K164" t="str">
            <v>P154</v>
          </cell>
        </row>
        <row r="165">
          <cell r="B165">
            <v>108026</v>
          </cell>
          <cell r="C165" t="str">
            <v>NO ZGEN</v>
          </cell>
          <cell r="D165" t="str">
            <v>GLUCOSA 5 % 500 ML BOLSA</v>
          </cell>
          <cell r="E165" t="str">
            <v>MTZ</v>
          </cell>
          <cell r="F165" t="str">
            <v>FC</v>
          </cell>
          <cell r="G165">
            <v>44</v>
          </cell>
          <cell r="H165">
            <v>740</v>
          </cell>
          <cell r="I165">
            <v>32560</v>
          </cell>
          <cell r="J165">
            <v>108026</v>
          </cell>
          <cell r="K165" t="str">
            <v>P155</v>
          </cell>
        </row>
        <row r="166">
          <cell r="B166">
            <v>108009</v>
          </cell>
          <cell r="C166">
            <v>100000735</v>
          </cell>
          <cell r="D166" t="str">
            <v>GLUCOSAL. ISOT. 1 L ENV. SEMIRRIGIDO</v>
          </cell>
          <cell r="E166" t="str">
            <v>MTZ</v>
          </cell>
          <cell r="F166" t="str">
            <v>FC</v>
          </cell>
          <cell r="G166">
            <v>335</v>
          </cell>
          <cell r="H166">
            <v>696</v>
          </cell>
          <cell r="I166">
            <v>233160</v>
          </cell>
          <cell r="J166">
            <v>108009</v>
          </cell>
          <cell r="K166" t="str">
            <v>P156</v>
          </cell>
        </row>
        <row r="167">
          <cell r="B167">
            <v>108010</v>
          </cell>
          <cell r="C167">
            <v>100000733</v>
          </cell>
          <cell r="D167" t="str">
            <v>GLUCOSAL. ISOT 500 ML ENV. SEMIRRIGIDO</v>
          </cell>
          <cell r="E167" t="str">
            <v>MTZ</v>
          </cell>
          <cell r="F167" t="str">
            <v>FC</v>
          </cell>
          <cell r="G167">
            <v>131</v>
          </cell>
          <cell r="H167">
            <v>714</v>
          </cell>
          <cell r="I167">
            <v>93534</v>
          </cell>
          <cell r="J167">
            <v>108010</v>
          </cell>
          <cell r="K167" t="str">
            <v>P157</v>
          </cell>
        </row>
        <row r="168">
          <cell r="B168">
            <v>209148</v>
          </cell>
          <cell r="C168">
            <v>100002337</v>
          </cell>
          <cell r="D168" t="str">
            <v>GOSERELINA 10,8 MG JERP C / IMPL. SUBCUT.</v>
          </cell>
          <cell r="E168" t="str">
            <v>JER</v>
          </cell>
          <cell r="F168" t="str">
            <v>FO</v>
          </cell>
          <cell r="G168">
            <v>170</v>
          </cell>
          <cell r="H168">
            <v>89726</v>
          </cell>
          <cell r="I168">
            <v>15253420</v>
          </cell>
          <cell r="J168">
            <v>209148</v>
          </cell>
          <cell r="K168" t="str">
            <v>P158</v>
          </cell>
        </row>
        <row r="169">
          <cell r="B169">
            <v>104017</v>
          </cell>
          <cell r="C169">
            <v>100000764</v>
          </cell>
          <cell r="D169" t="str">
            <v>HALOPERIDOL 1 MG CM/CM REC</v>
          </cell>
          <cell r="E169" t="str">
            <v>CM</v>
          </cell>
          <cell r="F169" t="str">
            <v>FC</v>
          </cell>
          <cell r="G169">
            <v>414</v>
          </cell>
          <cell r="H169">
            <v>84</v>
          </cell>
          <cell r="I169">
            <v>34776</v>
          </cell>
          <cell r="J169">
            <v>104017</v>
          </cell>
          <cell r="K169" t="str">
            <v>P159</v>
          </cell>
        </row>
        <row r="170">
          <cell r="B170">
            <v>106026</v>
          </cell>
          <cell r="C170">
            <v>100000763</v>
          </cell>
          <cell r="D170" t="str">
            <v>HALOPERIDOL 5 MG/1 ML SOL. INY. AM</v>
          </cell>
          <cell r="E170" t="str">
            <v>AM</v>
          </cell>
          <cell r="F170" t="str">
            <v>FC</v>
          </cell>
          <cell r="G170">
            <v>534</v>
          </cell>
          <cell r="H170">
            <v>125</v>
          </cell>
          <cell r="I170">
            <v>66750</v>
          </cell>
          <cell r="J170">
            <v>106026</v>
          </cell>
          <cell r="K170" t="str">
            <v>P160</v>
          </cell>
        </row>
        <row r="171">
          <cell r="B171">
            <v>106027</v>
          </cell>
          <cell r="C171">
            <v>100000766</v>
          </cell>
          <cell r="D171" t="str">
            <v>HEPARINA SODICA 25.000 U.I./5 ML SOL. INY. FAM</v>
          </cell>
          <cell r="E171" t="str">
            <v>FA</v>
          </cell>
          <cell r="F171" t="str">
            <v>FC</v>
          </cell>
          <cell r="G171">
            <v>529</v>
          </cell>
          <cell r="H171">
            <v>2678</v>
          </cell>
          <cell r="I171">
            <v>1416662</v>
          </cell>
          <cell r="J171">
            <v>106027</v>
          </cell>
          <cell r="K171" t="str">
            <v>P161</v>
          </cell>
        </row>
        <row r="172">
          <cell r="B172">
            <v>106085</v>
          </cell>
          <cell r="C172">
            <v>100000553</v>
          </cell>
          <cell r="D172" t="str">
            <v>ENOXAPARINA 80 MG/0,8ML SOL.INY. JERP</v>
          </cell>
          <cell r="E172" t="str">
            <v>JER</v>
          </cell>
          <cell r="F172" t="str">
            <v>FC</v>
          </cell>
          <cell r="G172">
            <v>173</v>
          </cell>
          <cell r="H172">
            <v>4046</v>
          </cell>
          <cell r="I172">
            <v>699958</v>
          </cell>
          <cell r="J172">
            <v>106085</v>
          </cell>
          <cell r="K172" t="str">
            <v>P162</v>
          </cell>
        </row>
        <row r="173">
          <cell r="B173">
            <v>106022</v>
          </cell>
          <cell r="C173">
            <v>100000484</v>
          </cell>
          <cell r="D173" t="str">
            <v>ENOXAPARINA 20 MG/0,4ML SOL.INY. JERP</v>
          </cell>
          <cell r="E173" t="str">
            <v>JER</v>
          </cell>
          <cell r="F173" t="str">
            <v>FC</v>
          </cell>
          <cell r="G173">
            <v>43</v>
          </cell>
          <cell r="H173">
            <v>2380</v>
          </cell>
          <cell r="I173">
            <v>102340</v>
          </cell>
          <cell r="J173">
            <v>106022</v>
          </cell>
          <cell r="K173" t="str">
            <v>P163</v>
          </cell>
        </row>
        <row r="174">
          <cell r="B174">
            <v>106023</v>
          </cell>
          <cell r="C174">
            <v>100000551</v>
          </cell>
          <cell r="D174" t="str">
            <v>ENOXAPARINA 40 MG/0,4ML SOL.INY. JERP</v>
          </cell>
          <cell r="E174" t="str">
            <v>JER</v>
          </cell>
          <cell r="F174" t="str">
            <v>FC</v>
          </cell>
          <cell r="G174">
            <v>4887</v>
          </cell>
          <cell r="H174">
            <v>2023</v>
          </cell>
          <cell r="I174">
            <v>9886401</v>
          </cell>
          <cell r="J174">
            <v>106023</v>
          </cell>
          <cell r="K174" t="str">
            <v>P164</v>
          </cell>
        </row>
        <row r="175">
          <cell r="B175">
            <v>102035</v>
          </cell>
          <cell r="C175">
            <v>100000552</v>
          </cell>
          <cell r="D175" t="str">
            <v>ENOXAPARINA 60 MG/0,6ML SOL.INY. JERP</v>
          </cell>
          <cell r="E175" t="str">
            <v>JER</v>
          </cell>
          <cell r="F175" t="str">
            <v>FC</v>
          </cell>
          <cell r="G175">
            <v>1300</v>
          </cell>
          <cell r="H175">
            <v>2737</v>
          </cell>
          <cell r="I175">
            <v>3558100</v>
          </cell>
          <cell r="J175">
            <v>102035</v>
          </cell>
          <cell r="K175" t="str">
            <v>P165</v>
          </cell>
        </row>
        <row r="176">
          <cell r="B176">
            <v>104035</v>
          </cell>
          <cell r="C176">
            <v>100000769</v>
          </cell>
          <cell r="D176" t="str">
            <v>HIDROCLOROTIAZIDA 50 MG CM/CM REC</v>
          </cell>
          <cell r="E176" t="str">
            <v>CM</v>
          </cell>
          <cell r="F176" t="str">
            <v>FC</v>
          </cell>
          <cell r="G176">
            <v>853</v>
          </cell>
          <cell r="H176">
            <v>8</v>
          </cell>
          <cell r="I176">
            <v>6824</v>
          </cell>
          <cell r="J176">
            <v>104035</v>
          </cell>
          <cell r="K176" t="str">
            <v>P166</v>
          </cell>
        </row>
        <row r="177">
          <cell r="B177">
            <v>102190</v>
          </cell>
          <cell r="C177">
            <v>100000771</v>
          </cell>
          <cell r="D177" t="str">
            <v>HIDROCORTISONA 1% CREMA  10 A 20 G TU/PO</v>
          </cell>
          <cell r="E177" t="str">
            <v>TU</v>
          </cell>
          <cell r="F177" t="str">
            <v>FC</v>
          </cell>
          <cell r="G177">
            <v>49</v>
          </cell>
          <cell r="H177">
            <v>768</v>
          </cell>
          <cell r="I177">
            <v>37632</v>
          </cell>
          <cell r="J177">
            <v>102190</v>
          </cell>
          <cell r="K177" t="str">
            <v>P167</v>
          </cell>
        </row>
        <row r="178">
          <cell r="B178">
            <v>106028</v>
          </cell>
          <cell r="C178">
            <v>100000772</v>
          </cell>
          <cell r="D178" t="str">
            <v>HIDROCORTISONA 100 MG LIOF. P/SOL. INY. FAM</v>
          </cell>
          <cell r="E178" t="str">
            <v>FA</v>
          </cell>
          <cell r="F178" t="str">
            <v>FC</v>
          </cell>
          <cell r="G178">
            <v>304</v>
          </cell>
          <cell r="H178">
            <v>417</v>
          </cell>
          <cell r="I178">
            <v>126768</v>
          </cell>
          <cell r="J178">
            <v>106028</v>
          </cell>
          <cell r="K178" t="str">
            <v>P168</v>
          </cell>
        </row>
        <row r="179">
          <cell r="B179">
            <v>209164</v>
          </cell>
          <cell r="C179">
            <v>100000776</v>
          </cell>
          <cell r="D179" t="str">
            <v>HIDROXICARBAMIDA 500 MG CP</v>
          </cell>
          <cell r="E179" t="str">
            <v>CP</v>
          </cell>
          <cell r="F179" t="str">
            <v>FO</v>
          </cell>
          <cell r="G179">
            <v>456</v>
          </cell>
          <cell r="H179">
            <v>353</v>
          </cell>
          <cell r="I179">
            <v>160968</v>
          </cell>
          <cell r="J179">
            <v>209164</v>
          </cell>
          <cell r="K179" t="str">
            <v>P169</v>
          </cell>
        </row>
        <row r="180">
          <cell r="B180">
            <v>106094</v>
          </cell>
          <cell r="C180">
            <v>100000777</v>
          </cell>
          <cell r="D180" t="str">
            <v>HIERRO 20MG/5 ML SOL. INY. I.V. AM</v>
          </cell>
          <cell r="E180" t="str">
            <v>AM</v>
          </cell>
          <cell r="F180" t="str">
            <v>FC</v>
          </cell>
          <cell r="G180">
            <v>29</v>
          </cell>
          <cell r="H180">
            <v>619</v>
          </cell>
          <cell r="I180">
            <v>17951</v>
          </cell>
          <cell r="J180">
            <v>106094</v>
          </cell>
          <cell r="K180" t="str">
            <v>P170</v>
          </cell>
        </row>
        <row r="181">
          <cell r="B181">
            <v>104018</v>
          </cell>
          <cell r="C181">
            <v>100000806</v>
          </cell>
          <cell r="D181" t="str">
            <v>IBUPROFENO 400 MG CM/CM REC</v>
          </cell>
          <cell r="E181" t="str">
            <v>CM</v>
          </cell>
          <cell r="F181" t="str">
            <v>FC</v>
          </cell>
          <cell r="G181">
            <v>7525</v>
          </cell>
          <cell r="H181">
            <v>17</v>
          </cell>
          <cell r="I181">
            <v>127925</v>
          </cell>
          <cell r="J181">
            <v>104018</v>
          </cell>
          <cell r="K181" t="str">
            <v>P171</v>
          </cell>
        </row>
        <row r="182">
          <cell r="B182">
            <v>209059</v>
          </cell>
          <cell r="C182">
            <v>100002238</v>
          </cell>
          <cell r="D182" t="str">
            <v>IFOSFAMIDA 2 G POLVO/LIOF. P/ SOL. INY. FAM</v>
          </cell>
          <cell r="E182" t="str">
            <v>FA</v>
          </cell>
          <cell r="F182" t="str">
            <v>FO</v>
          </cell>
          <cell r="G182">
            <v>1037</v>
          </cell>
          <cell r="H182">
            <v>55066</v>
          </cell>
          <cell r="I182">
            <v>57103442</v>
          </cell>
          <cell r="J182">
            <v>209059</v>
          </cell>
          <cell r="K182" t="str">
            <v>P172</v>
          </cell>
        </row>
        <row r="183">
          <cell r="B183">
            <v>101017</v>
          </cell>
          <cell r="C183">
            <v>100000809</v>
          </cell>
          <cell r="D183" t="str">
            <v>IMATINIB 100 MG CM REC</v>
          </cell>
          <cell r="E183" t="str">
            <v>CM</v>
          </cell>
          <cell r="F183" t="str">
            <v>FO</v>
          </cell>
          <cell r="G183">
            <v>660</v>
          </cell>
          <cell r="H183">
            <v>1663</v>
          </cell>
          <cell r="I183">
            <v>1097580</v>
          </cell>
          <cell r="J183">
            <v>101017</v>
          </cell>
          <cell r="K183" t="str">
            <v>P173</v>
          </cell>
        </row>
        <row r="184">
          <cell r="B184">
            <v>101015</v>
          </cell>
          <cell r="C184">
            <v>100002047</v>
          </cell>
          <cell r="D184" t="str">
            <v>IMATINIB 400 MG CM REC</v>
          </cell>
          <cell r="E184" t="str">
            <v>CM</v>
          </cell>
          <cell r="F184" t="str">
            <v>FO</v>
          </cell>
          <cell r="G184">
            <v>2760</v>
          </cell>
          <cell r="H184">
            <v>771</v>
          </cell>
          <cell r="I184">
            <v>2127960</v>
          </cell>
          <cell r="J184">
            <v>101015</v>
          </cell>
          <cell r="K184" t="str">
            <v>P174</v>
          </cell>
        </row>
        <row r="185">
          <cell r="B185">
            <v>103029</v>
          </cell>
          <cell r="C185">
            <v>100000810</v>
          </cell>
          <cell r="D185" t="str">
            <v>IMIPENEM-CILASTATINA 500/500 MG LIOF. P/SOL. INY. FAM</v>
          </cell>
          <cell r="E185" t="str">
            <v>FA</v>
          </cell>
          <cell r="F185" t="str">
            <v>FC</v>
          </cell>
          <cell r="G185">
            <v>23</v>
          </cell>
          <cell r="H185">
            <v>2975</v>
          </cell>
          <cell r="I185">
            <v>68425</v>
          </cell>
          <cell r="J185">
            <v>103029</v>
          </cell>
          <cell r="K185" t="str">
            <v>P175</v>
          </cell>
        </row>
        <row r="186">
          <cell r="B186">
            <v>102158</v>
          </cell>
          <cell r="C186" t="str">
            <v>NO ZGEN</v>
          </cell>
          <cell r="D186" t="str">
            <v>IMIQUIMOD 5 % CREMA 5-10 G TU/PO</v>
          </cell>
          <cell r="E186" t="str">
            <v>TU</v>
          </cell>
          <cell r="F186" t="str">
            <v>FC</v>
          </cell>
          <cell r="G186">
            <v>7</v>
          </cell>
          <cell r="H186">
            <v>13792</v>
          </cell>
          <cell r="I186">
            <v>96544</v>
          </cell>
          <cell r="J186">
            <v>102158</v>
          </cell>
          <cell r="K186" t="str">
            <v>P176</v>
          </cell>
        </row>
        <row r="187">
          <cell r="B187">
            <v>106056</v>
          </cell>
          <cell r="C187">
            <v>100000822</v>
          </cell>
          <cell r="D187" t="str">
            <v>INSULINA CRIS. HUMAN 100 UI/ML FA 10 ML</v>
          </cell>
          <cell r="E187" t="str">
            <v>FA</v>
          </cell>
          <cell r="F187" t="str">
            <v>FC</v>
          </cell>
          <cell r="G187">
            <v>33</v>
          </cell>
          <cell r="H187">
            <v>4986</v>
          </cell>
          <cell r="I187">
            <v>164538</v>
          </cell>
          <cell r="J187">
            <v>106056</v>
          </cell>
          <cell r="K187" t="str">
            <v>P177</v>
          </cell>
        </row>
        <row r="188">
          <cell r="B188">
            <v>102192</v>
          </cell>
          <cell r="C188">
            <v>100004060</v>
          </cell>
          <cell r="D188" t="str">
            <v xml:space="preserve">INSUL GLARG 300U/ML SOL. INY. DISPOSITIVO PRELLENADO </v>
          </cell>
          <cell r="E188" t="str">
            <v>JER</v>
          </cell>
          <cell r="F188" t="str">
            <v>FC</v>
          </cell>
          <cell r="G188">
            <v>64</v>
          </cell>
          <cell r="H188">
            <v>16797</v>
          </cell>
          <cell r="I188">
            <v>1075008</v>
          </cell>
          <cell r="J188">
            <v>102192</v>
          </cell>
          <cell r="K188" t="str">
            <v>P178</v>
          </cell>
        </row>
        <row r="189">
          <cell r="B189">
            <v>102193</v>
          </cell>
          <cell r="C189">
            <v>100006440</v>
          </cell>
          <cell r="D189" t="str">
            <v xml:space="preserve">INSUL GLULI 100 UI/ML SOL. INY. DISPOSITIVO PRELLENADO </v>
          </cell>
          <cell r="E189" t="str">
            <v>JER</v>
          </cell>
          <cell r="F189" t="str">
            <v>FC</v>
          </cell>
          <cell r="G189">
            <v>20</v>
          </cell>
          <cell r="H189">
            <v>4510</v>
          </cell>
          <cell r="I189">
            <v>90200</v>
          </cell>
          <cell r="J189">
            <v>102193</v>
          </cell>
          <cell r="K189" t="str">
            <v>P179</v>
          </cell>
        </row>
        <row r="190">
          <cell r="B190">
            <v>106057</v>
          </cell>
          <cell r="C190">
            <v>100000824</v>
          </cell>
          <cell r="D190" t="str">
            <v>INSULINA NPH HUMANA 100 UI/ML FA 10 ML</v>
          </cell>
          <cell r="E190" t="str">
            <v>FA</v>
          </cell>
          <cell r="F190" t="str">
            <v>FC</v>
          </cell>
          <cell r="G190">
            <v>39</v>
          </cell>
          <cell r="H190">
            <v>4165</v>
          </cell>
          <cell r="I190">
            <v>162435</v>
          </cell>
          <cell r="J190">
            <v>106057</v>
          </cell>
          <cell r="K190" t="str">
            <v>P180</v>
          </cell>
        </row>
        <row r="191">
          <cell r="B191">
            <v>105018</v>
          </cell>
          <cell r="C191">
            <v>100000829</v>
          </cell>
          <cell r="D191" t="str">
            <v xml:space="preserve">IPRATROPIO BROMURO 0,25 MG / ML FC SOL. P/NEB. </v>
          </cell>
          <cell r="E191" t="str">
            <v>FC</v>
          </cell>
          <cell r="F191" t="str">
            <v>FC</v>
          </cell>
          <cell r="G191">
            <v>71</v>
          </cell>
          <cell r="H191">
            <v>5116</v>
          </cell>
          <cell r="I191">
            <v>363236</v>
          </cell>
          <cell r="J191">
            <v>105018</v>
          </cell>
          <cell r="K191" t="str">
            <v>P181</v>
          </cell>
        </row>
        <row r="192">
          <cell r="B192">
            <v>102123</v>
          </cell>
          <cell r="C192">
            <v>100000830</v>
          </cell>
          <cell r="D192" t="str">
            <v>IPRATROPIO 20 MCG/DO S/CFC FC 200-270 DO</v>
          </cell>
          <cell r="E192" t="str">
            <v>FC</v>
          </cell>
          <cell r="F192" t="str">
            <v>FC</v>
          </cell>
          <cell r="G192">
            <v>49</v>
          </cell>
          <cell r="H192">
            <v>1904</v>
          </cell>
          <cell r="I192">
            <v>93296</v>
          </cell>
          <cell r="J192">
            <v>102123</v>
          </cell>
          <cell r="K192" t="str">
            <v>P182</v>
          </cell>
        </row>
        <row r="193">
          <cell r="B193">
            <v>209161</v>
          </cell>
          <cell r="C193">
            <v>100002241</v>
          </cell>
          <cell r="D193" t="str">
            <v>IRINOTECAN 100 MG/5 ML SOL. INY. FAM</v>
          </cell>
          <cell r="E193" t="str">
            <v>FA</v>
          </cell>
          <cell r="F193" t="str">
            <v>FO</v>
          </cell>
          <cell r="G193">
            <v>142</v>
          </cell>
          <cell r="H193">
            <v>24752</v>
          </cell>
          <cell r="I193">
            <v>3514784</v>
          </cell>
          <cell r="J193">
            <v>209161</v>
          </cell>
          <cell r="K193" t="str">
            <v>P183</v>
          </cell>
        </row>
        <row r="194">
          <cell r="B194">
            <v>106081</v>
          </cell>
          <cell r="C194">
            <v>100000865</v>
          </cell>
          <cell r="D194" t="str">
            <v>KETAMINA 500 MG/10 ML SOL. INY. FAM</v>
          </cell>
          <cell r="E194" t="str">
            <v>FA</v>
          </cell>
          <cell r="F194" t="str">
            <v>FC</v>
          </cell>
          <cell r="G194">
            <v>28</v>
          </cell>
          <cell r="H194">
            <v>2694</v>
          </cell>
          <cell r="I194">
            <v>75432</v>
          </cell>
          <cell r="J194">
            <v>106081</v>
          </cell>
          <cell r="K194" t="str">
            <v>P184</v>
          </cell>
        </row>
        <row r="195">
          <cell r="B195">
            <v>103034</v>
          </cell>
          <cell r="C195">
            <v>100000867</v>
          </cell>
          <cell r="D195" t="str">
            <v>KETOPROFENO 100 MG / 2 ML SOL. INY. AM</v>
          </cell>
          <cell r="E195" t="str">
            <v>AM</v>
          </cell>
          <cell r="F195" t="str">
            <v>FC</v>
          </cell>
          <cell r="G195">
            <v>1560</v>
          </cell>
          <cell r="H195">
            <v>207</v>
          </cell>
          <cell r="I195">
            <v>322920</v>
          </cell>
          <cell r="J195">
            <v>103034</v>
          </cell>
          <cell r="K195" t="str">
            <v>P185</v>
          </cell>
        </row>
        <row r="196">
          <cell r="B196">
            <v>102107</v>
          </cell>
          <cell r="C196">
            <v>100000870</v>
          </cell>
          <cell r="D196" t="str">
            <v>KETOPROFENO 50 MG CM</v>
          </cell>
          <cell r="E196" t="str">
            <v>CM</v>
          </cell>
          <cell r="F196" t="str">
            <v>FC</v>
          </cell>
          <cell r="G196">
            <v>2301</v>
          </cell>
          <cell r="H196">
            <v>42</v>
          </cell>
          <cell r="I196">
            <v>96642</v>
          </cell>
          <cell r="J196">
            <v>102107</v>
          </cell>
          <cell r="K196" t="str">
            <v>P186</v>
          </cell>
        </row>
        <row r="197">
          <cell r="B197">
            <v>102040</v>
          </cell>
          <cell r="C197">
            <v>100000871</v>
          </cell>
          <cell r="D197" t="str">
            <v>KETOROLACO 30 MG/ 1 ML SOL. INY. AM</v>
          </cell>
          <cell r="E197" t="str">
            <v>AM</v>
          </cell>
          <cell r="F197" t="str">
            <v>FC</v>
          </cell>
          <cell r="G197">
            <v>3587</v>
          </cell>
          <cell r="H197">
            <v>139</v>
          </cell>
          <cell r="I197">
            <v>498593</v>
          </cell>
          <cell r="J197">
            <v>102040</v>
          </cell>
          <cell r="K197" t="str">
            <v>P187</v>
          </cell>
        </row>
        <row r="198">
          <cell r="B198">
            <v>106096</v>
          </cell>
          <cell r="C198">
            <v>100000892</v>
          </cell>
          <cell r="D198" t="str">
            <v>LABETALOL 100 MG/ 20 ML SOL. INY. AM</v>
          </cell>
          <cell r="E198" t="str">
            <v>AM</v>
          </cell>
          <cell r="F198" t="str">
            <v>FC</v>
          </cell>
          <cell r="G198">
            <v>27</v>
          </cell>
          <cell r="H198">
            <v>1940</v>
          </cell>
          <cell r="I198">
            <v>52380</v>
          </cell>
          <cell r="J198">
            <v>106096</v>
          </cell>
          <cell r="K198" t="str">
            <v>P188</v>
          </cell>
        </row>
        <row r="199">
          <cell r="B199">
            <v>107006</v>
          </cell>
          <cell r="C199">
            <v>100000894</v>
          </cell>
          <cell r="D199" t="str">
            <v>LACTULOSA 65-66,7 G/100ML SOL. ORAL FC 100-200 ML</v>
          </cell>
          <cell r="E199" t="str">
            <v>FC</v>
          </cell>
          <cell r="F199" t="str">
            <v>FC</v>
          </cell>
          <cell r="G199">
            <v>3987</v>
          </cell>
          <cell r="H199">
            <v>4126</v>
          </cell>
          <cell r="I199">
            <v>16450362</v>
          </cell>
          <cell r="J199">
            <v>107006</v>
          </cell>
          <cell r="K199" t="str">
            <v>P189</v>
          </cell>
        </row>
        <row r="200">
          <cell r="B200">
            <v>106029</v>
          </cell>
          <cell r="C200">
            <v>100000901</v>
          </cell>
          <cell r="D200" t="str">
            <v>LANATOSIDO-C 0,4 MG/ 2ML SOL. INY. AM</v>
          </cell>
          <cell r="E200" t="str">
            <v>AM</v>
          </cell>
          <cell r="F200" t="str">
            <v>FC</v>
          </cell>
          <cell r="G200">
            <v>2</v>
          </cell>
          <cell r="H200">
            <v>1512</v>
          </cell>
          <cell r="I200">
            <v>3024</v>
          </cell>
          <cell r="J200">
            <v>106029</v>
          </cell>
          <cell r="K200" t="str">
            <v>P190</v>
          </cell>
        </row>
        <row r="201">
          <cell r="B201">
            <v>101079</v>
          </cell>
          <cell r="C201" t="str">
            <v>NO ZGEN</v>
          </cell>
          <cell r="D201" t="str">
            <v>LENALIDOMIDA 15 MG CP</v>
          </cell>
          <cell r="E201" t="str">
            <v>CP</v>
          </cell>
          <cell r="F201" t="str">
            <v>FO</v>
          </cell>
          <cell r="G201">
            <v>210</v>
          </cell>
          <cell r="H201">
            <v>5831</v>
          </cell>
          <cell r="I201">
            <v>1224510</v>
          </cell>
          <cell r="J201">
            <v>101079</v>
          </cell>
          <cell r="K201" t="str">
            <v>P191</v>
          </cell>
        </row>
        <row r="202">
          <cell r="B202">
            <v>101080</v>
          </cell>
          <cell r="C202">
            <v>100003431</v>
          </cell>
          <cell r="D202" t="str">
            <v>LENALIDOMIDA 25 MG CP</v>
          </cell>
          <cell r="E202" t="str">
            <v>CP</v>
          </cell>
          <cell r="F202" t="str">
            <v>FO</v>
          </cell>
          <cell r="G202">
            <v>2836</v>
          </cell>
          <cell r="H202">
            <v>2987</v>
          </cell>
          <cell r="I202">
            <v>8471132</v>
          </cell>
          <cell r="J202">
            <v>101080</v>
          </cell>
          <cell r="K202" t="str">
            <v>P192</v>
          </cell>
        </row>
        <row r="203">
          <cell r="B203">
            <v>101099</v>
          </cell>
          <cell r="C203" t="str">
            <v>NO ZGEN</v>
          </cell>
          <cell r="D203" t="str">
            <v>LENVATINIB 10 MG CP</v>
          </cell>
          <cell r="E203" t="str">
            <v>CP</v>
          </cell>
          <cell r="F203" t="str">
            <v>FO</v>
          </cell>
          <cell r="G203">
            <v>780</v>
          </cell>
          <cell r="H203">
            <v>36315</v>
          </cell>
          <cell r="I203">
            <v>28325700</v>
          </cell>
          <cell r="J203">
            <v>101099</v>
          </cell>
          <cell r="K203" t="str">
            <v>P193</v>
          </cell>
        </row>
        <row r="204">
          <cell r="B204">
            <v>201028</v>
          </cell>
          <cell r="C204" t="str">
            <v>NO ZGEN</v>
          </cell>
          <cell r="D204" t="str">
            <v>LENVATINIB 4 MG CP</v>
          </cell>
          <cell r="E204" t="str">
            <v>CP</v>
          </cell>
          <cell r="F204" t="str">
            <v>FO</v>
          </cell>
          <cell r="G204">
            <v>150</v>
          </cell>
          <cell r="H204">
            <v>32629</v>
          </cell>
          <cell r="I204">
            <v>4894350</v>
          </cell>
          <cell r="J204">
            <v>201028</v>
          </cell>
          <cell r="K204" t="str">
            <v>P194</v>
          </cell>
        </row>
        <row r="205">
          <cell r="B205">
            <v>101028</v>
          </cell>
          <cell r="C205">
            <v>100000908</v>
          </cell>
          <cell r="D205" t="str">
            <v>LETROZOL 2,5 MG CM REC</v>
          </cell>
          <cell r="E205" t="str">
            <v>CM</v>
          </cell>
          <cell r="F205" t="str">
            <v>FO</v>
          </cell>
          <cell r="G205">
            <v>18930</v>
          </cell>
          <cell r="H205">
            <v>58</v>
          </cell>
          <cell r="I205">
            <v>1097940</v>
          </cell>
          <cell r="J205">
            <v>101028</v>
          </cell>
          <cell r="K205" t="str">
            <v>P195</v>
          </cell>
        </row>
        <row r="206">
          <cell r="B206">
            <v>209160</v>
          </cell>
          <cell r="C206">
            <v>100003423</v>
          </cell>
          <cell r="D206" t="str">
            <v>LEUCOVORINA 100 MG/10 ML SOL. INY. FAM</v>
          </cell>
          <cell r="E206" t="str">
            <v>FA</v>
          </cell>
          <cell r="F206" t="str">
            <v>FO</v>
          </cell>
          <cell r="G206">
            <v>126</v>
          </cell>
          <cell r="H206">
            <v>6426</v>
          </cell>
          <cell r="I206">
            <v>809676</v>
          </cell>
          <cell r="J206">
            <v>209160</v>
          </cell>
          <cell r="K206" t="str">
            <v>P196</v>
          </cell>
        </row>
        <row r="207">
          <cell r="B207">
            <v>102202</v>
          </cell>
          <cell r="C207">
            <v>100002070</v>
          </cell>
          <cell r="D207" t="str">
            <v>LEVETIRACETAM 1000 MG COM REC</v>
          </cell>
          <cell r="E207" t="str">
            <v>CM</v>
          </cell>
          <cell r="F207" t="str">
            <v>FC</v>
          </cell>
          <cell r="G207">
            <v>0</v>
          </cell>
          <cell r="H207">
            <v>66</v>
          </cell>
          <cell r="I207">
            <v>0</v>
          </cell>
          <cell r="J207">
            <v>102202</v>
          </cell>
          <cell r="K207" t="str">
            <v>P197</v>
          </cell>
        </row>
        <row r="208">
          <cell r="B208">
            <v>102208</v>
          </cell>
          <cell r="C208">
            <v>100004372</v>
          </cell>
          <cell r="D208" t="str">
            <v>LEVETIRACETAM 100 MG/ML SOL. INY. FAM</v>
          </cell>
          <cell r="E208" t="str">
            <v>FA</v>
          </cell>
          <cell r="F208" t="str">
            <v>FC</v>
          </cell>
          <cell r="G208">
            <v>0</v>
          </cell>
          <cell r="H208">
            <v>1684</v>
          </cell>
          <cell r="I208">
            <v>0</v>
          </cell>
          <cell r="J208">
            <v>102208</v>
          </cell>
          <cell r="K208" t="str">
            <v>P198</v>
          </cell>
        </row>
        <row r="209">
          <cell r="B209">
            <v>102183</v>
          </cell>
          <cell r="C209">
            <v>100003221</v>
          </cell>
          <cell r="D209" t="str">
            <v>LEVOCETIRIZINA 5 MG CM REC</v>
          </cell>
          <cell r="E209" t="str">
            <v>CM</v>
          </cell>
          <cell r="F209" t="str">
            <v>FC</v>
          </cell>
          <cell r="G209">
            <v>3363</v>
          </cell>
          <cell r="H209">
            <v>28</v>
          </cell>
          <cell r="I209">
            <v>94164</v>
          </cell>
          <cell r="J209">
            <v>102183</v>
          </cell>
          <cell r="K209" t="str">
            <v>P199</v>
          </cell>
        </row>
        <row r="210">
          <cell r="B210">
            <v>102061</v>
          </cell>
          <cell r="C210">
            <v>100000964</v>
          </cell>
          <cell r="D210" t="str">
            <v>LEVOTIROXINA 100 MCG CM RANURADO</v>
          </cell>
          <cell r="E210" t="str">
            <v>CM</v>
          </cell>
          <cell r="F210" t="str">
            <v>FC</v>
          </cell>
          <cell r="G210">
            <v>1390</v>
          </cell>
          <cell r="H210">
            <v>9</v>
          </cell>
          <cell r="I210">
            <v>12510</v>
          </cell>
          <cell r="J210">
            <v>102061</v>
          </cell>
          <cell r="K210" t="str">
            <v>P200</v>
          </cell>
        </row>
        <row r="211">
          <cell r="B211">
            <v>105004</v>
          </cell>
          <cell r="C211">
            <v>100001826</v>
          </cell>
          <cell r="D211" t="str">
            <v>LIDOCAINA 10% SOL. TOPICA FC 50 ML</v>
          </cell>
          <cell r="E211" t="str">
            <v>FC</v>
          </cell>
          <cell r="F211" t="str">
            <v>FC</v>
          </cell>
          <cell r="G211">
            <v>22</v>
          </cell>
          <cell r="H211">
            <v>8914</v>
          </cell>
          <cell r="I211">
            <v>196108</v>
          </cell>
          <cell r="J211">
            <v>105004</v>
          </cell>
          <cell r="K211" t="str">
            <v>P201</v>
          </cell>
        </row>
        <row r="212">
          <cell r="B212">
            <v>106030</v>
          </cell>
          <cell r="C212">
            <v>100000918</v>
          </cell>
          <cell r="D212" t="str">
            <v>LIDOCAINA 2% 5ML SOL. INY. AM</v>
          </cell>
          <cell r="E212" t="str">
            <v>AM</v>
          </cell>
          <cell r="F212" t="str">
            <v>FC</v>
          </cell>
          <cell r="G212">
            <v>2066</v>
          </cell>
          <cell r="H212">
            <v>250</v>
          </cell>
          <cell r="I212">
            <v>516500</v>
          </cell>
          <cell r="J212">
            <v>106030</v>
          </cell>
          <cell r="K212" t="str">
            <v>P202</v>
          </cell>
        </row>
        <row r="213">
          <cell r="B213">
            <v>102164</v>
          </cell>
          <cell r="C213">
            <v>100000921</v>
          </cell>
          <cell r="D213" t="str">
            <v>LIDOCAINA 2% C/EPINEF. 1:100000 SOL. INY. AM</v>
          </cell>
          <cell r="E213" t="str">
            <v>AM</v>
          </cell>
          <cell r="F213" t="str">
            <v>FC</v>
          </cell>
          <cell r="G213">
            <v>550</v>
          </cell>
          <cell r="H213">
            <v>358</v>
          </cell>
          <cell r="I213">
            <v>196900</v>
          </cell>
          <cell r="J213">
            <v>102164</v>
          </cell>
          <cell r="K213" t="str">
            <v>P203</v>
          </cell>
        </row>
        <row r="214">
          <cell r="B214">
            <v>105005</v>
          </cell>
          <cell r="C214" t="str">
            <v>NO ZGEN</v>
          </cell>
          <cell r="D214" t="str">
            <v>LIDOCAINA 4 % GEL 15 G TU/PO</v>
          </cell>
          <cell r="E214" t="str">
            <v>TU</v>
          </cell>
          <cell r="F214" t="str">
            <v>FC</v>
          </cell>
          <cell r="G214">
            <v>46</v>
          </cell>
          <cell r="H214">
            <v>5047</v>
          </cell>
          <cell r="I214">
            <v>232162</v>
          </cell>
          <cell r="J214">
            <v>105005</v>
          </cell>
          <cell r="K214" t="str">
            <v>P204</v>
          </cell>
        </row>
        <row r="215">
          <cell r="B215">
            <v>105019</v>
          </cell>
          <cell r="C215">
            <v>100002244</v>
          </cell>
          <cell r="D215" t="str">
            <v>LIDOCAINA 5G/100G PARCHE</v>
          </cell>
          <cell r="E215" t="str">
            <v>PARCHE</v>
          </cell>
          <cell r="F215" t="str">
            <v>FC</v>
          </cell>
          <cell r="G215">
            <v>1721</v>
          </cell>
          <cell r="H215">
            <v>1952</v>
          </cell>
          <cell r="I215">
            <v>3359392</v>
          </cell>
          <cell r="J215">
            <v>105019</v>
          </cell>
          <cell r="K215" t="str">
            <v>P205</v>
          </cell>
        </row>
        <row r="216">
          <cell r="B216">
            <v>103051</v>
          </cell>
          <cell r="C216">
            <v>100002049</v>
          </cell>
          <cell r="D216" t="str">
            <v>LINEZOLID 600 MG/300 ML SOL. INY. FAM /BOL</v>
          </cell>
          <cell r="E216" t="str">
            <v>MTZ</v>
          </cell>
          <cell r="F216" t="str">
            <v>FC</v>
          </cell>
          <cell r="G216">
            <v>221</v>
          </cell>
          <cell r="H216">
            <v>4879</v>
          </cell>
          <cell r="I216">
            <v>1078259</v>
          </cell>
          <cell r="J216">
            <v>103051</v>
          </cell>
          <cell r="K216" t="str">
            <v>P206</v>
          </cell>
        </row>
        <row r="217">
          <cell r="B217">
            <v>102108</v>
          </cell>
          <cell r="C217" t="str">
            <v>NO ZGEN</v>
          </cell>
          <cell r="D217" t="str">
            <v>LIPIDOS 20 % FC 500 ML EMULSION PARA PERF.</v>
          </cell>
          <cell r="E217" t="str">
            <v>FC</v>
          </cell>
          <cell r="F217" t="str">
            <v>FC</v>
          </cell>
          <cell r="G217">
            <v>10</v>
          </cell>
          <cell r="H217">
            <v>8955</v>
          </cell>
          <cell r="I217">
            <v>89550</v>
          </cell>
          <cell r="J217">
            <v>102108</v>
          </cell>
          <cell r="K217" t="str">
            <v>P207</v>
          </cell>
        </row>
        <row r="218">
          <cell r="B218">
            <v>104019</v>
          </cell>
          <cell r="C218">
            <v>100000938</v>
          </cell>
          <cell r="D218" t="str">
            <v>LOPERAMIDA 2MG CM/CM REC</v>
          </cell>
          <cell r="E218" t="str">
            <v>CM</v>
          </cell>
          <cell r="F218" t="str">
            <v>FC</v>
          </cell>
          <cell r="G218">
            <v>42391</v>
          </cell>
          <cell r="H218">
            <v>40</v>
          </cell>
          <cell r="I218">
            <v>1695640</v>
          </cell>
          <cell r="J218">
            <v>104019</v>
          </cell>
          <cell r="K218" t="str">
            <v>P208</v>
          </cell>
        </row>
        <row r="219">
          <cell r="B219">
            <v>102009</v>
          </cell>
          <cell r="C219">
            <v>100000944</v>
          </cell>
          <cell r="D219" t="str">
            <v>LORAZEPAM 2 MG CM/CM REC</v>
          </cell>
          <cell r="E219" t="str">
            <v>CM</v>
          </cell>
          <cell r="F219" t="str">
            <v>FC</v>
          </cell>
          <cell r="G219">
            <v>1976</v>
          </cell>
          <cell r="H219">
            <v>48</v>
          </cell>
          <cell r="I219">
            <v>94848</v>
          </cell>
          <cell r="J219">
            <v>102009</v>
          </cell>
          <cell r="K219" t="str">
            <v>P209</v>
          </cell>
        </row>
        <row r="220">
          <cell r="B220">
            <v>102031</v>
          </cell>
          <cell r="C220">
            <v>100000943</v>
          </cell>
          <cell r="D220" t="str">
            <v>LORAZEPAM 4 MG/2 ML SOL. INY. AM</v>
          </cell>
          <cell r="E220" t="str">
            <v>AM</v>
          </cell>
          <cell r="F220" t="str">
            <v>FC</v>
          </cell>
          <cell r="G220">
            <v>349</v>
          </cell>
          <cell r="H220">
            <v>470</v>
          </cell>
          <cell r="I220">
            <v>164030</v>
          </cell>
          <cell r="J220">
            <v>102031</v>
          </cell>
          <cell r="K220" t="str">
            <v>P210</v>
          </cell>
        </row>
        <row r="221">
          <cell r="B221">
            <v>106031</v>
          </cell>
          <cell r="C221">
            <v>100000971</v>
          </cell>
          <cell r="D221" t="str">
            <v xml:space="preserve">MAGNESIO SULFATO 25% 5 ML SOL. INY. AM </v>
          </cell>
          <cell r="E221" t="str">
            <v>AM</v>
          </cell>
          <cell r="F221" t="str">
            <v>FC</v>
          </cell>
          <cell r="G221">
            <v>1355</v>
          </cell>
          <cell r="H221">
            <v>250</v>
          </cell>
          <cell r="I221">
            <v>338750</v>
          </cell>
          <cell r="J221">
            <v>106031</v>
          </cell>
          <cell r="K221" t="str">
            <v>P211</v>
          </cell>
        </row>
        <row r="222">
          <cell r="B222">
            <v>108012</v>
          </cell>
          <cell r="C222">
            <v>100000983</v>
          </cell>
          <cell r="D222" t="str">
            <v xml:space="preserve">MANITOL 15% 500 ML BOLSA/ENV. SEMIRRIGIDO </v>
          </cell>
          <cell r="E222" t="str">
            <v>MTZ</v>
          </cell>
          <cell r="F222" t="str">
            <v>FC</v>
          </cell>
          <cell r="G222">
            <v>30</v>
          </cell>
          <cell r="H222">
            <v>1535</v>
          </cell>
          <cell r="I222">
            <v>46050</v>
          </cell>
          <cell r="J222">
            <v>108012</v>
          </cell>
          <cell r="K222" t="str">
            <v>P212</v>
          </cell>
        </row>
        <row r="223">
          <cell r="B223">
            <v>102105</v>
          </cell>
          <cell r="C223" t="str">
            <v>NO ZGEN</v>
          </cell>
          <cell r="D223" t="str">
            <v>MEDIO DE CONTRASTE NO IONICO SOL. INY. 300-350 MG/ML JER 100 ML</v>
          </cell>
          <cell r="E223" t="str">
            <v>JER</v>
          </cell>
          <cell r="F223" t="str">
            <v>FC</v>
          </cell>
          <cell r="G223">
            <v>305</v>
          </cell>
          <cell r="H223">
            <v>30345</v>
          </cell>
          <cell r="I223">
            <v>9255225</v>
          </cell>
          <cell r="J223">
            <v>102105</v>
          </cell>
          <cell r="K223" t="str">
            <v>P213</v>
          </cell>
        </row>
        <row r="224">
          <cell r="B224">
            <v>109002</v>
          </cell>
          <cell r="C224" t="str">
            <v>NO ZGEN</v>
          </cell>
          <cell r="D224" t="str">
            <v>MEDIO DE CONTRASTE NO IONICO SOL. INY. 300-320 MG /ML FA 50 ML</v>
          </cell>
          <cell r="E224" t="str">
            <v>FA</v>
          </cell>
          <cell r="F224" t="str">
            <v>FC</v>
          </cell>
          <cell r="G224">
            <v>0</v>
          </cell>
          <cell r="H224">
            <v>11329</v>
          </cell>
          <cell r="I224">
            <v>0</v>
          </cell>
          <cell r="J224">
            <v>109002</v>
          </cell>
          <cell r="K224" t="str">
            <v>P214</v>
          </cell>
        </row>
        <row r="225">
          <cell r="B225">
            <v>109046</v>
          </cell>
          <cell r="C225" t="str">
            <v>NO ZGEN</v>
          </cell>
          <cell r="D225" t="str">
            <v>MEDIO DE CONTRASTE NO IONICO SOL. INY. 270-320 MG/ML FA 100 ML</v>
          </cell>
          <cell r="E225" t="str">
            <v>FA</v>
          </cell>
          <cell r="F225" t="str">
            <v>FC</v>
          </cell>
          <cell r="G225">
            <v>300</v>
          </cell>
          <cell r="H225">
            <v>22134</v>
          </cell>
          <cell r="I225">
            <v>6640200</v>
          </cell>
          <cell r="J225">
            <v>109046</v>
          </cell>
          <cell r="K225" t="str">
            <v>P215</v>
          </cell>
        </row>
        <row r="226">
          <cell r="B226">
            <v>102184</v>
          </cell>
          <cell r="C226">
            <v>100004066</v>
          </cell>
          <cell r="D226" t="str">
            <v>MELATONINA 3 MG CP</v>
          </cell>
          <cell r="E226" t="str">
            <v>CP</v>
          </cell>
          <cell r="F226" t="str">
            <v>FC</v>
          </cell>
          <cell r="G226">
            <v>341</v>
          </cell>
          <cell r="H226">
            <v>26</v>
          </cell>
          <cell r="I226">
            <v>8866</v>
          </cell>
          <cell r="J226">
            <v>102184</v>
          </cell>
          <cell r="K226" t="str">
            <v>P216</v>
          </cell>
        </row>
        <row r="227">
          <cell r="B227">
            <v>209118</v>
          </cell>
          <cell r="C227">
            <v>100001010</v>
          </cell>
          <cell r="D227" t="str">
            <v>MELFALAN 2 MG CM REC</v>
          </cell>
          <cell r="E227" t="str">
            <v>CM</v>
          </cell>
          <cell r="F227" t="str">
            <v>FO</v>
          </cell>
          <cell r="G227">
            <v>100</v>
          </cell>
          <cell r="H227">
            <v>1823</v>
          </cell>
          <cell r="I227">
            <v>182300</v>
          </cell>
          <cell r="J227">
            <v>209118</v>
          </cell>
          <cell r="K227" t="str">
            <v>P217</v>
          </cell>
        </row>
        <row r="228">
          <cell r="B228">
            <v>102134</v>
          </cell>
          <cell r="C228">
            <v>100003485</v>
          </cell>
          <cell r="D228" t="str">
            <v>MEMANTINA 20 MG CM/CM REC</v>
          </cell>
          <cell r="E228" t="str">
            <v>CM</v>
          </cell>
          <cell r="F228" t="str">
            <v>FC</v>
          </cell>
          <cell r="G228">
            <v>1871</v>
          </cell>
          <cell r="H228">
            <v>130</v>
          </cell>
          <cell r="I228">
            <v>243230</v>
          </cell>
          <cell r="J228">
            <v>102134</v>
          </cell>
          <cell r="K228" t="str">
            <v>P218</v>
          </cell>
        </row>
        <row r="229">
          <cell r="B229">
            <v>103022</v>
          </cell>
          <cell r="C229">
            <v>100001016</v>
          </cell>
          <cell r="D229" t="str">
            <v>MEROPENEM 500 MG POLVO/LIOF. P/SOL. INY. FAM</v>
          </cell>
          <cell r="E229" t="str">
            <v>FA</v>
          </cell>
          <cell r="F229" t="str">
            <v>FC</v>
          </cell>
          <cell r="G229">
            <v>2163</v>
          </cell>
          <cell r="H229">
            <v>1981</v>
          </cell>
          <cell r="I229">
            <v>4284903</v>
          </cell>
          <cell r="J229">
            <v>103022</v>
          </cell>
          <cell r="K229" t="str">
            <v>P219</v>
          </cell>
        </row>
        <row r="230">
          <cell r="B230">
            <v>102176</v>
          </cell>
          <cell r="C230">
            <v>100003471</v>
          </cell>
          <cell r="D230" t="str">
            <v>MESALAZINA 1000 MG SUPOSITORIO</v>
          </cell>
          <cell r="E230" t="str">
            <v>SUP</v>
          </cell>
          <cell r="F230" t="str">
            <v>FC</v>
          </cell>
          <cell r="G230">
            <v>483</v>
          </cell>
          <cell r="H230">
            <v>975</v>
          </cell>
          <cell r="I230">
            <v>470925</v>
          </cell>
          <cell r="J230">
            <v>102176</v>
          </cell>
          <cell r="K230" t="str">
            <v>P220</v>
          </cell>
        </row>
        <row r="231">
          <cell r="B231">
            <v>209125</v>
          </cell>
          <cell r="C231">
            <v>100001013</v>
          </cell>
          <cell r="D231" t="str">
            <v>MESNA 400 MG/4 ML SOL. INY. AM</v>
          </cell>
          <cell r="E231" t="str">
            <v>AM</v>
          </cell>
          <cell r="F231" t="str">
            <v>FC</v>
          </cell>
          <cell r="G231">
            <v>2227</v>
          </cell>
          <cell r="H231">
            <v>2023</v>
          </cell>
          <cell r="I231">
            <v>4505221</v>
          </cell>
          <cell r="J231">
            <v>209125</v>
          </cell>
          <cell r="K231" t="str">
            <v>P221</v>
          </cell>
        </row>
        <row r="232">
          <cell r="B232">
            <v>102010</v>
          </cell>
          <cell r="C232">
            <v>100001018</v>
          </cell>
          <cell r="D232" t="str">
            <v>METADONA 10 MG/2ML SOL. INY. IV-SC AM</v>
          </cell>
          <cell r="E232" t="str">
            <v>AM</v>
          </cell>
          <cell r="F232" t="str">
            <v>FC</v>
          </cell>
          <cell r="G232">
            <v>1267</v>
          </cell>
          <cell r="H232">
            <v>243</v>
          </cell>
          <cell r="I232">
            <v>307881</v>
          </cell>
          <cell r="J232">
            <v>102010</v>
          </cell>
          <cell r="K232" t="str">
            <v>P222</v>
          </cell>
        </row>
        <row r="233">
          <cell r="B233">
            <v>102011</v>
          </cell>
          <cell r="C233">
            <v>100001019</v>
          </cell>
          <cell r="D233" t="str">
            <v>METADONA 10 MG CM/CM REC</v>
          </cell>
          <cell r="E233" t="str">
            <v>CM</v>
          </cell>
          <cell r="F233" t="str">
            <v>FC</v>
          </cell>
          <cell r="G233">
            <v>4155</v>
          </cell>
          <cell r="H233">
            <v>1070</v>
          </cell>
          <cell r="I233">
            <v>4445850</v>
          </cell>
          <cell r="J233">
            <v>102011</v>
          </cell>
          <cell r="K233" t="str">
            <v>P223</v>
          </cell>
        </row>
        <row r="234">
          <cell r="B234">
            <v>106032</v>
          </cell>
          <cell r="C234">
            <v>100001020</v>
          </cell>
          <cell r="D234" t="str">
            <v>METAMIZOL 1 G/2ML AM SOL. INY. AM</v>
          </cell>
          <cell r="E234" t="str">
            <v>AM</v>
          </cell>
          <cell r="F234" t="str">
            <v>FC</v>
          </cell>
          <cell r="G234">
            <v>20816</v>
          </cell>
          <cell r="H234">
            <v>200</v>
          </cell>
          <cell r="I234">
            <v>4163200</v>
          </cell>
          <cell r="J234">
            <v>106032</v>
          </cell>
          <cell r="K234" t="str">
            <v>P224</v>
          </cell>
        </row>
        <row r="235">
          <cell r="B235">
            <v>104020</v>
          </cell>
          <cell r="C235">
            <v>100001021</v>
          </cell>
          <cell r="D235" t="str">
            <v>METAMIZOL 300 MG CM</v>
          </cell>
          <cell r="E235" t="str">
            <v>CM</v>
          </cell>
          <cell r="F235" t="str">
            <v>FC</v>
          </cell>
          <cell r="G235">
            <v>13061</v>
          </cell>
          <cell r="H235">
            <v>26</v>
          </cell>
          <cell r="I235">
            <v>339586</v>
          </cell>
          <cell r="J235">
            <v>104020</v>
          </cell>
          <cell r="K235" t="str">
            <v>P225</v>
          </cell>
        </row>
        <row r="236">
          <cell r="B236">
            <v>106074</v>
          </cell>
          <cell r="C236">
            <v>100001031</v>
          </cell>
          <cell r="D236" t="str">
            <v>METILPREDNISOLONA 500 MG LIOF. P/SOL. INY. FAM</v>
          </cell>
          <cell r="E236" t="str">
            <v>FA</v>
          </cell>
          <cell r="F236" t="str">
            <v>FC</v>
          </cell>
          <cell r="G236">
            <v>15</v>
          </cell>
          <cell r="H236">
            <v>3784</v>
          </cell>
          <cell r="I236">
            <v>56760</v>
          </cell>
          <cell r="J236">
            <v>106074</v>
          </cell>
          <cell r="K236" t="str">
            <v>P226</v>
          </cell>
        </row>
        <row r="237">
          <cell r="B237">
            <v>106033</v>
          </cell>
          <cell r="C237">
            <v>100001033</v>
          </cell>
          <cell r="D237" t="str">
            <v>METOCLOPRAMIDA 10 MG/2 ML SOL. INY. AM</v>
          </cell>
          <cell r="E237" t="str">
            <v>AM</v>
          </cell>
          <cell r="F237" t="str">
            <v>FC</v>
          </cell>
          <cell r="G237">
            <v>4812</v>
          </cell>
          <cell r="H237">
            <v>65</v>
          </cell>
          <cell r="I237">
            <v>312780</v>
          </cell>
          <cell r="J237">
            <v>106033</v>
          </cell>
          <cell r="K237" t="str">
            <v>P227</v>
          </cell>
        </row>
        <row r="238">
          <cell r="B238">
            <v>104021</v>
          </cell>
          <cell r="C238">
            <v>100001034</v>
          </cell>
          <cell r="D238" t="str">
            <v>METOCLOPRAMIDA 10 MG CM/CM REC</v>
          </cell>
          <cell r="E238" t="str">
            <v>CM</v>
          </cell>
          <cell r="F238" t="str">
            <v>FC</v>
          </cell>
          <cell r="G238">
            <v>33185</v>
          </cell>
          <cell r="H238">
            <v>20</v>
          </cell>
          <cell r="I238">
            <v>663700</v>
          </cell>
          <cell r="J238">
            <v>104021</v>
          </cell>
          <cell r="K238" t="str">
            <v>P228</v>
          </cell>
        </row>
        <row r="239">
          <cell r="B239">
            <v>209033</v>
          </cell>
          <cell r="C239">
            <v>100001037</v>
          </cell>
          <cell r="D239" t="str">
            <v>METOTREXATO 500 MG SOL. INY. FAM</v>
          </cell>
          <cell r="E239" t="str">
            <v>FA</v>
          </cell>
          <cell r="F239" t="str">
            <v>FO</v>
          </cell>
          <cell r="G239">
            <v>14</v>
          </cell>
          <cell r="H239">
            <v>13388</v>
          </cell>
          <cell r="I239">
            <v>187432</v>
          </cell>
          <cell r="J239">
            <v>209033</v>
          </cell>
          <cell r="K239" t="str">
            <v>P229</v>
          </cell>
        </row>
        <row r="240">
          <cell r="B240">
            <v>103024</v>
          </cell>
          <cell r="C240">
            <v>100001039</v>
          </cell>
          <cell r="D240" t="str">
            <v>METRONIDAZOL 500MG/100ML SOL. INY. FAM</v>
          </cell>
          <cell r="E240" t="str">
            <v>FA</v>
          </cell>
          <cell r="F240" t="str">
            <v>FC</v>
          </cell>
          <cell r="G240">
            <v>1220</v>
          </cell>
          <cell r="H240">
            <v>312</v>
          </cell>
          <cell r="I240">
            <v>380640</v>
          </cell>
          <cell r="J240">
            <v>103024</v>
          </cell>
          <cell r="K240" t="str">
            <v>P230</v>
          </cell>
        </row>
        <row r="241">
          <cell r="B241">
            <v>102081</v>
          </cell>
          <cell r="C241">
            <v>100001041</v>
          </cell>
          <cell r="D241" t="str">
            <v>METRONIDAZOL 500 MG CM/CM REC</v>
          </cell>
          <cell r="E241" t="str">
            <v>CM</v>
          </cell>
          <cell r="F241" t="str">
            <v>FC</v>
          </cell>
          <cell r="G241">
            <v>2046</v>
          </cell>
          <cell r="H241">
            <v>71</v>
          </cell>
          <cell r="I241">
            <v>145266</v>
          </cell>
          <cell r="J241">
            <v>102081</v>
          </cell>
          <cell r="K241" t="str">
            <v>P231</v>
          </cell>
        </row>
        <row r="242">
          <cell r="B242">
            <v>102178</v>
          </cell>
          <cell r="C242">
            <v>100001042</v>
          </cell>
          <cell r="D242" t="str">
            <v>METRONIDAZOL 500 MG OVULO/CP VAGINAL</v>
          </cell>
          <cell r="E242" t="str">
            <v>OV</v>
          </cell>
          <cell r="F242" t="str">
            <v>FC</v>
          </cell>
          <cell r="G242">
            <v>50</v>
          </cell>
          <cell r="H242">
            <v>105</v>
          </cell>
          <cell r="I242">
            <v>5250</v>
          </cell>
          <cell r="J242">
            <v>102178</v>
          </cell>
          <cell r="K242" t="str">
            <v>P232</v>
          </cell>
        </row>
        <row r="243">
          <cell r="B243">
            <v>104032</v>
          </cell>
          <cell r="C243">
            <v>100001045</v>
          </cell>
          <cell r="D243" t="str">
            <v>MIDAZOLAM 5 MG/1 ML SOL. INY. AM</v>
          </cell>
          <cell r="E243" t="str">
            <v>AM</v>
          </cell>
          <cell r="F243" t="str">
            <v>FC</v>
          </cell>
          <cell r="G243">
            <v>1487</v>
          </cell>
          <cell r="H243">
            <v>300</v>
          </cell>
          <cell r="I243">
            <v>446100</v>
          </cell>
          <cell r="J243">
            <v>104032</v>
          </cell>
          <cell r="K243" t="str">
            <v>P233</v>
          </cell>
        </row>
        <row r="244">
          <cell r="B244">
            <v>104041</v>
          </cell>
          <cell r="C244">
            <v>100001047</v>
          </cell>
          <cell r="D244" t="str">
            <v>MIDAZOLAM 50 MG/10ML SOL. INY. AM</v>
          </cell>
          <cell r="E244" t="str">
            <v>AM</v>
          </cell>
          <cell r="F244" t="str">
            <v>FC</v>
          </cell>
          <cell r="G244">
            <v>643</v>
          </cell>
          <cell r="H244">
            <v>725</v>
          </cell>
          <cell r="I244">
            <v>466175</v>
          </cell>
          <cell r="J244">
            <v>104041</v>
          </cell>
          <cell r="K244" t="str">
            <v>P234</v>
          </cell>
        </row>
        <row r="245">
          <cell r="B245">
            <v>102084</v>
          </cell>
          <cell r="C245">
            <v>100003231</v>
          </cell>
          <cell r="D245" t="str">
            <v>MIRTAZAPINA 30 MG CM REC</v>
          </cell>
          <cell r="E245" t="str">
            <v>CM</v>
          </cell>
          <cell r="F245" t="str">
            <v>FC</v>
          </cell>
          <cell r="G245">
            <v>14534</v>
          </cell>
          <cell r="H245">
            <v>146</v>
          </cell>
          <cell r="I245">
            <v>2121964</v>
          </cell>
          <cell r="J245">
            <v>102084</v>
          </cell>
          <cell r="K245" t="str">
            <v>P235</v>
          </cell>
        </row>
        <row r="246">
          <cell r="B246">
            <v>209159</v>
          </cell>
          <cell r="C246" t="str">
            <v>NO ZGEN</v>
          </cell>
          <cell r="D246" t="str">
            <v>MITOMICINA 20 MG POLVO/LIOF. P/SOL. INY. FAM</v>
          </cell>
          <cell r="E246" t="str">
            <v>FA</v>
          </cell>
          <cell r="F246" t="str">
            <v>FO</v>
          </cell>
          <cell r="G246">
            <v>2</v>
          </cell>
          <cell r="H246">
            <v>37525</v>
          </cell>
          <cell r="I246">
            <v>75050</v>
          </cell>
          <cell r="J246">
            <v>209159</v>
          </cell>
          <cell r="K246" t="str">
            <v>P236</v>
          </cell>
        </row>
        <row r="247">
          <cell r="B247">
            <v>102159</v>
          </cell>
          <cell r="C247">
            <v>100005299</v>
          </cell>
          <cell r="D247" t="str">
            <v>MIVACURIO 10 MG/5ML SOL. INY. AM</v>
          </cell>
          <cell r="E247" t="str">
            <v>AM</v>
          </cell>
          <cell r="F247" t="str">
            <v>FC</v>
          </cell>
          <cell r="G247">
            <v>21</v>
          </cell>
          <cell r="H247">
            <v>7364</v>
          </cell>
          <cell r="I247">
            <v>154644</v>
          </cell>
          <cell r="J247">
            <v>102159</v>
          </cell>
          <cell r="K247" t="str">
            <v>P237</v>
          </cell>
        </row>
        <row r="248">
          <cell r="B248">
            <v>102012</v>
          </cell>
          <cell r="C248">
            <v>100001052</v>
          </cell>
          <cell r="D248" t="str">
            <v>MORFINA 10 MG/1 ML SOL. INY. AM</v>
          </cell>
          <cell r="E248" t="str">
            <v>AM</v>
          </cell>
          <cell r="F248" t="str">
            <v>FC</v>
          </cell>
          <cell r="G248">
            <v>2910</v>
          </cell>
          <cell r="H248">
            <v>225</v>
          </cell>
          <cell r="I248">
            <v>654750</v>
          </cell>
          <cell r="J248">
            <v>102012</v>
          </cell>
          <cell r="K248" t="str">
            <v>P238</v>
          </cell>
        </row>
        <row r="249">
          <cell r="B249">
            <v>102013</v>
          </cell>
          <cell r="C249">
            <v>100001053</v>
          </cell>
          <cell r="D249" t="str">
            <v>MORFINA 20 MG/1 ML SOL. INY. AM</v>
          </cell>
          <cell r="E249" t="str">
            <v>AM</v>
          </cell>
          <cell r="F249" t="str">
            <v>FC</v>
          </cell>
          <cell r="G249">
            <v>1489</v>
          </cell>
          <cell r="H249">
            <v>184</v>
          </cell>
          <cell r="I249">
            <v>273976</v>
          </cell>
          <cell r="J249">
            <v>102013</v>
          </cell>
          <cell r="K249" t="str">
            <v>P239</v>
          </cell>
        </row>
        <row r="250">
          <cell r="B250">
            <v>209165</v>
          </cell>
          <cell r="C250">
            <v>100006870</v>
          </cell>
          <cell r="D250" t="str">
            <v>MORFINA SULFATO 2 % FC 20 ML GOTAS ORALES (1ML = 16 GOTAS)</v>
          </cell>
          <cell r="E250" t="str">
            <v>FC</v>
          </cell>
          <cell r="F250" t="str">
            <v>FC</v>
          </cell>
          <cell r="G250">
            <v>227</v>
          </cell>
          <cell r="H250">
            <v>9496</v>
          </cell>
          <cell r="I250">
            <v>2155592</v>
          </cell>
          <cell r="J250">
            <v>209165</v>
          </cell>
          <cell r="K250" t="str">
            <v>P240</v>
          </cell>
        </row>
        <row r="251">
          <cell r="B251">
            <v>102136</v>
          </cell>
          <cell r="C251" t="str">
            <v>NO ZGEN</v>
          </cell>
          <cell r="D251" t="str">
            <v>N ACETILCISTEINA 600 MG  SO 3 G POLVO PARA SOL. ORAL</v>
          </cell>
          <cell r="E251" t="str">
            <v>SO</v>
          </cell>
          <cell r="F251" t="str">
            <v>FC</v>
          </cell>
          <cell r="G251">
            <v>53</v>
          </cell>
          <cell r="H251">
            <v>490</v>
          </cell>
          <cell r="I251">
            <v>25970</v>
          </cell>
          <cell r="J251">
            <v>102136</v>
          </cell>
          <cell r="K251" t="str">
            <v>P241</v>
          </cell>
        </row>
        <row r="252">
          <cell r="B252">
            <v>103040</v>
          </cell>
          <cell r="C252">
            <v>100001063</v>
          </cell>
          <cell r="D252" t="str">
            <v>NALOXONA 0,4 MG/1 ML SOL. INY. AM</v>
          </cell>
          <cell r="E252" t="str">
            <v>AM</v>
          </cell>
          <cell r="F252" t="str">
            <v>FC</v>
          </cell>
          <cell r="G252">
            <v>48</v>
          </cell>
          <cell r="H252">
            <v>5486</v>
          </cell>
          <cell r="I252">
            <v>263328</v>
          </cell>
          <cell r="J252">
            <v>103040</v>
          </cell>
          <cell r="K252" t="str">
            <v>P242</v>
          </cell>
        </row>
        <row r="253">
          <cell r="B253">
            <v>106053</v>
          </cell>
          <cell r="C253">
            <v>100001068</v>
          </cell>
          <cell r="D253" t="str">
            <v>NEOSTIGMINA 0,5 MG/1 ML SOL. INY. AM</v>
          </cell>
          <cell r="E253" t="str">
            <v>AM</v>
          </cell>
          <cell r="F253" t="str">
            <v>FC</v>
          </cell>
          <cell r="G253">
            <v>243</v>
          </cell>
          <cell r="H253">
            <v>225</v>
          </cell>
          <cell r="I253">
            <v>54675</v>
          </cell>
          <cell r="J253">
            <v>106053</v>
          </cell>
          <cell r="K253" t="str">
            <v>P243</v>
          </cell>
        </row>
        <row r="254">
          <cell r="B254">
            <v>101081</v>
          </cell>
          <cell r="C254">
            <v>100006171</v>
          </cell>
          <cell r="D254" t="str">
            <v>NETUPITANT/PALONOSETRON 300/0,5MG CAP</v>
          </cell>
          <cell r="E254" t="str">
            <v>CP</v>
          </cell>
          <cell r="F254" t="str">
            <v>FO</v>
          </cell>
          <cell r="G254">
            <v>43</v>
          </cell>
          <cell r="H254">
            <v>70091</v>
          </cell>
          <cell r="I254">
            <v>3013913</v>
          </cell>
          <cell r="J254">
            <v>101081</v>
          </cell>
          <cell r="K254" t="str">
            <v>P244</v>
          </cell>
        </row>
        <row r="255">
          <cell r="B255">
            <v>101023</v>
          </cell>
          <cell r="C255">
            <v>100003439</v>
          </cell>
          <cell r="D255" t="str">
            <v>NILOTINIB 150 MG CP</v>
          </cell>
          <cell r="E255" t="str">
            <v>CP</v>
          </cell>
          <cell r="F255" t="str">
            <v>FO</v>
          </cell>
          <cell r="G255">
            <v>932</v>
          </cell>
          <cell r="H255">
            <v>15374</v>
          </cell>
          <cell r="I255">
            <v>14328568</v>
          </cell>
          <cell r="J255">
            <v>101023</v>
          </cell>
          <cell r="K255" t="str">
            <v>P245</v>
          </cell>
        </row>
        <row r="256">
          <cell r="B256">
            <v>209167</v>
          </cell>
          <cell r="C256">
            <v>100002056</v>
          </cell>
          <cell r="D256" t="str">
            <v>NILOTINIB 200 MG CP</v>
          </cell>
          <cell r="E256" t="str">
            <v>CP</v>
          </cell>
          <cell r="F256" t="str">
            <v>FO</v>
          </cell>
          <cell r="G256">
            <v>1562</v>
          </cell>
          <cell r="H256">
            <v>23903</v>
          </cell>
          <cell r="I256">
            <v>37336486</v>
          </cell>
          <cell r="J256">
            <v>209167</v>
          </cell>
          <cell r="K256" t="str">
            <v>P246</v>
          </cell>
        </row>
        <row r="257">
          <cell r="B257">
            <v>102161</v>
          </cell>
          <cell r="C257" t="str">
            <v>NO ZGEN</v>
          </cell>
          <cell r="D257" t="str">
            <v xml:space="preserve">NISTATINA 100.000 UI/ML FC 24 ML SUSPENSION P/GOTAS ORALES </v>
          </cell>
          <cell r="E257" t="str">
            <v>FC</v>
          </cell>
          <cell r="F257" t="str">
            <v>FC</v>
          </cell>
          <cell r="G257">
            <v>0</v>
          </cell>
          <cell r="H257">
            <v>17850</v>
          </cell>
          <cell r="I257">
            <v>0</v>
          </cell>
          <cell r="J257">
            <v>102161</v>
          </cell>
          <cell r="K257" t="str">
            <v>P247</v>
          </cell>
        </row>
        <row r="258">
          <cell r="B258">
            <v>104033</v>
          </cell>
          <cell r="C258">
            <v>100001084</v>
          </cell>
          <cell r="D258" t="str">
            <v>NITROFURANTOINA MACROC. 100MG CP/CM REC</v>
          </cell>
          <cell r="E258" t="str">
            <v>CM/CP</v>
          </cell>
          <cell r="F258" t="str">
            <v>FC</v>
          </cell>
          <cell r="G258">
            <v>1851</v>
          </cell>
          <cell r="H258">
            <v>66</v>
          </cell>
          <cell r="I258">
            <v>122166</v>
          </cell>
          <cell r="J258">
            <v>104033</v>
          </cell>
          <cell r="K258" t="str">
            <v>P248</v>
          </cell>
        </row>
        <row r="259">
          <cell r="B259">
            <v>106035</v>
          </cell>
          <cell r="C259" t="str">
            <v>NO ZGEN</v>
          </cell>
          <cell r="D259" t="str">
            <v>NITROGLICERINA 0,5 MG / 10 ML AM SOL. INY. AM</v>
          </cell>
          <cell r="E259" t="str">
            <v>AM</v>
          </cell>
          <cell r="F259" t="str">
            <v>FC</v>
          </cell>
          <cell r="G259">
            <v>3</v>
          </cell>
          <cell r="H259">
            <v>4060</v>
          </cell>
          <cell r="I259">
            <v>12180</v>
          </cell>
          <cell r="J259">
            <v>106035</v>
          </cell>
          <cell r="K259" t="str">
            <v>P249</v>
          </cell>
        </row>
        <row r="260">
          <cell r="B260">
            <v>106077</v>
          </cell>
          <cell r="C260">
            <v>100001087</v>
          </cell>
          <cell r="D260" t="str">
            <v>NITROGLICERINA 50 MG/10 ML SOL. INY. FAM</v>
          </cell>
          <cell r="E260" t="str">
            <v>FA</v>
          </cell>
          <cell r="F260" t="str">
            <v>FC</v>
          </cell>
          <cell r="G260">
            <v>36</v>
          </cell>
          <cell r="H260">
            <v>2618</v>
          </cell>
          <cell r="I260">
            <v>94248</v>
          </cell>
          <cell r="J260">
            <v>106077</v>
          </cell>
          <cell r="K260" t="str">
            <v>P250</v>
          </cell>
        </row>
        <row r="261">
          <cell r="B261">
            <v>101074</v>
          </cell>
          <cell r="C261">
            <v>100004632</v>
          </cell>
          <cell r="D261" t="str">
            <v>NIVOLUMAB 100 MG SOL. INY. FAM</v>
          </cell>
          <cell r="E261" t="str">
            <v>FA</v>
          </cell>
          <cell r="F261" t="str">
            <v>FO</v>
          </cell>
          <cell r="G261">
            <v>179</v>
          </cell>
          <cell r="H261">
            <v>1010498</v>
          </cell>
          <cell r="I261">
            <v>180879142</v>
          </cell>
          <cell r="J261">
            <v>101074</v>
          </cell>
          <cell r="K261" t="str">
            <v>P251</v>
          </cell>
        </row>
        <row r="262">
          <cell r="B262">
            <v>101073</v>
          </cell>
          <cell r="C262">
            <v>100005302</v>
          </cell>
          <cell r="D262" t="str">
            <v>NIVOLUMAB 40 MG FA SOL. INY. FAM</v>
          </cell>
          <cell r="E262" t="str">
            <v>FA</v>
          </cell>
          <cell r="F262" t="str">
            <v>FO</v>
          </cell>
          <cell r="G262">
            <v>75</v>
          </cell>
          <cell r="H262">
            <v>404198</v>
          </cell>
          <cell r="I262">
            <v>30314850</v>
          </cell>
          <cell r="J262">
            <v>101073</v>
          </cell>
          <cell r="K262" t="str">
            <v>P252</v>
          </cell>
        </row>
        <row r="263">
          <cell r="B263">
            <v>106078</v>
          </cell>
          <cell r="C263">
            <v>100001091</v>
          </cell>
          <cell r="D263" t="str">
            <v xml:space="preserve">NOREPINEFRINA 4 MG/4 ML SOL. INY. AM </v>
          </cell>
          <cell r="E263" t="str">
            <v>AM</v>
          </cell>
          <cell r="F263" t="str">
            <v>FC</v>
          </cell>
          <cell r="G263">
            <v>1495</v>
          </cell>
          <cell r="H263">
            <v>559</v>
          </cell>
          <cell r="I263">
            <v>835705</v>
          </cell>
          <cell r="J263">
            <v>106078</v>
          </cell>
          <cell r="K263" t="str">
            <v>P253</v>
          </cell>
        </row>
        <row r="264">
          <cell r="B264">
            <v>108031</v>
          </cell>
          <cell r="C264" t="str">
            <v>NO ZGEN</v>
          </cell>
          <cell r="D264" t="str">
            <v>NUTRICION PARENTERAL PRELLENADA 1477 ML / 1600 KCAL + bolsa fotoprotectora</v>
          </cell>
          <cell r="E264" t="str">
            <v>MTZ</v>
          </cell>
          <cell r="F264" t="str">
            <v>FC</v>
          </cell>
          <cell r="G264">
            <v>60</v>
          </cell>
          <cell r="H264">
            <v>48106</v>
          </cell>
          <cell r="I264">
            <v>2886360</v>
          </cell>
          <cell r="J264">
            <v>108031</v>
          </cell>
          <cell r="K264" t="str">
            <v>P254</v>
          </cell>
        </row>
        <row r="265">
          <cell r="B265">
            <v>102104</v>
          </cell>
          <cell r="C265" t="str">
            <v>NO ZGEN</v>
          </cell>
          <cell r="D265" t="str">
            <v>NUTRICION PARENTERAL PRELLENADA 1904 ML / 1300 KCAL + bolsa fotoprotectora</v>
          </cell>
          <cell r="E265" t="str">
            <v>MTZ</v>
          </cell>
          <cell r="F265" t="str">
            <v>FC</v>
          </cell>
          <cell r="G265">
            <v>44</v>
          </cell>
          <cell r="H265">
            <v>51230</v>
          </cell>
          <cell r="I265">
            <v>2254120</v>
          </cell>
          <cell r="J265">
            <v>102104</v>
          </cell>
          <cell r="K265" t="str">
            <v>P255</v>
          </cell>
        </row>
        <row r="266">
          <cell r="B266">
            <v>108028</v>
          </cell>
          <cell r="C266" t="str">
            <v>NO ZGEN</v>
          </cell>
          <cell r="D266" t="str">
            <v>NUTRICION PARENTERAL PRELLENADA 1970 ML / 2200 KCAL + bolsa fotoprotectora</v>
          </cell>
          <cell r="E266" t="str">
            <v>MTZ</v>
          </cell>
          <cell r="F266" t="str">
            <v>FC</v>
          </cell>
          <cell r="G266">
            <v>45</v>
          </cell>
          <cell r="H266">
            <v>51230</v>
          </cell>
          <cell r="I266">
            <v>2305350</v>
          </cell>
          <cell r="J266">
            <v>108028</v>
          </cell>
          <cell r="K266" t="str">
            <v>P256</v>
          </cell>
        </row>
        <row r="267">
          <cell r="B267">
            <v>102147</v>
          </cell>
          <cell r="C267" t="str">
            <v>NO ZGEN</v>
          </cell>
          <cell r="D267" t="str">
            <v>NUTRICION PARENTERAL PRELLENADA 2025 ML / 1800 KCAL + bolsa fotoprotectora</v>
          </cell>
          <cell r="E267" t="str">
            <v>MTZ</v>
          </cell>
          <cell r="F267" t="str">
            <v>FC</v>
          </cell>
          <cell r="G267">
            <v>10</v>
          </cell>
          <cell r="H267">
            <v>57477</v>
          </cell>
          <cell r="I267">
            <v>574770</v>
          </cell>
          <cell r="J267">
            <v>102147</v>
          </cell>
          <cell r="K267" t="str">
            <v>P257</v>
          </cell>
        </row>
        <row r="268">
          <cell r="B268">
            <v>102200</v>
          </cell>
          <cell r="C268" t="str">
            <v>NO ZGEN</v>
          </cell>
          <cell r="D268" t="str">
            <v>NUTRICION PARENTERAL PRELLENADA 1518 ML / 1350 KCAL + bolsa fotoprotectora</v>
          </cell>
          <cell r="E268" t="str">
            <v>MTZ</v>
          </cell>
          <cell r="F268" t="str">
            <v>FC</v>
          </cell>
          <cell r="G268">
            <v>34</v>
          </cell>
          <cell r="H268">
            <v>54353</v>
          </cell>
          <cell r="I268">
            <v>1848002</v>
          </cell>
          <cell r="J268">
            <v>102200</v>
          </cell>
          <cell r="K268" t="str">
            <v>P258</v>
          </cell>
        </row>
        <row r="269">
          <cell r="B269">
            <v>102194</v>
          </cell>
          <cell r="C269" t="str">
            <v>NO ZGEN</v>
          </cell>
          <cell r="D269" t="str">
            <v>NUTRICION PARENTERAL PRELLENADA 986 ML / 1100 KCAL + bolsa fotoprotectora</v>
          </cell>
          <cell r="E269" t="str">
            <v>MTZ</v>
          </cell>
          <cell r="F269" t="str">
            <v>FC</v>
          </cell>
          <cell r="G269">
            <v>17</v>
          </cell>
          <cell r="H269">
            <v>46232</v>
          </cell>
          <cell r="I269">
            <v>785944</v>
          </cell>
          <cell r="J269">
            <v>102194</v>
          </cell>
          <cell r="K269" t="str">
            <v>P259</v>
          </cell>
        </row>
        <row r="270">
          <cell r="B270">
            <v>108030</v>
          </cell>
          <cell r="C270" t="str">
            <v>NO ZGEN</v>
          </cell>
          <cell r="D270" t="str">
            <v>MULTIVITAMINICO PARA ADMINISTRACIÓN EV</v>
          </cell>
          <cell r="E270" t="str">
            <v>MTZ</v>
          </cell>
          <cell r="F270" t="str">
            <v>FC</v>
          </cell>
          <cell r="G270">
            <v>229</v>
          </cell>
          <cell r="H270">
            <v>4373</v>
          </cell>
          <cell r="I270">
            <v>1001417</v>
          </cell>
          <cell r="J270">
            <v>108030</v>
          </cell>
          <cell r="K270" t="str">
            <v>P260</v>
          </cell>
        </row>
        <row r="271">
          <cell r="B271">
            <v>102151</v>
          </cell>
          <cell r="C271" t="str">
            <v>NO ZGEN</v>
          </cell>
          <cell r="D271" t="str">
            <v>NUTRICIÓN PARENTERAL RECETARIO MAGISTRAL 1000 - 3000 ML</v>
          </cell>
          <cell r="E271" t="str">
            <v>MTZ</v>
          </cell>
          <cell r="F271" t="str">
            <v>FC</v>
          </cell>
          <cell r="G271">
            <v>0</v>
          </cell>
          <cell r="H271">
            <v>119000</v>
          </cell>
          <cell r="I271">
            <v>0</v>
          </cell>
          <cell r="J271">
            <v>102151</v>
          </cell>
          <cell r="K271" t="str">
            <v>P261</v>
          </cell>
        </row>
        <row r="272">
          <cell r="B272">
            <v>106090</v>
          </cell>
          <cell r="C272">
            <v>100002254</v>
          </cell>
          <cell r="D272" t="str">
            <v>OCTREOTIDA 20MG MICROESF. SUSP. INY. FAM</v>
          </cell>
          <cell r="E272" t="str">
            <v>FA</v>
          </cell>
          <cell r="F272" t="str">
            <v>FO</v>
          </cell>
          <cell r="G272">
            <v>0</v>
          </cell>
          <cell r="H272">
            <v>791357</v>
          </cell>
          <cell r="I272">
            <v>0</v>
          </cell>
          <cell r="J272">
            <v>106090</v>
          </cell>
          <cell r="K272" t="str">
            <v>P262</v>
          </cell>
        </row>
        <row r="273">
          <cell r="B273">
            <v>106040</v>
          </cell>
          <cell r="C273">
            <v>100002253</v>
          </cell>
          <cell r="D273" t="str">
            <v>OCTREOTIDA 0,1 MG/ML SOL. INY. AM</v>
          </cell>
          <cell r="E273" t="str">
            <v>AM</v>
          </cell>
          <cell r="F273" t="str">
            <v>FC</v>
          </cell>
          <cell r="G273">
            <v>43</v>
          </cell>
          <cell r="H273">
            <v>4043</v>
          </cell>
          <cell r="I273">
            <v>173849</v>
          </cell>
          <cell r="J273">
            <v>106040</v>
          </cell>
          <cell r="K273" t="str">
            <v>P263</v>
          </cell>
        </row>
        <row r="274">
          <cell r="B274">
            <v>102187</v>
          </cell>
          <cell r="C274">
            <v>100003840</v>
          </cell>
          <cell r="D274" t="str">
            <v>OLANZAPINA 5 MG CM/CM REC</v>
          </cell>
          <cell r="E274" t="str">
            <v>CM</v>
          </cell>
          <cell r="F274" t="str">
            <v>FC</v>
          </cell>
          <cell r="G274">
            <v>1899</v>
          </cell>
          <cell r="H274">
            <v>101</v>
          </cell>
          <cell r="I274">
            <v>191799</v>
          </cell>
          <cell r="J274">
            <v>102187</v>
          </cell>
          <cell r="K274" t="str">
            <v>P264</v>
          </cell>
        </row>
        <row r="275">
          <cell r="B275">
            <v>106065</v>
          </cell>
          <cell r="C275">
            <v>100001101</v>
          </cell>
          <cell r="D275" t="str">
            <v xml:space="preserve">OLIGOELEMENTOS 2 ML SOL. INY. AM </v>
          </cell>
          <cell r="E275" t="str">
            <v>AM</v>
          </cell>
          <cell r="F275" t="str">
            <v>FC</v>
          </cell>
          <cell r="G275">
            <v>217</v>
          </cell>
          <cell r="H275">
            <v>4374</v>
          </cell>
          <cell r="I275">
            <v>949158</v>
          </cell>
          <cell r="J275">
            <v>106065</v>
          </cell>
          <cell r="K275" t="str">
            <v>P265</v>
          </cell>
        </row>
        <row r="276">
          <cell r="B276">
            <v>104046</v>
          </cell>
          <cell r="C276">
            <v>100001102</v>
          </cell>
          <cell r="D276" t="str">
            <v>OMEPRAZOL 20MG CP C/MICR.C/REC/ENT</v>
          </cell>
          <cell r="E276" t="str">
            <v>CP</v>
          </cell>
          <cell r="F276" t="str">
            <v>FC</v>
          </cell>
          <cell r="G276">
            <v>39111</v>
          </cell>
          <cell r="H276">
            <v>15</v>
          </cell>
          <cell r="I276">
            <v>586665</v>
          </cell>
          <cell r="J276">
            <v>104046</v>
          </cell>
          <cell r="K276" t="str">
            <v>P266</v>
          </cell>
        </row>
        <row r="277">
          <cell r="B277">
            <v>106095</v>
          </cell>
          <cell r="C277">
            <v>100001103</v>
          </cell>
          <cell r="D277" t="str">
            <v>OMEPRAZOL 40 MG POLVO/LIOF. P/SOL. INY. FAM</v>
          </cell>
          <cell r="E277" t="str">
            <v>FA</v>
          </cell>
          <cell r="F277" t="str">
            <v>FC</v>
          </cell>
          <cell r="G277">
            <v>135</v>
          </cell>
          <cell r="H277">
            <v>869</v>
          </cell>
          <cell r="I277">
            <v>117315</v>
          </cell>
          <cell r="J277">
            <v>106095</v>
          </cell>
          <cell r="K277" t="str">
            <v>P267</v>
          </cell>
        </row>
        <row r="278">
          <cell r="B278">
            <v>209089</v>
          </cell>
          <cell r="C278">
            <v>100001104</v>
          </cell>
          <cell r="D278" t="str">
            <v>ONDANSETRON 8 MG CM REC</v>
          </cell>
          <cell r="E278" t="str">
            <v>CM</v>
          </cell>
          <cell r="F278" t="str">
            <v>FO</v>
          </cell>
          <cell r="G278">
            <v>7937</v>
          </cell>
          <cell r="H278">
            <v>202</v>
          </cell>
          <cell r="I278">
            <v>1603274</v>
          </cell>
          <cell r="J278">
            <v>209089</v>
          </cell>
          <cell r="K278" t="str">
            <v>P268</v>
          </cell>
        </row>
        <row r="279">
          <cell r="B279">
            <v>209090</v>
          </cell>
          <cell r="C279">
            <v>100005482</v>
          </cell>
          <cell r="D279" t="str">
            <v>ONDANSETRON 8 MG CM BUCODISPERSABLES</v>
          </cell>
          <cell r="E279" t="str">
            <v>CM</v>
          </cell>
          <cell r="F279" t="str">
            <v>FO</v>
          </cell>
          <cell r="G279">
            <v>279</v>
          </cell>
          <cell r="H279">
            <v>377</v>
          </cell>
          <cell r="I279">
            <v>105183</v>
          </cell>
          <cell r="J279">
            <v>209090</v>
          </cell>
          <cell r="K279" t="str">
            <v>P269</v>
          </cell>
        </row>
        <row r="280">
          <cell r="B280">
            <v>209026</v>
          </cell>
          <cell r="C280">
            <v>100001105</v>
          </cell>
          <cell r="D280" t="str">
            <v xml:space="preserve">ONDANSETRON 8 MG/4ML SOL. INY. AM </v>
          </cell>
          <cell r="E280" t="str">
            <v>AM</v>
          </cell>
          <cell r="F280" t="str">
            <v>FC</v>
          </cell>
          <cell r="G280">
            <v>5496</v>
          </cell>
          <cell r="H280">
            <v>213</v>
          </cell>
          <cell r="I280">
            <v>1170648</v>
          </cell>
          <cell r="J280">
            <v>209026</v>
          </cell>
          <cell r="K280" t="str">
            <v>P270</v>
          </cell>
        </row>
        <row r="281">
          <cell r="B281">
            <v>101082</v>
          </cell>
          <cell r="C281">
            <v>100005324</v>
          </cell>
          <cell r="D281" t="str">
            <v>OSIMERTINIB 80 MG CM REC</v>
          </cell>
          <cell r="E281" t="str">
            <v>CM</v>
          </cell>
          <cell r="F281" t="str">
            <v>FO</v>
          </cell>
          <cell r="G281">
            <v>90</v>
          </cell>
          <cell r="H281">
            <v>134866</v>
          </cell>
          <cell r="I281">
            <v>12137940</v>
          </cell>
          <cell r="J281">
            <v>101082</v>
          </cell>
          <cell r="K281" t="str">
            <v>P271</v>
          </cell>
        </row>
        <row r="282">
          <cell r="B282">
            <v>209041</v>
          </cell>
          <cell r="C282">
            <v>100002256</v>
          </cell>
          <cell r="D282" t="str">
            <v>OXALIPLATINO 100 MG SOL. INY. FAM</v>
          </cell>
          <cell r="E282" t="str">
            <v>FA</v>
          </cell>
          <cell r="F282" t="str">
            <v>FO</v>
          </cell>
          <cell r="G282">
            <v>271</v>
          </cell>
          <cell r="H282">
            <v>22015</v>
          </cell>
          <cell r="I282">
            <v>5966065</v>
          </cell>
          <cell r="J282">
            <v>209041</v>
          </cell>
          <cell r="K282" t="str">
            <v>P272</v>
          </cell>
        </row>
        <row r="283">
          <cell r="B283">
            <v>209040</v>
          </cell>
          <cell r="C283">
            <v>100003408</v>
          </cell>
          <cell r="D283" t="str">
            <v>OXALIPLATINO 50 MG SOL. INY. FAM</v>
          </cell>
          <cell r="E283" t="str">
            <v>FA</v>
          </cell>
          <cell r="F283" t="str">
            <v>FO</v>
          </cell>
          <cell r="G283">
            <v>0</v>
          </cell>
          <cell r="H283">
            <v>9586</v>
          </cell>
          <cell r="I283">
            <v>0</v>
          </cell>
          <cell r="J283">
            <v>209040</v>
          </cell>
          <cell r="K283" t="str">
            <v>P273</v>
          </cell>
        </row>
        <row r="284">
          <cell r="B284">
            <v>209005</v>
          </cell>
          <cell r="C284" t="str">
            <v>NO ZGEN</v>
          </cell>
          <cell r="D284" t="str">
            <v>PACLITAXEL 100 MG SOL. INY. FAM</v>
          </cell>
          <cell r="E284" t="str">
            <v>FA</v>
          </cell>
          <cell r="F284" t="str">
            <v>FO</v>
          </cell>
          <cell r="G284">
            <v>32</v>
          </cell>
          <cell r="H284">
            <v>16584</v>
          </cell>
          <cell r="I284">
            <v>530688</v>
          </cell>
          <cell r="J284">
            <v>209005</v>
          </cell>
          <cell r="K284" t="str">
            <v>P274</v>
          </cell>
        </row>
        <row r="285">
          <cell r="B285">
            <v>209072</v>
          </cell>
          <cell r="C285">
            <v>100001116</v>
          </cell>
          <cell r="D285" t="str">
            <v>PACLITAXEL 300 MG SOL. INY. FAM</v>
          </cell>
          <cell r="E285" t="str">
            <v>FA</v>
          </cell>
          <cell r="F285" t="str">
            <v>FO</v>
          </cell>
          <cell r="G285">
            <v>90</v>
          </cell>
          <cell r="H285">
            <v>14816</v>
          </cell>
          <cell r="I285">
            <v>1333440</v>
          </cell>
          <cell r="J285">
            <v>209072</v>
          </cell>
          <cell r="K285" t="str">
            <v>P275</v>
          </cell>
        </row>
        <row r="286">
          <cell r="B286">
            <v>102137</v>
          </cell>
          <cell r="C286" t="str">
            <v>NO ZGEN</v>
          </cell>
          <cell r="D286" t="str">
            <v>PANCREATINA 25.000 UI CP C/ GRANULOS REC ENTERICO</v>
          </cell>
          <cell r="E286" t="str">
            <v>CP</v>
          </cell>
          <cell r="F286" t="str">
            <v>FC</v>
          </cell>
          <cell r="G286">
            <v>6888</v>
          </cell>
          <cell r="H286">
            <v>1144</v>
          </cell>
          <cell r="I286">
            <v>7879872</v>
          </cell>
          <cell r="J286">
            <v>102137</v>
          </cell>
          <cell r="K286" t="str">
            <v>P276</v>
          </cell>
        </row>
        <row r="287">
          <cell r="B287">
            <v>106052</v>
          </cell>
          <cell r="C287">
            <v>100001132</v>
          </cell>
          <cell r="D287" t="str">
            <v>PAPAVERINA 40 MG/ML SOL. INY. AM 2 ML</v>
          </cell>
          <cell r="E287" t="str">
            <v>AM</v>
          </cell>
          <cell r="F287" t="str">
            <v>FC</v>
          </cell>
          <cell r="G287">
            <v>79</v>
          </cell>
          <cell r="H287">
            <v>387</v>
          </cell>
          <cell r="I287">
            <v>30573</v>
          </cell>
          <cell r="J287">
            <v>106052</v>
          </cell>
          <cell r="K287" t="str">
            <v>P277</v>
          </cell>
        </row>
        <row r="288">
          <cell r="B288">
            <v>102057</v>
          </cell>
          <cell r="C288">
            <v>100002921</v>
          </cell>
          <cell r="D288" t="str">
            <v>PARACETAMOL 1 G/100 ML SOL. INY. FAM</v>
          </cell>
          <cell r="E288" t="str">
            <v>FA</v>
          </cell>
          <cell r="F288" t="str">
            <v>FC</v>
          </cell>
          <cell r="G288">
            <v>963</v>
          </cell>
          <cell r="H288">
            <v>572</v>
          </cell>
          <cell r="I288">
            <v>550836</v>
          </cell>
          <cell r="J288">
            <v>102057</v>
          </cell>
          <cell r="K288" t="str">
            <v>P278</v>
          </cell>
        </row>
        <row r="289">
          <cell r="B289">
            <v>104025</v>
          </cell>
          <cell r="C289">
            <v>100001143</v>
          </cell>
          <cell r="D289" t="str">
            <v>PARACETAMOL 500 MG CM/CM REC</v>
          </cell>
          <cell r="E289" t="str">
            <v>CM</v>
          </cell>
          <cell r="F289" t="str">
            <v>FC</v>
          </cell>
          <cell r="G289">
            <v>203446</v>
          </cell>
          <cell r="H289">
            <v>8</v>
          </cell>
          <cell r="I289">
            <v>1627568</v>
          </cell>
          <cell r="J289">
            <v>104025</v>
          </cell>
          <cell r="K289" t="str">
            <v>P279</v>
          </cell>
        </row>
        <row r="290">
          <cell r="B290">
            <v>102047</v>
          </cell>
          <cell r="C290">
            <v>100004906</v>
          </cell>
          <cell r="D290" t="str">
            <v>PAZOPANIB 200 MG CM REC</v>
          </cell>
          <cell r="E290" t="str">
            <v>CM</v>
          </cell>
          <cell r="F290" t="str">
            <v>FO</v>
          </cell>
          <cell r="G290">
            <v>30</v>
          </cell>
          <cell r="H290">
            <v>8204</v>
          </cell>
          <cell r="I290">
            <v>246120</v>
          </cell>
          <cell r="J290">
            <v>102047</v>
          </cell>
          <cell r="K290" t="str">
            <v>P280</v>
          </cell>
        </row>
        <row r="291">
          <cell r="B291">
            <v>102048</v>
          </cell>
          <cell r="C291">
            <v>100003903</v>
          </cell>
          <cell r="D291" t="str">
            <v>PAZOPANIB 400 MG CM REC</v>
          </cell>
          <cell r="E291" t="str">
            <v>CM</v>
          </cell>
          <cell r="F291" t="str">
            <v>FO</v>
          </cell>
          <cell r="G291">
            <v>1020</v>
          </cell>
          <cell r="H291">
            <v>5973</v>
          </cell>
          <cell r="I291">
            <v>6092460</v>
          </cell>
          <cell r="J291">
            <v>102048</v>
          </cell>
          <cell r="K291" t="str">
            <v>P281</v>
          </cell>
        </row>
        <row r="292">
          <cell r="B292">
            <v>422001</v>
          </cell>
          <cell r="C292">
            <v>100005505</v>
          </cell>
          <cell r="D292" t="str">
            <v>LIPEGFILGRASTIM / PEGFILGRASTIM 6 MG/0,6 ML SOL. INY. JERP</v>
          </cell>
          <cell r="E292" t="str">
            <v>JER</v>
          </cell>
          <cell r="F292" t="str">
            <v>FO</v>
          </cell>
          <cell r="G292">
            <v>402</v>
          </cell>
          <cell r="H292">
            <v>392700</v>
          </cell>
          <cell r="I292">
            <v>157865400</v>
          </cell>
          <cell r="J292">
            <v>422001</v>
          </cell>
          <cell r="K292" t="str">
            <v>P282</v>
          </cell>
        </row>
        <row r="293">
          <cell r="B293">
            <v>101084</v>
          </cell>
          <cell r="C293">
            <v>100004670</v>
          </cell>
          <cell r="D293" t="str">
            <v>PEMBROLIZUMAB 100 MG/ 4 ML SOL. INY. FAM</v>
          </cell>
          <cell r="E293" t="str">
            <v>FA</v>
          </cell>
          <cell r="F293" t="str">
            <v>FO</v>
          </cell>
          <cell r="G293">
            <v>103</v>
          </cell>
          <cell r="H293">
            <v>2070600</v>
          </cell>
          <cell r="I293">
            <v>213271800</v>
          </cell>
          <cell r="J293">
            <v>101084</v>
          </cell>
          <cell r="K293" t="str">
            <v>P283</v>
          </cell>
        </row>
        <row r="294">
          <cell r="B294">
            <v>209109</v>
          </cell>
          <cell r="C294">
            <v>100003413</v>
          </cell>
          <cell r="D294" t="str">
            <v>PEMETREXED 500 MG SOL. INY. FAM</v>
          </cell>
          <cell r="E294" t="str">
            <v>FA</v>
          </cell>
          <cell r="F294" t="str">
            <v>FO</v>
          </cell>
          <cell r="G294">
            <v>85</v>
          </cell>
          <cell r="H294">
            <v>28441</v>
          </cell>
          <cell r="I294">
            <v>2417485</v>
          </cell>
          <cell r="J294">
            <v>209109</v>
          </cell>
          <cell r="K294" t="str">
            <v>P284</v>
          </cell>
        </row>
        <row r="295">
          <cell r="B295">
            <v>101076</v>
          </cell>
          <cell r="C295">
            <v>100004650</v>
          </cell>
          <cell r="D295" t="str">
            <v>PERTUZUMAB 420 MG/ 14 ML SOL. INY. FAM</v>
          </cell>
          <cell r="E295" t="str">
            <v>FA</v>
          </cell>
          <cell r="F295" t="str">
            <v>FO</v>
          </cell>
          <cell r="G295">
            <v>34</v>
          </cell>
          <cell r="H295">
            <v>1628998</v>
          </cell>
          <cell r="I295">
            <v>55385932</v>
          </cell>
          <cell r="J295">
            <v>101076</v>
          </cell>
          <cell r="K295" t="str">
            <v>P285</v>
          </cell>
        </row>
        <row r="296">
          <cell r="B296">
            <v>102210</v>
          </cell>
          <cell r="C296" t="str">
            <v>NO ZGEN</v>
          </cell>
          <cell r="D296" t="str">
            <v>LUBRICANTE OCULAR GEL OFT.UNIDOSIS.</v>
          </cell>
          <cell r="E296" t="str">
            <v>AM</v>
          </cell>
          <cell r="F296" t="str">
            <v>FC</v>
          </cell>
          <cell r="G296">
            <v>0</v>
          </cell>
          <cell r="H296">
            <v>699</v>
          </cell>
          <cell r="I296">
            <v>0</v>
          </cell>
          <cell r="J296">
            <v>102210</v>
          </cell>
          <cell r="K296" t="str">
            <v>P286</v>
          </cell>
        </row>
        <row r="297">
          <cell r="B297">
            <v>102085</v>
          </cell>
          <cell r="C297" t="str">
            <v>NO ZGEN</v>
          </cell>
          <cell r="D297" t="str">
            <v>PICOSULFATO DE SODIO 10 MG SO POLVO PARA SOLUCION ORAL</v>
          </cell>
          <cell r="E297" t="str">
            <v>SO</v>
          </cell>
          <cell r="F297" t="str">
            <v>FC</v>
          </cell>
          <cell r="G297">
            <v>412</v>
          </cell>
          <cell r="H297">
            <v>7140</v>
          </cell>
          <cell r="I297">
            <v>2941680</v>
          </cell>
          <cell r="J297">
            <v>102085</v>
          </cell>
          <cell r="K297" t="str">
            <v>P287</v>
          </cell>
        </row>
        <row r="298">
          <cell r="B298">
            <v>102074</v>
          </cell>
          <cell r="C298" t="str">
            <v>NO ZGEN</v>
          </cell>
          <cell r="D298" t="str">
            <v>PICOSULFATO DE SODIO 7,5 MG / 1 ML FC GOTAS ORALES</v>
          </cell>
          <cell r="E298" t="str">
            <v>FC</v>
          </cell>
          <cell r="F298" t="str">
            <v>FC</v>
          </cell>
          <cell r="G298">
            <v>259</v>
          </cell>
          <cell r="H298">
            <v>1806</v>
          </cell>
          <cell r="I298">
            <v>467754</v>
          </cell>
          <cell r="J298">
            <v>102074</v>
          </cell>
          <cell r="K298" t="str">
            <v>P288</v>
          </cell>
        </row>
        <row r="299">
          <cell r="B299">
            <v>103043</v>
          </cell>
          <cell r="C299">
            <v>100002082</v>
          </cell>
          <cell r="D299" t="str">
            <v>PIPERACILINA/TAZOBACTAM 4,5 G POLVO P/SOL. INY. FAM</v>
          </cell>
          <cell r="E299" t="str">
            <v>FA</v>
          </cell>
          <cell r="F299" t="str">
            <v>FC</v>
          </cell>
          <cell r="G299">
            <v>1513</v>
          </cell>
          <cell r="H299">
            <v>1580</v>
          </cell>
          <cell r="I299">
            <v>2390540</v>
          </cell>
          <cell r="J299">
            <v>103043</v>
          </cell>
          <cell r="K299" t="str">
            <v>P289</v>
          </cell>
        </row>
        <row r="300">
          <cell r="B300">
            <v>106036</v>
          </cell>
          <cell r="C300">
            <v>100001184</v>
          </cell>
          <cell r="D300" t="str">
            <v>PIRIDOXINA 100 MG/1 ML SOL. INY. AM/FAM</v>
          </cell>
          <cell r="E300" t="str">
            <v>AM</v>
          </cell>
          <cell r="F300" t="str">
            <v>FC</v>
          </cell>
          <cell r="G300">
            <v>115</v>
          </cell>
          <cell r="H300">
            <v>90</v>
          </cell>
          <cell r="I300">
            <v>10350</v>
          </cell>
          <cell r="J300">
            <v>106036</v>
          </cell>
          <cell r="K300" t="str">
            <v>P290</v>
          </cell>
        </row>
        <row r="301">
          <cell r="B301">
            <v>102205</v>
          </cell>
          <cell r="C301" t="str">
            <v> 100002535</v>
          </cell>
          <cell r="D301" t="str">
            <v>POLIESTIRENO SULFONATO CALCICO FC 400-500 G O SO 15-20 G POLVO PARA SUSPENSION ORAL</v>
          </cell>
          <cell r="E301" t="str">
            <v>FC / SO</v>
          </cell>
          <cell r="F301" t="str">
            <v>FC</v>
          </cell>
          <cell r="G301">
            <v>0</v>
          </cell>
          <cell r="H301">
            <v>97580</v>
          </cell>
          <cell r="I301">
            <v>0</v>
          </cell>
          <cell r="J301">
            <v>102205</v>
          </cell>
          <cell r="K301" t="str">
            <v>P291</v>
          </cell>
        </row>
        <row r="302">
          <cell r="B302">
            <v>102096</v>
          </cell>
          <cell r="C302">
            <v>100002906</v>
          </cell>
          <cell r="D302" t="str">
            <v>POLIETILENGLICOL (MACROGOL 3350)17 G SO POLVO PARA SOLUCION ORAL</v>
          </cell>
          <cell r="E302" t="str">
            <v>SO</v>
          </cell>
          <cell r="F302" t="str">
            <v>FC</v>
          </cell>
          <cell r="G302">
            <v>591</v>
          </cell>
          <cell r="H302">
            <v>486</v>
          </cell>
          <cell r="I302">
            <v>287226</v>
          </cell>
          <cell r="J302">
            <v>102096</v>
          </cell>
          <cell r="K302" t="str">
            <v>P292</v>
          </cell>
        </row>
        <row r="303">
          <cell r="B303">
            <v>104026</v>
          </cell>
          <cell r="C303" t="str">
            <v>NO ZGEN</v>
          </cell>
          <cell r="D303" t="str">
            <v xml:space="preserve">POLIVITAMINICO CM/CP BLISTER </v>
          </cell>
          <cell r="E303" t="str">
            <v>CM/CP</v>
          </cell>
          <cell r="F303" t="str">
            <v>FC</v>
          </cell>
          <cell r="G303">
            <v>3512</v>
          </cell>
          <cell r="H303">
            <v>126</v>
          </cell>
          <cell r="I303">
            <v>442512</v>
          </cell>
          <cell r="J303">
            <v>104026</v>
          </cell>
          <cell r="K303" t="str">
            <v>P293</v>
          </cell>
        </row>
        <row r="304">
          <cell r="B304">
            <v>422004</v>
          </cell>
          <cell r="C304" t="str">
            <v>NO ZGEN</v>
          </cell>
          <cell r="D304" t="str">
            <v>CLORURO DE POTASIO EN AGUA PARA INYECTABLE 40 mEq / 100 ML</v>
          </cell>
          <cell r="E304" t="str">
            <v>MTZ</v>
          </cell>
          <cell r="F304" t="str">
            <v>FC</v>
          </cell>
          <cell r="G304">
            <v>97</v>
          </cell>
          <cell r="H304">
            <v>732</v>
          </cell>
          <cell r="I304">
            <v>71004</v>
          </cell>
          <cell r="J304">
            <v>422004</v>
          </cell>
          <cell r="K304" t="str">
            <v>P294</v>
          </cell>
        </row>
        <row r="305">
          <cell r="B305">
            <v>422005</v>
          </cell>
          <cell r="C305" t="str">
            <v>NO ZGEN</v>
          </cell>
          <cell r="D305" t="str">
            <v>CLORURO DE POTASIO EN DEXTROSA 5% CLORURO DE SODIO 0,45% 30 mEq / 1000 ML</v>
          </cell>
          <cell r="E305" t="str">
            <v>MTZ</v>
          </cell>
          <cell r="F305" t="str">
            <v>FC</v>
          </cell>
          <cell r="G305">
            <v>0</v>
          </cell>
          <cell r="H305">
            <v>1666</v>
          </cell>
          <cell r="I305">
            <v>0</v>
          </cell>
          <cell r="J305">
            <v>422005</v>
          </cell>
          <cell r="K305" t="str">
            <v>P295</v>
          </cell>
        </row>
        <row r="306">
          <cell r="B306">
            <v>102167</v>
          </cell>
          <cell r="C306" t="str">
            <v>NO ZGEN</v>
          </cell>
          <cell r="D306" t="str">
            <v>CLORURO DE POTASIO EN FISIOLOGICO 20 mEq / 1000 ML</v>
          </cell>
          <cell r="E306" t="str">
            <v>MTZ</v>
          </cell>
          <cell r="F306" t="str">
            <v>FC</v>
          </cell>
          <cell r="G306">
            <v>140</v>
          </cell>
          <cell r="H306">
            <v>3771</v>
          </cell>
          <cell r="I306">
            <v>527940</v>
          </cell>
          <cell r="J306">
            <v>102167</v>
          </cell>
          <cell r="K306" t="str">
            <v>P296</v>
          </cell>
        </row>
        <row r="307">
          <cell r="B307">
            <v>106037</v>
          </cell>
          <cell r="C307">
            <v>100001199</v>
          </cell>
          <cell r="D307" t="str">
            <v>POTASIO CLORURO 10% 10 ML SOL. INY. AM</v>
          </cell>
          <cell r="E307" t="str">
            <v>AM</v>
          </cell>
          <cell r="F307" t="str">
            <v>FC</v>
          </cell>
          <cell r="G307">
            <v>7490</v>
          </cell>
          <cell r="H307">
            <v>409</v>
          </cell>
          <cell r="I307">
            <v>3063410</v>
          </cell>
          <cell r="J307">
            <v>106037</v>
          </cell>
          <cell r="K307" t="str">
            <v>P297</v>
          </cell>
        </row>
        <row r="308">
          <cell r="B308">
            <v>107010</v>
          </cell>
          <cell r="C308">
            <v>100001201</v>
          </cell>
          <cell r="D308" t="str">
            <v>POTASIO GLUCONATO ELIXIR 31,2% FC 200ML</v>
          </cell>
          <cell r="E308" t="str">
            <v>FC</v>
          </cell>
          <cell r="F308" t="str">
            <v>FC</v>
          </cell>
          <cell r="G308">
            <v>54</v>
          </cell>
          <cell r="H308">
            <v>4998</v>
          </cell>
          <cell r="I308">
            <v>269892</v>
          </cell>
          <cell r="J308">
            <v>107010</v>
          </cell>
          <cell r="K308" t="str">
            <v>P298</v>
          </cell>
        </row>
        <row r="309">
          <cell r="B309">
            <v>104043</v>
          </cell>
          <cell r="C309">
            <v>100001210</v>
          </cell>
          <cell r="D309" t="str">
            <v>PREDNISONA 20 MG CM/CM REC</v>
          </cell>
          <cell r="E309" t="str">
            <v>CM</v>
          </cell>
          <cell r="F309" t="str">
            <v>FC</v>
          </cell>
          <cell r="G309">
            <v>8526</v>
          </cell>
          <cell r="H309">
            <v>37</v>
          </cell>
          <cell r="I309">
            <v>315462</v>
          </cell>
          <cell r="J309">
            <v>104043</v>
          </cell>
          <cell r="K309" t="str">
            <v>P299</v>
          </cell>
        </row>
        <row r="310">
          <cell r="B310">
            <v>104027</v>
          </cell>
          <cell r="C310">
            <v>100001209</v>
          </cell>
          <cell r="D310" t="str">
            <v>PREDNISONA 5 MG CM/CM REC</v>
          </cell>
          <cell r="E310" t="str">
            <v>CM</v>
          </cell>
          <cell r="F310" t="str">
            <v>FC</v>
          </cell>
          <cell r="G310">
            <v>3162</v>
          </cell>
          <cell r="H310">
            <v>14</v>
          </cell>
          <cell r="I310">
            <v>44268</v>
          </cell>
          <cell r="J310">
            <v>104027</v>
          </cell>
          <cell r="K310" t="str">
            <v>P300</v>
          </cell>
        </row>
        <row r="311">
          <cell r="B311">
            <v>102138</v>
          </cell>
          <cell r="C311">
            <v>100002261</v>
          </cell>
          <cell r="D311" t="str">
            <v>PREGABALINA 150 MG CM/CM REC/CP</v>
          </cell>
          <cell r="E311" t="str">
            <v>CM</v>
          </cell>
          <cell r="F311" t="str">
            <v>FC</v>
          </cell>
          <cell r="G311">
            <v>45177</v>
          </cell>
          <cell r="H311">
            <v>88</v>
          </cell>
          <cell r="I311">
            <v>3975576</v>
          </cell>
          <cell r="J311">
            <v>102138</v>
          </cell>
          <cell r="K311" t="str">
            <v>P301</v>
          </cell>
        </row>
        <row r="312">
          <cell r="B312">
            <v>106063</v>
          </cell>
          <cell r="C312">
            <v>100001215</v>
          </cell>
          <cell r="D312" t="str">
            <v>PROPRANOLOL 1 MG/ML SOL. INY. AM</v>
          </cell>
          <cell r="E312" t="str">
            <v>AM</v>
          </cell>
          <cell r="F312" t="str">
            <v>FC</v>
          </cell>
          <cell r="G312">
            <v>80</v>
          </cell>
          <cell r="H312">
            <v>464</v>
          </cell>
          <cell r="I312">
            <v>37120</v>
          </cell>
          <cell r="J312">
            <v>106063</v>
          </cell>
          <cell r="K312" t="str">
            <v>P302</v>
          </cell>
        </row>
        <row r="313">
          <cell r="B313">
            <v>106047</v>
          </cell>
          <cell r="C313">
            <v>100001222</v>
          </cell>
          <cell r="D313" t="str">
            <v>PARGEVERINA 5 MG/1ML SOL. INY. AM</v>
          </cell>
          <cell r="E313" t="str">
            <v>AM</v>
          </cell>
          <cell r="F313" t="str">
            <v>FC</v>
          </cell>
          <cell r="G313">
            <v>404</v>
          </cell>
          <cell r="H313">
            <v>393</v>
          </cell>
          <cell r="I313">
            <v>158772</v>
          </cell>
          <cell r="J313">
            <v>106047</v>
          </cell>
          <cell r="K313" t="str">
            <v>P303</v>
          </cell>
        </row>
        <row r="314">
          <cell r="B314">
            <v>101001</v>
          </cell>
          <cell r="C314">
            <v>100001223</v>
          </cell>
          <cell r="D314" t="str">
            <v>PROPOFOL 10 MG/ML (1%)  20 ML EMU. INY. AM</v>
          </cell>
          <cell r="E314" t="str">
            <v>AM</v>
          </cell>
          <cell r="F314" t="str">
            <v>FC</v>
          </cell>
          <cell r="G314">
            <v>422</v>
          </cell>
          <cell r="H314">
            <v>2028</v>
          </cell>
          <cell r="I314">
            <v>855816</v>
          </cell>
          <cell r="J314">
            <v>101001</v>
          </cell>
          <cell r="K314" t="str">
            <v>P304</v>
          </cell>
        </row>
        <row r="315">
          <cell r="B315">
            <v>101000</v>
          </cell>
          <cell r="C315">
            <v>100002089</v>
          </cell>
          <cell r="D315" t="str">
            <v xml:space="preserve">PROPOFOL 1% / 50 ML JER. EMULSION INYECTABLE </v>
          </cell>
          <cell r="E315" t="str">
            <v>JER</v>
          </cell>
          <cell r="F315" t="str">
            <v>FC</v>
          </cell>
          <cell r="G315">
            <v>58</v>
          </cell>
          <cell r="H315">
            <v>15708</v>
          </cell>
          <cell r="I315">
            <v>911064</v>
          </cell>
          <cell r="J315">
            <v>101000</v>
          </cell>
          <cell r="K315" t="str">
            <v>P305</v>
          </cell>
        </row>
        <row r="316">
          <cell r="B316">
            <v>102196</v>
          </cell>
          <cell r="C316">
            <v>100002090</v>
          </cell>
          <cell r="D316" t="str">
            <v>PROPOFOL 20 MG/ML (2%) EMU. INY. AM 50 ML</v>
          </cell>
          <cell r="E316" t="str">
            <v>FA</v>
          </cell>
          <cell r="F316" t="str">
            <v>FC</v>
          </cell>
          <cell r="G316">
            <v>0</v>
          </cell>
          <cell r="H316">
            <v>9282</v>
          </cell>
          <cell r="I316">
            <v>0</v>
          </cell>
          <cell r="J316">
            <v>102196</v>
          </cell>
          <cell r="K316" t="str">
            <v>P306</v>
          </cell>
        </row>
        <row r="317">
          <cell r="B317">
            <v>101002</v>
          </cell>
          <cell r="C317" t="str">
            <v>NO ZGEN</v>
          </cell>
          <cell r="D317" t="str">
            <v xml:space="preserve">PROPOFOL 2 % / 50 ML JER. EMULSION INYECTABLE </v>
          </cell>
          <cell r="E317" t="str">
            <v>JER</v>
          </cell>
          <cell r="F317" t="str">
            <v>FC</v>
          </cell>
          <cell r="G317">
            <v>60</v>
          </cell>
          <cell r="H317">
            <v>23300</v>
          </cell>
          <cell r="I317">
            <v>1398000</v>
          </cell>
          <cell r="J317">
            <v>101002</v>
          </cell>
          <cell r="K317" t="str">
            <v>P307</v>
          </cell>
        </row>
        <row r="318">
          <cell r="B318">
            <v>106070</v>
          </cell>
          <cell r="C318">
            <v>100001224</v>
          </cell>
          <cell r="D318" t="str">
            <v>PROTAMINA 50 MG/5 ML SOL INY. FAM/AM</v>
          </cell>
          <cell r="E318" t="str">
            <v>AM</v>
          </cell>
          <cell r="F318" t="str">
            <v>FC</v>
          </cell>
          <cell r="G318">
            <v>12</v>
          </cell>
          <cell r="H318">
            <v>36958</v>
          </cell>
          <cell r="I318">
            <v>443496</v>
          </cell>
          <cell r="J318">
            <v>106070</v>
          </cell>
          <cell r="K318" t="str">
            <v>P308</v>
          </cell>
        </row>
        <row r="319">
          <cell r="B319">
            <v>102155</v>
          </cell>
          <cell r="C319">
            <v>100001233</v>
          </cell>
          <cell r="D319" t="str">
            <v>QUETIAPINA 100 MG CM REC.</v>
          </cell>
          <cell r="E319" t="str">
            <v>CM</v>
          </cell>
          <cell r="F319" t="str">
            <v>FC</v>
          </cell>
          <cell r="G319">
            <v>2305</v>
          </cell>
          <cell r="H319">
            <v>26</v>
          </cell>
          <cell r="I319">
            <v>59930</v>
          </cell>
          <cell r="J319">
            <v>102155</v>
          </cell>
          <cell r="K319" t="str">
            <v>P309</v>
          </cell>
        </row>
        <row r="320">
          <cell r="B320">
            <v>102075</v>
          </cell>
          <cell r="C320">
            <v>100001232</v>
          </cell>
          <cell r="D320" t="str">
            <v>QUETIAPINA 25 MG CM REC.</v>
          </cell>
          <cell r="E320" t="str">
            <v>CM</v>
          </cell>
          <cell r="F320" t="str">
            <v>FC</v>
          </cell>
          <cell r="G320">
            <v>9288</v>
          </cell>
          <cell r="H320">
            <v>10</v>
          </cell>
          <cell r="I320">
            <v>92880</v>
          </cell>
          <cell r="J320">
            <v>102075</v>
          </cell>
          <cell r="K320" t="str">
            <v>P310</v>
          </cell>
        </row>
        <row r="321">
          <cell r="B321">
            <v>102026</v>
          </cell>
          <cell r="C321">
            <v>100001243</v>
          </cell>
          <cell r="D321" t="str">
            <v>REMIFENTANILO 1 MG LIOF. P/SOL. INY. IV FAM</v>
          </cell>
          <cell r="E321" t="str">
            <v>FA</v>
          </cell>
          <cell r="F321" t="str">
            <v>FC</v>
          </cell>
          <cell r="G321">
            <v>65</v>
          </cell>
          <cell r="H321">
            <v>3213</v>
          </cell>
          <cell r="I321">
            <v>208845</v>
          </cell>
          <cell r="J321">
            <v>102026</v>
          </cell>
          <cell r="K321" t="str">
            <v>P311</v>
          </cell>
        </row>
        <row r="322">
          <cell r="B322">
            <v>108013</v>
          </cell>
          <cell r="C322">
            <v>100002918</v>
          </cell>
          <cell r="D322" t="str">
            <v>RINGER LACTATO 500 ML BOLSA</v>
          </cell>
          <cell r="E322" t="str">
            <v>MTZ</v>
          </cell>
          <cell r="F322" t="str">
            <v>FC</v>
          </cell>
          <cell r="G322">
            <v>1036</v>
          </cell>
          <cell r="H322">
            <v>536</v>
          </cell>
          <cell r="I322">
            <v>555296</v>
          </cell>
          <cell r="J322">
            <v>108013</v>
          </cell>
          <cell r="K322" t="str">
            <v>P312</v>
          </cell>
        </row>
        <row r="323">
          <cell r="B323">
            <v>102111</v>
          </cell>
          <cell r="C323">
            <v>100001255</v>
          </cell>
          <cell r="D323" t="str">
            <v>RISPERIDONA 1 MG CM/CM REC.</v>
          </cell>
          <cell r="E323" t="str">
            <v>CM</v>
          </cell>
          <cell r="F323" t="str">
            <v>FC</v>
          </cell>
          <cell r="G323">
            <v>1169</v>
          </cell>
          <cell r="H323">
            <v>39</v>
          </cell>
          <cell r="I323">
            <v>45591</v>
          </cell>
          <cell r="J323">
            <v>102111</v>
          </cell>
          <cell r="K323" t="str">
            <v>P313</v>
          </cell>
        </row>
        <row r="324">
          <cell r="B324">
            <v>102157</v>
          </cell>
          <cell r="C324">
            <v>100002297</v>
          </cell>
          <cell r="D324" t="str">
            <v>RISPERIDONA 1 MG/ML SOL. ORAL FC 20 A 30ML</v>
          </cell>
          <cell r="E324" t="str">
            <v>FC</v>
          </cell>
          <cell r="F324" t="str">
            <v>FC</v>
          </cell>
          <cell r="G324">
            <v>25</v>
          </cell>
          <cell r="H324">
            <v>2785</v>
          </cell>
          <cell r="I324">
            <v>69625</v>
          </cell>
          <cell r="J324">
            <v>102157</v>
          </cell>
          <cell r="K324" t="str">
            <v>P314</v>
          </cell>
        </row>
        <row r="325">
          <cell r="B325">
            <v>209112</v>
          </cell>
          <cell r="C325">
            <v>100005518</v>
          </cell>
          <cell r="D325" t="str">
            <v>RITUXIMAB 100 MG/10 ML SOL. INY. FAM</v>
          </cell>
          <cell r="E325" t="str">
            <v>FA</v>
          </cell>
          <cell r="F325" t="str">
            <v>FO</v>
          </cell>
          <cell r="G325">
            <v>248</v>
          </cell>
          <cell r="H325">
            <v>51170</v>
          </cell>
          <cell r="I325">
            <v>12690160</v>
          </cell>
          <cell r="J325">
            <v>209112</v>
          </cell>
          <cell r="K325" t="str">
            <v>P315</v>
          </cell>
        </row>
        <row r="326">
          <cell r="B326">
            <v>209113</v>
          </cell>
          <cell r="C326">
            <v>100002611</v>
          </cell>
          <cell r="D326" t="str">
            <v>RITUXIMAB 500 MG/ 50 ML SOL. INY. FAM</v>
          </cell>
          <cell r="E326" t="str">
            <v>FA</v>
          </cell>
          <cell r="F326" t="str">
            <v>FO</v>
          </cell>
          <cell r="G326">
            <v>122</v>
          </cell>
          <cell r="H326">
            <v>123760</v>
          </cell>
          <cell r="I326">
            <v>15098720</v>
          </cell>
          <cell r="J326">
            <v>209113</v>
          </cell>
          <cell r="K326" t="str">
            <v>P316</v>
          </cell>
        </row>
        <row r="327">
          <cell r="B327">
            <v>102058</v>
          </cell>
          <cell r="C327">
            <v>100004354</v>
          </cell>
          <cell r="D327" t="str">
            <v>RIVAROXABAN 15 MG CM REC</v>
          </cell>
          <cell r="E327" t="str">
            <v>CM</v>
          </cell>
          <cell r="F327" t="str">
            <v>FC</v>
          </cell>
          <cell r="G327">
            <v>769</v>
          </cell>
          <cell r="H327">
            <v>42</v>
          </cell>
          <cell r="I327">
            <v>32298</v>
          </cell>
          <cell r="J327">
            <v>102058</v>
          </cell>
          <cell r="K327" t="str">
            <v>P317</v>
          </cell>
        </row>
        <row r="328">
          <cell r="B328">
            <v>106017</v>
          </cell>
          <cell r="C328">
            <v>100001260</v>
          </cell>
          <cell r="D328" t="str">
            <v>ROCURONIO 50 MG/5 ML SOL. INY. FAM</v>
          </cell>
          <cell r="E328" t="str">
            <v>FA</v>
          </cell>
          <cell r="F328" t="str">
            <v>FC</v>
          </cell>
          <cell r="G328">
            <v>417</v>
          </cell>
          <cell r="H328">
            <v>4641</v>
          </cell>
          <cell r="I328">
            <v>1935297</v>
          </cell>
          <cell r="J328">
            <v>106017</v>
          </cell>
          <cell r="K328" t="str">
            <v>P318</v>
          </cell>
        </row>
        <row r="329">
          <cell r="B329">
            <v>105007</v>
          </cell>
          <cell r="C329">
            <v>100001266</v>
          </cell>
          <cell r="D329" t="str">
            <v>SALBUTAMOL 100 UG/DO S/CFC FRA 200 A 250 DO</v>
          </cell>
          <cell r="E329" t="str">
            <v>FC</v>
          </cell>
          <cell r="F329" t="str">
            <v>FC</v>
          </cell>
          <cell r="G329">
            <v>192</v>
          </cell>
          <cell r="H329">
            <v>1107</v>
          </cell>
          <cell r="I329">
            <v>212544</v>
          </cell>
          <cell r="J329">
            <v>105007</v>
          </cell>
          <cell r="K329" t="str">
            <v>P319</v>
          </cell>
        </row>
        <row r="330">
          <cell r="B330">
            <v>105008</v>
          </cell>
          <cell r="C330">
            <v>100002314</v>
          </cell>
          <cell r="D330" t="str">
            <v>SALBUTAMOL 5 MG/ML SOL. NEB. FRA 20 ML</v>
          </cell>
          <cell r="E330" t="str">
            <v>FC</v>
          </cell>
          <cell r="F330" t="str">
            <v>FC</v>
          </cell>
          <cell r="G330">
            <v>71</v>
          </cell>
          <cell r="H330">
            <v>1309</v>
          </cell>
          <cell r="I330">
            <v>92939</v>
          </cell>
          <cell r="J330">
            <v>105008</v>
          </cell>
          <cell r="K330" t="str">
            <v>P320</v>
          </cell>
        </row>
        <row r="331">
          <cell r="B331">
            <v>104029</v>
          </cell>
          <cell r="C331">
            <v>100001289</v>
          </cell>
          <cell r="D331" t="str">
            <v>SERTRALINA 50 MG CM/CM REC</v>
          </cell>
          <cell r="E331" t="str">
            <v>CM</v>
          </cell>
          <cell r="F331" t="str">
            <v>FC</v>
          </cell>
          <cell r="G331">
            <v>26565</v>
          </cell>
          <cell r="H331">
            <v>18</v>
          </cell>
          <cell r="I331">
            <v>478170</v>
          </cell>
          <cell r="J331">
            <v>104029</v>
          </cell>
          <cell r="K331" t="str">
            <v>P321</v>
          </cell>
        </row>
        <row r="332">
          <cell r="B332">
            <v>101005</v>
          </cell>
          <cell r="C332">
            <v>100001295</v>
          </cell>
          <cell r="D332" t="str">
            <v>SEVOFLURANO LIQ. P/INH. FC 250 ML</v>
          </cell>
          <cell r="E332" t="str">
            <v>FC</v>
          </cell>
          <cell r="F332" t="str">
            <v>FC</v>
          </cell>
          <cell r="G332">
            <v>110</v>
          </cell>
          <cell r="H332">
            <v>49904</v>
          </cell>
          <cell r="I332">
            <v>5489440</v>
          </cell>
          <cell r="J332">
            <v>101005</v>
          </cell>
          <cell r="K332" t="str">
            <v>P322</v>
          </cell>
        </row>
        <row r="333">
          <cell r="B333">
            <v>102101</v>
          </cell>
          <cell r="C333" t="str">
            <v>NO ZGEN</v>
          </cell>
          <cell r="D333" t="str">
            <v>SIMETICONA 60 MG CP</v>
          </cell>
          <cell r="E333" t="str">
            <v>CP</v>
          </cell>
          <cell r="F333" t="str">
            <v>FC</v>
          </cell>
          <cell r="G333">
            <v>0</v>
          </cell>
          <cell r="H333">
            <v>194</v>
          </cell>
          <cell r="I333">
            <v>0</v>
          </cell>
          <cell r="J333">
            <v>102101</v>
          </cell>
          <cell r="K333" t="str">
            <v>P323</v>
          </cell>
        </row>
        <row r="334">
          <cell r="B334">
            <v>102119</v>
          </cell>
          <cell r="C334">
            <v>100001299</v>
          </cell>
          <cell r="D334" t="str">
            <v xml:space="preserve">BICARBONATO DE SODIO 8,4% 10 ML SOL. INY. AM </v>
          </cell>
          <cell r="E334" t="str">
            <v>AM</v>
          </cell>
          <cell r="F334" t="str">
            <v>FC</v>
          </cell>
          <cell r="G334">
            <v>19</v>
          </cell>
          <cell r="H334">
            <v>833</v>
          </cell>
          <cell r="I334">
            <v>15827</v>
          </cell>
          <cell r="J334">
            <v>102119</v>
          </cell>
          <cell r="K334" t="str">
            <v>P324</v>
          </cell>
        </row>
        <row r="335">
          <cell r="B335">
            <v>108014</v>
          </cell>
          <cell r="C335">
            <v>100001298</v>
          </cell>
          <cell r="D335" t="str">
            <v>SODIO BICARBONATO 2/3 M 250 ML ENV. SEMIRRIGIDO</v>
          </cell>
          <cell r="E335" t="str">
            <v>MTZ</v>
          </cell>
          <cell r="F335" t="str">
            <v>FC</v>
          </cell>
          <cell r="G335">
            <v>76</v>
          </cell>
          <cell r="H335">
            <v>1250</v>
          </cell>
          <cell r="I335">
            <v>95000</v>
          </cell>
          <cell r="J335">
            <v>108014</v>
          </cell>
          <cell r="K335" t="str">
            <v>P325</v>
          </cell>
        </row>
        <row r="336">
          <cell r="B336">
            <v>106042</v>
          </cell>
          <cell r="C336">
            <v>100002561</v>
          </cell>
          <cell r="D336" t="str">
            <v xml:space="preserve">SODIO CLORURO 10 % 10 ML SOL. INY. IV AM </v>
          </cell>
          <cell r="E336" t="str">
            <v>AM</v>
          </cell>
          <cell r="F336" t="str">
            <v>FC</v>
          </cell>
          <cell r="G336">
            <v>2177</v>
          </cell>
          <cell r="H336">
            <v>217</v>
          </cell>
          <cell r="I336">
            <v>472409</v>
          </cell>
          <cell r="J336">
            <v>106042</v>
          </cell>
          <cell r="K336" t="str">
            <v>P326</v>
          </cell>
        </row>
        <row r="337">
          <cell r="B337">
            <v>106041</v>
          </cell>
          <cell r="C337">
            <v>100001310</v>
          </cell>
          <cell r="D337" t="str">
            <v xml:space="preserve">SODIO CLORURO 0,9% 20 ML SOL. INY. IV AM </v>
          </cell>
          <cell r="E337" t="str">
            <v>AM</v>
          </cell>
          <cell r="F337" t="str">
            <v>FC</v>
          </cell>
          <cell r="G337">
            <v>22629</v>
          </cell>
          <cell r="H337">
            <v>127</v>
          </cell>
          <cell r="I337">
            <v>2873883</v>
          </cell>
          <cell r="J337">
            <v>106041</v>
          </cell>
          <cell r="K337" t="str">
            <v>P327</v>
          </cell>
        </row>
        <row r="338">
          <cell r="B338">
            <v>392004</v>
          </cell>
          <cell r="C338">
            <v>100002919</v>
          </cell>
          <cell r="D338" t="str">
            <v xml:space="preserve">SODIO CLORURO 0,9% 100 ML BOLSA </v>
          </cell>
          <cell r="E338" t="str">
            <v>MTZ</v>
          </cell>
          <cell r="F338" t="str">
            <v>FC</v>
          </cell>
          <cell r="G338">
            <v>2512</v>
          </cell>
          <cell r="H338">
            <v>461</v>
          </cell>
          <cell r="I338">
            <v>1158032</v>
          </cell>
          <cell r="J338">
            <v>392004</v>
          </cell>
          <cell r="K338" t="str">
            <v>P328</v>
          </cell>
        </row>
        <row r="339">
          <cell r="B339">
            <v>108023</v>
          </cell>
          <cell r="C339">
            <v>100002335</v>
          </cell>
          <cell r="D339" t="str">
            <v xml:space="preserve">SODIO CLORURO  0,9% 1000 ML BOLSA </v>
          </cell>
          <cell r="E339" t="str">
            <v>MTZ</v>
          </cell>
          <cell r="F339" t="str">
            <v>FC</v>
          </cell>
          <cell r="G339">
            <v>132</v>
          </cell>
          <cell r="H339">
            <v>701</v>
          </cell>
          <cell r="I339">
            <v>92532</v>
          </cell>
          <cell r="J339">
            <v>108023</v>
          </cell>
          <cell r="K339" t="str">
            <v>P329</v>
          </cell>
        </row>
        <row r="340">
          <cell r="B340">
            <v>108024</v>
          </cell>
          <cell r="C340">
            <v>100001306</v>
          </cell>
          <cell r="D340" t="str">
            <v xml:space="preserve">SODIO CLORURO 0,9% 250 ML BOLSA </v>
          </cell>
          <cell r="E340" t="str">
            <v>MTZ</v>
          </cell>
          <cell r="F340" t="str">
            <v>FC</v>
          </cell>
          <cell r="G340">
            <v>1786</v>
          </cell>
          <cell r="H340">
            <v>470</v>
          </cell>
          <cell r="I340">
            <v>839420</v>
          </cell>
          <cell r="J340">
            <v>108024</v>
          </cell>
          <cell r="K340" t="str">
            <v>P330</v>
          </cell>
        </row>
        <row r="341">
          <cell r="B341">
            <v>102052</v>
          </cell>
          <cell r="C341" t="str">
            <v>NO ZGEN</v>
          </cell>
          <cell r="D341" t="str">
            <v>SUERO FISIOLOGICO 0,9 % 3000 ML BOLSA</v>
          </cell>
          <cell r="E341" t="str">
            <v>MTZ</v>
          </cell>
          <cell r="F341" t="str">
            <v>FC</v>
          </cell>
          <cell r="G341">
            <v>157</v>
          </cell>
          <cell r="H341">
            <v>8834</v>
          </cell>
          <cell r="I341">
            <v>1386938</v>
          </cell>
          <cell r="J341">
            <v>102052</v>
          </cell>
          <cell r="K341" t="str">
            <v>P331</v>
          </cell>
        </row>
        <row r="342">
          <cell r="B342">
            <v>392005</v>
          </cell>
          <cell r="C342">
            <v>100001308</v>
          </cell>
          <cell r="D342" t="str">
            <v xml:space="preserve">SODIO CLORURO 0,9% 500 ML BOLSA </v>
          </cell>
          <cell r="E342" t="str">
            <v>MTZ</v>
          </cell>
          <cell r="F342" t="str">
            <v>FC</v>
          </cell>
          <cell r="G342">
            <v>660</v>
          </cell>
          <cell r="H342">
            <v>500</v>
          </cell>
          <cell r="I342">
            <v>330000</v>
          </cell>
          <cell r="J342">
            <v>392005</v>
          </cell>
          <cell r="K342" t="str">
            <v>P332</v>
          </cell>
        </row>
        <row r="343">
          <cell r="B343">
            <v>101075</v>
          </cell>
          <cell r="C343">
            <v>100004673</v>
          </cell>
          <cell r="D343" t="str">
            <v xml:space="preserve">SORAFENIB 200 MG CM </v>
          </cell>
          <cell r="E343" t="str">
            <v>CM</v>
          </cell>
          <cell r="F343" t="str">
            <v>FO</v>
          </cell>
          <cell r="G343">
            <v>336</v>
          </cell>
          <cell r="H343">
            <v>30975</v>
          </cell>
          <cell r="I343">
            <v>10407600</v>
          </cell>
          <cell r="J343">
            <v>101075</v>
          </cell>
          <cell r="K343" t="str">
            <v>P333</v>
          </cell>
        </row>
        <row r="344">
          <cell r="B344">
            <v>106055</v>
          </cell>
          <cell r="C344">
            <v>100001358</v>
          </cell>
          <cell r="D344" t="str">
            <v>SUXAMETONIO 100 MG SOL. INY. AM</v>
          </cell>
          <cell r="E344" t="str">
            <v>AM</v>
          </cell>
          <cell r="F344" t="str">
            <v>FC</v>
          </cell>
          <cell r="G344">
            <v>78</v>
          </cell>
          <cell r="H344">
            <v>1702</v>
          </cell>
          <cell r="I344">
            <v>132756</v>
          </cell>
          <cell r="J344">
            <v>106055</v>
          </cell>
          <cell r="K344" t="str">
            <v>P334</v>
          </cell>
        </row>
        <row r="345">
          <cell r="B345">
            <v>102163</v>
          </cell>
          <cell r="C345" t="str">
            <v>NO ZGEN</v>
          </cell>
          <cell r="D345" t="str">
            <v>SUCRALFATO SUSPENSIÓN 10 % FC 200 ML</v>
          </cell>
          <cell r="E345" t="str">
            <v>FC</v>
          </cell>
          <cell r="F345" t="str">
            <v>FC</v>
          </cell>
          <cell r="G345">
            <v>54</v>
          </cell>
          <cell r="H345">
            <v>9510</v>
          </cell>
          <cell r="I345">
            <v>513540</v>
          </cell>
          <cell r="J345">
            <v>102163</v>
          </cell>
          <cell r="K345" t="str">
            <v>P335</v>
          </cell>
        </row>
        <row r="346">
          <cell r="B346">
            <v>101063</v>
          </cell>
          <cell r="C346">
            <v>100003904</v>
          </cell>
          <cell r="D346" t="str">
            <v>SUGAMMADEX 200 MG/ 2ML SOL. INY. FAM</v>
          </cell>
          <cell r="E346" t="str">
            <v>FA</v>
          </cell>
          <cell r="F346" t="str">
            <v>FC</v>
          </cell>
          <cell r="G346">
            <v>96</v>
          </cell>
          <cell r="H346">
            <v>5012</v>
          </cell>
          <cell r="I346">
            <v>481152</v>
          </cell>
          <cell r="J346">
            <v>101063</v>
          </cell>
          <cell r="K346" t="str">
            <v>P336</v>
          </cell>
        </row>
        <row r="347">
          <cell r="B347">
            <v>101053</v>
          </cell>
          <cell r="C347">
            <v>100004493</v>
          </cell>
          <cell r="D347" t="str">
            <v>SUNITINIB 25 MG CP</v>
          </cell>
          <cell r="E347" t="str">
            <v>CP</v>
          </cell>
          <cell r="F347" t="str">
            <v>FO</v>
          </cell>
          <cell r="G347">
            <v>112</v>
          </cell>
          <cell r="H347">
            <v>15748</v>
          </cell>
          <cell r="I347">
            <v>1763776</v>
          </cell>
          <cell r="J347">
            <v>101053</v>
          </cell>
          <cell r="K347" t="str">
            <v>P337</v>
          </cell>
        </row>
        <row r="348">
          <cell r="B348">
            <v>209152</v>
          </cell>
          <cell r="C348">
            <v>100003902</v>
          </cell>
          <cell r="D348" t="str">
            <v>SUNITINIB 50 MG CP</v>
          </cell>
          <cell r="E348" t="str">
            <v>CP</v>
          </cell>
          <cell r="F348" t="str">
            <v>FO</v>
          </cell>
          <cell r="G348">
            <v>504</v>
          </cell>
          <cell r="H348">
            <v>7729</v>
          </cell>
          <cell r="I348">
            <v>3895416</v>
          </cell>
          <cell r="J348">
            <v>209152</v>
          </cell>
          <cell r="K348" t="str">
            <v>P338</v>
          </cell>
        </row>
        <row r="349">
          <cell r="B349">
            <v>209147</v>
          </cell>
          <cell r="C349">
            <v>100002061</v>
          </cell>
          <cell r="D349" t="str">
            <v>TALIDOMIDA 100 MG CM REC</v>
          </cell>
          <cell r="E349" t="str">
            <v>CM</v>
          </cell>
          <cell r="F349" t="str">
            <v>FO</v>
          </cell>
          <cell r="G349">
            <v>3496</v>
          </cell>
          <cell r="H349">
            <v>720</v>
          </cell>
          <cell r="I349">
            <v>2517120</v>
          </cell>
          <cell r="J349">
            <v>209147</v>
          </cell>
          <cell r="K349" t="str">
            <v>P339</v>
          </cell>
        </row>
        <row r="350">
          <cell r="B350">
            <v>209084</v>
          </cell>
          <cell r="C350">
            <v>100001410</v>
          </cell>
          <cell r="D350" t="str">
            <v>TAMOXIFENO 20 MG CM REC</v>
          </cell>
          <cell r="E350" t="str">
            <v>CM</v>
          </cell>
          <cell r="F350" t="str">
            <v>FO</v>
          </cell>
          <cell r="G350">
            <v>49170</v>
          </cell>
          <cell r="H350">
            <v>113</v>
          </cell>
          <cell r="I350">
            <v>5556210</v>
          </cell>
          <cell r="J350">
            <v>209084</v>
          </cell>
          <cell r="K350" t="str">
            <v>P340</v>
          </cell>
        </row>
        <row r="351">
          <cell r="B351">
            <v>102122</v>
          </cell>
          <cell r="C351">
            <v>100004702</v>
          </cell>
          <cell r="D351" t="str">
            <v>TAPENTADOL 50 MG CM LIB. PROLONGADA</v>
          </cell>
          <cell r="E351" t="str">
            <v>CM LP</v>
          </cell>
          <cell r="F351" t="str">
            <v>FC</v>
          </cell>
          <cell r="G351">
            <v>1724</v>
          </cell>
          <cell r="H351">
            <v>791</v>
          </cell>
          <cell r="I351">
            <v>1363684</v>
          </cell>
          <cell r="J351">
            <v>102122</v>
          </cell>
          <cell r="K351" t="str">
            <v>P341</v>
          </cell>
        </row>
        <row r="352">
          <cell r="B352">
            <v>102189</v>
          </cell>
          <cell r="C352">
            <v>100004932</v>
          </cell>
          <cell r="D352" t="str">
            <v>TAPENTADOL 100 MG CM LIB. PROLONGADA</v>
          </cell>
          <cell r="E352" t="str">
            <v>CM LP</v>
          </cell>
          <cell r="F352" t="str">
            <v>FC</v>
          </cell>
          <cell r="G352">
            <v>596</v>
          </cell>
          <cell r="H352">
            <v>1248</v>
          </cell>
          <cell r="I352">
            <v>743808</v>
          </cell>
          <cell r="J352">
            <v>102189</v>
          </cell>
          <cell r="K352" t="str">
            <v>P342</v>
          </cell>
        </row>
        <row r="353">
          <cell r="B353">
            <v>209067</v>
          </cell>
          <cell r="C353">
            <v>100004645</v>
          </cell>
          <cell r="D353" t="str">
            <v>TEMOZOLOMIDA 100 MG CP</v>
          </cell>
          <cell r="E353" t="str">
            <v>CP</v>
          </cell>
          <cell r="F353" t="str">
            <v>FO</v>
          </cell>
          <cell r="G353">
            <v>500</v>
          </cell>
          <cell r="H353">
            <v>11287</v>
          </cell>
          <cell r="I353">
            <v>5643500</v>
          </cell>
          <cell r="J353">
            <v>209067</v>
          </cell>
          <cell r="K353" t="str">
            <v>P343</v>
          </cell>
        </row>
        <row r="354">
          <cell r="B354">
            <v>209162</v>
          </cell>
          <cell r="C354">
            <v>100005312</v>
          </cell>
          <cell r="D354" t="str">
            <v>TEMOZOLOMIDA 140 MG CP</v>
          </cell>
          <cell r="E354" t="str">
            <v>CP</v>
          </cell>
          <cell r="F354" t="str">
            <v>FO</v>
          </cell>
          <cell r="G354">
            <v>280</v>
          </cell>
          <cell r="H354">
            <v>46410</v>
          </cell>
          <cell r="I354">
            <v>12994800</v>
          </cell>
          <cell r="J354">
            <v>209162</v>
          </cell>
          <cell r="K354" t="str">
            <v>P344</v>
          </cell>
        </row>
        <row r="355">
          <cell r="B355">
            <v>209163</v>
          </cell>
          <cell r="C355">
            <v>100005313</v>
          </cell>
          <cell r="D355" t="str">
            <v>TEMOZOLOMIDA 180 MG CP</v>
          </cell>
          <cell r="E355" t="str">
            <v>CP</v>
          </cell>
          <cell r="F355" t="str">
            <v>FO</v>
          </cell>
          <cell r="G355">
            <v>80</v>
          </cell>
          <cell r="H355">
            <v>56525</v>
          </cell>
          <cell r="I355">
            <v>4522000</v>
          </cell>
          <cell r="J355">
            <v>209163</v>
          </cell>
          <cell r="K355" t="str">
            <v>P345</v>
          </cell>
        </row>
        <row r="356">
          <cell r="B356">
            <v>209106</v>
          </cell>
          <cell r="C356">
            <v>100005314</v>
          </cell>
          <cell r="D356" t="str">
            <v>TEMOZOLOMIDA 20 MG CP</v>
          </cell>
          <cell r="E356" t="str">
            <v>CP</v>
          </cell>
          <cell r="F356" t="str">
            <v>FO</v>
          </cell>
          <cell r="G356">
            <v>115</v>
          </cell>
          <cell r="H356">
            <v>3570</v>
          </cell>
          <cell r="I356">
            <v>410550</v>
          </cell>
          <cell r="J356">
            <v>209106</v>
          </cell>
          <cell r="K356" t="str">
            <v>P346</v>
          </cell>
        </row>
        <row r="357">
          <cell r="B357">
            <v>209135</v>
          </cell>
          <cell r="C357">
            <v>100005315</v>
          </cell>
          <cell r="D357" t="str">
            <v>TEMOZOLOMIDA 250 MG CP</v>
          </cell>
          <cell r="E357" t="str">
            <v>CP</v>
          </cell>
          <cell r="F357" t="str">
            <v>FO</v>
          </cell>
          <cell r="G357">
            <v>0</v>
          </cell>
          <cell r="H357">
            <v>59500</v>
          </cell>
          <cell r="I357">
            <v>0</v>
          </cell>
          <cell r="J357">
            <v>209135</v>
          </cell>
          <cell r="K357" t="str">
            <v>P347</v>
          </cell>
        </row>
        <row r="358">
          <cell r="B358">
            <v>106050</v>
          </cell>
          <cell r="C358">
            <v>100004116</v>
          </cell>
          <cell r="D358" t="str">
            <v>TESTOSTERONA 1000 MG/ 4 ML  SOL. INY. FAM</v>
          </cell>
          <cell r="E358" t="str">
            <v>FA</v>
          </cell>
          <cell r="F358" t="str">
            <v>FO</v>
          </cell>
          <cell r="G358">
            <v>60</v>
          </cell>
          <cell r="H358">
            <v>83386</v>
          </cell>
          <cell r="I358">
            <v>5003160</v>
          </cell>
          <cell r="J358">
            <v>106050</v>
          </cell>
          <cell r="K358" t="str">
            <v>P348</v>
          </cell>
        </row>
        <row r="359">
          <cell r="B359">
            <v>106043</v>
          </cell>
          <cell r="C359">
            <v>100001438</v>
          </cell>
          <cell r="D359" t="str">
            <v>TIAMINA 30 MG/1 ML SOL. INY. AM</v>
          </cell>
          <cell r="E359" t="str">
            <v>AM</v>
          </cell>
          <cell r="F359" t="str">
            <v>FC</v>
          </cell>
          <cell r="G359">
            <v>3154</v>
          </cell>
          <cell r="H359">
            <v>143</v>
          </cell>
          <cell r="I359">
            <v>451022</v>
          </cell>
          <cell r="J359">
            <v>106043</v>
          </cell>
          <cell r="K359" t="str">
            <v>P349</v>
          </cell>
        </row>
        <row r="360">
          <cell r="B360">
            <v>102045</v>
          </cell>
          <cell r="C360">
            <v>100002080</v>
          </cell>
          <cell r="D360" t="str">
            <v>TIGECICLINA 50 MG LIOFILIZ. FAM</v>
          </cell>
          <cell r="E360" t="str">
            <v>FA</v>
          </cell>
          <cell r="F360" t="str">
            <v>FC</v>
          </cell>
          <cell r="G360">
            <v>0</v>
          </cell>
          <cell r="H360">
            <v>38240</v>
          </cell>
          <cell r="I360">
            <v>0</v>
          </cell>
          <cell r="J360">
            <v>102045</v>
          </cell>
          <cell r="K360" t="str">
            <v>P350</v>
          </cell>
        </row>
        <row r="361">
          <cell r="B361">
            <v>101055</v>
          </cell>
          <cell r="C361" t="str">
            <v>NO ZGEN</v>
          </cell>
          <cell r="D361" t="str">
            <v>TIROTROPINA ALFA 0,9 MG/ML (KIT 2 DOSIS)</v>
          </cell>
          <cell r="E361" t="str">
            <v>FA</v>
          </cell>
          <cell r="F361" t="str">
            <v>FC</v>
          </cell>
          <cell r="G361">
            <v>1</v>
          </cell>
          <cell r="H361">
            <v>1663401</v>
          </cell>
          <cell r="I361">
            <v>1663401</v>
          </cell>
          <cell r="J361">
            <v>101055</v>
          </cell>
          <cell r="K361" t="str">
            <v>P351</v>
          </cell>
        </row>
        <row r="362">
          <cell r="B362">
            <v>209103</v>
          </cell>
          <cell r="C362">
            <v>100002269</v>
          </cell>
          <cell r="D362" t="str">
            <v>TOPOTECAN 4MG LIOF. P/ SOL. INY. FAM</v>
          </cell>
          <cell r="E362" t="str">
            <v>FA</v>
          </cell>
          <cell r="F362" t="str">
            <v>FO</v>
          </cell>
          <cell r="G362">
            <v>71</v>
          </cell>
          <cell r="H362">
            <v>222530</v>
          </cell>
          <cell r="I362">
            <v>15799630</v>
          </cell>
          <cell r="J362">
            <v>209103</v>
          </cell>
          <cell r="K362" t="str">
            <v>P352</v>
          </cell>
        </row>
        <row r="363">
          <cell r="B363">
            <v>102171</v>
          </cell>
          <cell r="C363">
            <v>100004675</v>
          </cell>
          <cell r="D363" t="str">
            <v>TOXINA BOTULINICA 500 UI POLVO P/SOL. INY. FAM</v>
          </cell>
          <cell r="E363" t="str">
            <v>FA</v>
          </cell>
          <cell r="F363" t="str">
            <v>FC</v>
          </cell>
          <cell r="G363">
            <v>19</v>
          </cell>
          <cell r="H363">
            <v>290360</v>
          </cell>
          <cell r="I363">
            <v>5516840</v>
          </cell>
          <cell r="J363">
            <v>102171</v>
          </cell>
          <cell r="K363" t="str">
            <v>P353</v>
          </cell>
        </row>
        <row r="364">
          <cell r="B364">
            <v>106044</v>
          </cell>
          <cell r="C364">
            <v>100001464</v>
          </cell>
          <cell r="D364" t="str">
            <v>TRAMADOL 100 MG/2 ML SOL. INY. AM</v>
          </cell>
          <cell r="E364" t="str">
            <v>AM</v>
          </cell>
          <cell r="F364" t="str">
            <v>FC</v>
          </cell>
          <cell r="G364">
            <v>2430</v>
          </cell>
          <cell r="H364">
            <v>117</v>
          </cell>
          <cell r="I364">
            <v>284310</v>
          </cell>
          <cell r="J364">
            <v>106044</v>
          </cell>
          <cell r="K364" t="str">
            <v>P354</v>
          </cell>
        </row>
        <row r="365">
          <cell r="B365">
            <v>107011</v>
          </cell>
          <cell r="C365">
            <v>100001463</v>
          </cell>
          <cell r="D365" t="str">
            <v>TRAMADOL 100 MG/ML SOL. ORAL FC 10 ML (1ML = 40 GOTAS)</v>
          </cell>
          <cell r="E365" t="str">
            <v>FC</v>
          </cell>
          <cell r="F365" t="str">
            <v>FC</v>
          </cell>
          <cell r="G365">
            <v>2277</v>
          </cell>
          <cell r="H365">
            <v>553</v>
          </cell>
          <cell r="I365">
            <v>1259181</v>
          </cell>
          <cell r="J365">
            <v>107011</v>
          </cell>
          <cell r="K365" t="str">
            <v>P355</v>
          </cell>
        </row>
        <row r="366">
          <cell r="B366">
            <v>104042</v>
          </cell>
          <cell r="C366">
            <v>100001466</v>
          </cell>
          <cell r="D366" t="str">
            <v>TRAMADOL 100 MG CM REC/CP LIBER.PROLONG</v>
          </cell>
          <cell r="E366" t="str">
            <v>CM/CP</v>
          </cell>
          <cell r="F366" t="str">
            <v>FC</v>
          </cell>
          <cell r="G366">
            <v>6204</v>
          </cell>
          <cell r="H366">
            <v>104</v>
          </cell>
          <cell r="I366">
            <v>645216</v>
          </cell>
          <cell r="J366">
            <v>104042</v>
          </cell>
          <cell r="K366" t="str">
            <v>P356</v>
          </cell>
        </row>
        <row r="367">
          <cell r="B367">
            <v>101051</v>
          </cell>
          <cell r="C367">
            <v>100003980</v>
          </cell>
          <cell r="D367" t="str">
            <v>TRASTUZUMAB EMTANSINA 100 MG LIOF. P/SOL. INY. FAM</v>
          </cell>
          <cell r="E367" t="str">
            <v>FA</v>
          </cell>
          <cell r="F367" t="str">
            <v>FO</v>
          </cell>
          <cell r="G367">
            <v>58</v>
          </cell>
          <cell r="H367">
            <v>1140085</v>
          </cell>
          <cell r="I367">
            <v>66124930</v>
          </cell>
          <cell r="J367">
            <v>101051</v>
          </cell>
          <cell r="K367" t="str">
            <v>P357</v>
          </cell>
        </row>
        <row r="368">
          <cell r="B368">
            <v>101052</v>
          </cell>
          <cell r="C368">
            <v>100003979</v>
          </cell>
          <cell r="D368" t="str">
            <v>TRASTUZUMAB EMTANSINA 160 MG LIOF. P/SOL. INY. FAM</v>
          </cell>
          <cell r="E368" t="str">
            <v>FA</v>
          </cell>
          <cell r="F368" t="str">
            <v>FO</v>
          </cell>
          <cell r="G368">
            <v>85</v>
          </cell>
          <cell r="H368">
            <v>1824137</v>
          </cell>
          <cell r="I368">
            <v>155051645</v>
          </cell>
          <cell r="J368">
            <v>101052</v>
          </cell>
          <cell r="K368" t="str">
            <v>P358</v>
          </cell>
        </row>
        <row r="369">
          <cell r="B369">
            <v>102197</v>
          </cell>
          <cell r="C369" t="str">
            <v>NO ZGEN</v>
          </cell>
          <cell r="D369" t="str">
            <v>TRAUMEEL S SOL. INY. AM</v>
          </cell>
          <cell r="E369" t="str">
            <v>AM</v>
          </cell>
          <cell r="F369" t="str">
            <v>FC</v>
          </cell>
          <cell r="G369">
            <v>0</v>
          </cell>
          <cell r="H369">
            <v>0</v>
          </cell>
          <cell r="I369">
            <v>0</v>
          </cell>
          <cell r="J369">
            <v>102197</v>
          </cell>
          <cell r="K369" t="str">
            <v>P359</v>
          </cell>
        </row>
        <row r="370">
          <cell r="B370">
            <v>102154</v>
          </cell>
          <cell r="C370">
            <v>100001470</v>
          </cell>
          <cell r="D370" t="str">
            <v>TRAZODONA 100 MG CM/CM REC</v>
          </cell>
          <cell r="E370" t="str">
            <v>CM</v>
          </cell>
          <cell r="F370" t="str">
            <v>FC</v>
          </cell>
          <cell r="G370">
            <v>6777</v>
          </cell>
          <cell r="H370">
            <v>155</v>
          </cell>
          <cell r="I370">
            <v>1050435</v>
          </cell>
          <cell r="J370">
            <v>102154</v>
          </cell>
          <cell r="K370" t="str">
            <v>P360</v>
          </cell>
        </row>
        <row r="371">
          <cell r="B371">
            <v>209107</v>
          </cell>
          <cell r="C371">
            <v>100002342</v>
          </cell>
          <cell r="D371" t="str">
            <v>TRIPTORELINA 11,25MG LIOF. P/SUSP. INY. FAM</v>
          </cell>
          <cell r="E371" t="str">
            <v>FA</v>
          </cell>
          <cell r="F371" t="str">
            <v>FO</v>
          </cell>
          <cell r="G371">
            <v>201</v>
          </cell>
          <cell r="H371">
            <v>64260</v>
          </cell>
          <cell r="I371">
            <v>12916260</v>
          </cell>
          <cell r="J371">
            <v>209107</v>
          </cell>
          <cell r="K371" t="str">
            <v>P361</v>
          </cell>
        </row>
        <row r="372">
          <cell r="B372">
            <v>101062</v>
          </cell>
          <cell r="C372" t="str">
            <v>NO ZGEN</v>
          </cell>
          <cell r="D372" t="str">
            <v>TRIPTORELINA 3,75 MG LIOF. P/SUSP. INY. FAM</v>
          </cell>
          <cell r="E372" t="str">
            <v>FA</v>
          </cell>
          <cell r="F372" t="str">
            <v>FO</v>
          </cell>
          <cell r="G372">
            <v>36</v>
          </cell>
          <cell r="H372">
            <v>89250</v>
          </cell>
          <cell r="I372">
            <v>3213000</v>
          </cell>
          <cell r="J372">
            <v>101062</v>
          </cell>
          <cell r="K372" t="str">
            <v>P362</v>
          </cell>
        </row>
        <row r="373">
          <cell r="B373">
            <v>101048</v>
          </cell>
          <cell r="C373">
            <v>100007031</v>
          </cell>
          <cell r="D373" t="str">
            <v>VACUNA BCG 30 MG LIOF. P/SOL. INY. FAM CEPA DANISH 1331</v>
          </cell>
          <cell r="E373" t="str">
            <v>FA</v>
          </cell>
          <cell r="F373" t="str">
            <v>FO</v>
          </cell>
          <cell r="G373">
            <v>35</v>
          </cell>
          <cell r="H373">
            <v>105654</v>
          </cell>
          <cell r="I373">
            <v>3697890</v>
          </cell>
          <cell r="J373">
            <v>101048</v>
          </cell>
          <cell r="K373" t="str">
            <v>P363</v>
          </cell>
        </row>
        <row r="374">
          <cell r="B374">
            <v>103031</v>
          </cell>
          <cell r="C374">
            <v>100001547</v>
          </cell>
          <cell r="D374" t="str">
            <v>VANCOMICINA 1 G POLVO/LIOF. P/SOL. INY.FAM</v>
          </cell>
          <cell r="E374" t="str">
            <v>FA</v>
          </cell>
          <cell r="F374" t="str">
            <v>FC</v>
          </cell>
          <cell r="G374">
            <v>880</v>
          </cell>
          <cell r="H374">
            <v>1586</v>
          </cell>
          <cell r="I374">
            <v>1395680</v>
          </cell>
          <cell r="J374">
            <v>103031</v>
          </cell>
          <cell r="K374" t="str">
            <v>P364</v>
          </cell>
        </row>
        <row r="375">
          <cell r="B375">
            <v>105010</v>
          </cell>
          <cell r="C375">
            <v>100001551</v>
          </cell>
          <cell r="D375" t="str">
            <v xml:space="preserve">VASELINA LIQUIDA ESTERIL 10 ML AM </v>
          </cell>
          <cell r="E375" t="str">
            <v>AM</v>
          </cell>
          <cell r="F375" t="str">
            <v>FC</v>
          </cell>
          <cell r="G375">
            <v>1404</v>
          </cell>
          <cell r="H375">
            <v>832</v>
          </cell>
          <cell r="I375">
            <v>1168128</v>
          </cell>
          <cell r="J375">
            <v>105010</v>
          </cell>
          <cell r="K375" t="str">
            <v>P365</v>
          </cell>
        </row>
        <row r="376">
          <cell r="B376">
            <v>105015</v>
          </cell>
          <cell r="C376" t="str">
            <v>NO ZGEN</v>
          </cell>
          <cell r="D376" t="str">
            <v xml:space="preserve">VASELINA ESTERIL FC 100 ML </v>
          </cell>
          <cell r="E376" t="str">
            <v>FC</v>
          </cell>
          <cell r="F376" t="str">
            <v>FC</v>
          </cell>
          <cell r="G376">
            <v>5</v>
          </cell>
          <cell r="H376">
            <v>3897</v>
          </cell>
          <cell r="I376">
            <v>19485</v>
          </cell>
          <cell r="J376">
            <v>105015</v>
          </cell>
          <cell r="K376" t="str">
            <v>P366</v>
          </cell>
        </row>
        <row r="377">
          <cell r="B377">
            <v>102139</v>
          </cell>
          <cell r="C377">
            <v>100002567</v>
          </cell>
          <cell r="D377" t="str">
            <v>VENLAFAXINA 75 MG CM/CP LIB PROL</v>
          </cell>
          <cell r="E377" t="str">
            <v>CM</v>
          </cell>
          <cell r="F377" t="str">
            <v>FC</v>
          </cell>
          <cell r="G377">
            <v>3734</v>
          </cell>
          <cell r="H377">
            <v>30</v>
          </cell>
          <cell r="I377">
            <v>112020</v>
          </cell>
          <cell r="J377">
            <v>102139</v>
          </cell>
          <cell r="K377" t="str">
            <v>P367</v>
          </cell>
        </row>
        <row r="378">
          <cell r="B378">
            <v>209046</v>
          </cell>
          <cell r="C378" t="str">
            <v> 100001603</v>
          </cell>
          <cell r="D378" t="str">
            <v>VINBLASTINA 10 MG LIOF. O SOL. INY. FAM</v>
          </cell>
          <cell r="E378" t="str">
            <v>FA</v>
          </cell>
          <cell r="F378" t="str">
            <v>FO</v>
          </cell>
          <cell r="G378">
            <v>19</v>
          </cell>
          <cell r="H378">
            <v>26900</v>
          </cell>
          <cell r="I378">
            <v>511100</v>
          </cell>
          <cell r="J378">
            <v>209046</v>
          </cell>
          <cell r="K378" t="str">
            <v>P368</v>
          </cell>
        </row>
        <row r="379">
          <cell r="B379">
            <v>209047</v>
          </cell>
          <cell r="C379">
            <v>100001568</v>
          </cell>
          <cell r="D379" t="str">
            <v>VINCRISTINA 1MG/ML SOL. INY. FAM</v>
          </cell>
          <cell r="E379" t="str">
            <v>FA</v>
          </cell>
          <cell r="F379" t="str">
            <v>FO</v>
          </cell>
          <cell r="G379">
            <v>1</v>
          </cell>
          <cell r="H379">
            <v>17871</v>
          </cell>
          <cell r="I379">
            <v>17871</v>
          </cell>
          <cell r="J379">
            <v>209047</v>
          </cell>
          <cell r="K379" t="str">
            <v>P369</v>
          </cell>
        </row>
        <row r="380">
          <cell r="B380">
            <v>209037</v>
          </cell>
          <cell r="C380">
            <v>100005318</v>
          </cell>
          <cell r="D380" t="str">
            <v>VINORELBINE 50 MG/ 5 ML SOL. INY. FAM</v>
          </cell>
          <cell r="E380" t="str">
            <v>FA</v>
          </cell>
          <cell r="F380" t="str">
            <v>FO</v>
          </cell>
          <cell r="G380">
            <v>16</v>
          </cell>
          <cell r="H380">
            <v>307290</v>
          </cell>
          <cell r="I380">
            <v>4916640</v>
          </cell>
          <cell r="J380">
            <v>209037</v>
          </cell>
          <cell r="K380" t="str">
            <v>P370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D8DD-F90F-4691-8936-FC49B73C82BF}">
  <dimension ref="A1:AP397"/>
  <sheetViews>
    <sheetView showGridLines="0" tabSelected="1" workbookViewId="0">
      <pane xSplit="6" ySplit="4" topLeftCell="AG19" activePane="bottomRight" state="frozen"/>
      <selection pane="topRight" activeCell="F1" sqref="F1"/>
      <selection pane="bottomLeft" activeCell="A5" sqref="A5"/>
      <selection pane="bottomRight" activeCell="AG31" sqref="AG31"/>
    </sheetView>
  </sheetViews>
  <sheetFormatPr baseColWidth="10" defaultRowHeight="14.5" x14ac:dyDescent="0.35"/>
  <cols>
    <col min="1" max="1" width="3.6328125" bestFit="1" customWidth="1"/>
    <col min="2" max="2" width="5.26953125" customWidth="1"/>
    <col min="3" max="3" width="27.90625" customWidth="1"/>
    <col min="4" max="4" width="2.81640625" bestFit="1" customWidth="1"/>
    <col min="5" max="5" width="8.26953125" bestFit="1" customWidth="1"/>
    <col min="6" max="6" width="5" bestFit="1" customWidth="1"/>
    <col min="7" max="8" width="4.26953125" bestFit="1" customWidth="1"/>
    <col min="9" max="9" width="6.08984375" bestFit="1" customWidth="1"/>
    <col min="10" max="14" width="4.26953125" bestFit="1" customWidth="1"/>
    <col min="15" max="15" width="5.36328125" bestFit="1" customWidth="1"/>
    <col min="16" max="21" width="4.26953125" bestFit="1" customWidth="1"/>
    <col min="22" max="22" width="6.08984375" bestFit="1" customWidth="1"/>
    <col min="23" max="23" width="4.26953125" bestFit="1" customWidth="1"/>
    <col min="24" max="24" width="4.6328125" bestFit="1" customWidth="1"/>
    <col min="25" max="29" width="4.26953125" bestFit="1" customWidth="1"/>
    <col min="30" max="30" width="5" bestFit="1" customWidth="1"/>
    <col min="31" max="32" width="7.54296875" customWidth="1"/>
    <col min="33" max="34" width="7.26953125" bestFit="1" customWidth="1"/>
    <col min="35" max="35" width="7.26953125" customWidth="1"/>
    <col min="37" max="37" width="16.81640625" customWidth="1"/>
    <col min="40" max="41" width="14" customWidth="1"/>
  </cols>
  <sheetData>
    <row r="1" spans="1:42" ht="17.5" x14ac:dyDescent="0.4">
      <c r="B1" s="1" t="s">
        <v>0</v>
      </c>
    </row>
    <row r="3" spans="1:42" s="2" customFormat="1" ht="21.5" x14ac:dyDescent="0.3">
      <c r="B3" s="3"/>
      <c r="C3" s="3"/>
      <c r="D3" s="3"/>
      <c r="E3" s="3"/>
      <c r="F3" s="3"/>
      <c r="G3" s="4">
        <v>2023</v>
      </c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4">
        <v>2024</v>
      </c>
      <c r="T3" s="5"/>
      <c r="U3" s="5"/>
      <c r="V3" s="5"/>
      <c r="W3" s="5"/>
      <c r="X3" s="5"/>
      <c r="Y3" s="5"/>
      <c r="Z3" s="5"/>
      <c r="AA3" s="5"/>
      <c r="AB3" s="5"/>
      <c r="AC3" s="5"/>
      <c r="AD3" s="6"/>
      <c r="AE3" s="7" t="s">
        <v>1</v>
      </c>
      <c r="AF3" s="7" t="s">
        <v>1</v>
      </c>
      <c r="AG3" s="8" t="s">
        <v>2</v>
      </c>
      <c r="AH3" s="8" t="s">
        <v>2</v>
      </c>
      <c r="AI3" s="8"/>
      <c r="AJ3" s="9"/>
      <c r="AK3" s="9"/>
    </row>
    <row r="4" spans="1:42" ht="22" x14ac:dyDescent="0.35">
      <c r="A4" s="10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8</v>
      </c>
      <c r="T4" s="10" t="s">
        <v>9</v>
      </c>
      <c r="U4" s="10" t="s">
        <v>10</v>
      </c>
      <c r="V4" s="10" t="s">
        <v>11</v>
      </c>
      <c r="W4" s="10" t="s">
        <v>12</v>
      </c>
      <c r="X4" s="10" t="s">
        <v>13</v>
      </c>
      <c r="Y4" s="10" t="s">
        <v>14</v>
      </c>
      <c r="Z4" s="10" t="s">
        <v>15</v>
      </c>
      <c r="AA4" s="10" t="s">
        <v>16</v>
      </c>
      <c r="AB4" s="10" t="s">
        <v>17</v>
      </c>
      <c r="AC4" s="10" t="s">
        <v>18</v>
      </c>
      <c r="AD4" s="10" t="s">
        <v>19</v>
      </c>
      <c r="AE4" s="11">
        <v>2023</v>
      </c>
      <c r="AF4" s="11">
        <v>2024</v>
      </c>
      <c r="AG4" s="11">
        <v>2023</v>
      </c>
      <c r="AH4" s="11">
        <v>2024</v>
      </c>
      <c r="AI4" s="12"/>
      <c r="AJ4" s="13"/>
      <c r="AK4" s="14" t="s">
        <v>20</v>
      </c>
    </row>
    <row r="5" spans="1:42" x14ac:dyDescent="0.35">
      <c r="A5" s="15" t="str">
        <f>VLOOKUP(B5,'[1]Tabla 1 Arsenal'!$B$11:$K$380,10,FALSE)</f>
        <v>P028</v>
      </c>
      <c r="B5" s="15">
        <v>102175</v>
      </c>
      <c r="C5" s="16" t="s">
        <v>21</v>
      </c>
      <c r="D5" s="16" t="s">
        <v>22</v>
      </c>
      <c r="E5" s="17">
        <v>672</v>
      </c>
      <c r="F5" s="18" t="s">
        <v>23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71</v>
      </c>
      <c r="T5" s="19">
        <v>307</v>
      </c>
      <c r="U5" s="19">
        <v>154</v>
      </c>
      <c r="V5" s="19">
        <v>46</v>
      </c>
      <c r="W5" s="19">
        <v>102</v>
      </c>
      <c r="X5" s="19">
        <v>268</v>
      </c>
      <c r="Y5" s="19">
        <v>274</v>
      </c>
      <c r="Z5" s="19">
        <v>243</v>
      </c>
      <c r="AA5" s="19">
        <v>203</v>
      </c>
      <c r="AB5" s="19">
        <v>606</v>
      </c>
      <c r="AC5" s="19">
        <v>106</v>
      </c>
      <c r="AD5" s="19">
        <v>440</v>
      </c>
      <c r="AE5" s="19">
        <f>SUM(G5:R5)</f>
        <v>0</v>
      </c>
      <c r="AF5" s="19">
        <f>SUM(S5:AD5)</f>
        <v>2820</v>
      </c>
      <c r="AG5" s="20">
        <f>AVERAGE(G5:R5)</f>
        <v>0</v>
      </c>
      <c r="AH5" s="20">
        <f>AVERAGE(S5:AD5)</f>
        <v>235</v>
      </c>
      <c r="AI5" s="21"/>
      <c r="AJ5" s="13"/>
      <c r="AK5" s="22" t="s">
        <v>24</v>
      </c>
      <c r="AL5" s="22" t="s">
        <v>25</v>
      </c>
      <c r="AM5" s="22" t="s">
        <v>26</v>
      </c>
      <c r="AN5" s="22" t="s">
        <v>27</v>
      </c>
      <c r="AO5" s="22" t="s">
        <v>28</v>
      </c>
    </row>
    <row r="6" spans="1:42" x14ac:dyDescent="0.35">
      <c r="A6" s="15" t="str">
        <f>VLOOKUP(B6,'[1]Tabla 1 Arsenal'!$B$11:$K$380,10,FALSE)</f>
        <v>P214</v>
      </c>
      <c r="B6" s="15">
        <v>109002</v>
      </c>
      <c r="C6" s="16" t="s">
        <v>29</v>
      </c>
      <c r="D6" s="16" t="s">
        <v>23</v>
      </c>
      <c r="E6" s="17">
        <v>11329</v>
      </c>
      <c r="F6" s="18" t="s">
        <v>23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3</v>
      </c>
      <c r="V6" s="19">
        <v>609</v>
      </c>
      <c r="W6" s="19">
        <v>239</v>
      </c>
      <c r="X6" s="19">
        <v>42</v>
      </c>
      <c r="Y6" s="19">
        <v>13</v>
      </c>
      <c r="Z6" s="19">
        <v>20</v>
      </c>
      <c r="AA6" s="19">
        <v>24</v>
      </c>
      <c r="AB6" s="19">
        <v>27</v>
      </c>
      <c r="AC6" s="19">
        <v>166</v>
      </c>
      <c r="AD6" s="19">
        <v>21</v>
      </c>
      <c r="AE6" s="19">
        <f t="shared" ref="AE6:AE69" si="0">SUM(G6:R6)</f>
        <v>0</v>
      </c>
      <c r="AF6" s="19">
        <f t="shared" ref="AF6:AF69" si="1">SUM(S6:AD6)</f>
        <v>1164</v>
      </c>
      <c r="AG6" s="20">
        <f t="shared" ref="AG6:AG69" si="2">AVERAGE(G6:R6)</f>
        <v>0</v>
      </c>
      <c r="AH6" s="20">
        <f t="shared" ref="AH6:AH29" si="3">AVERAGE(S6:AD6)</f>
        <v>97</v>
      </c>
      <c r="AI6" s="21"/>
      <c r="AJ6" s="13"/>
      <c r="AK6" s="23" t="s">
        <v>30</v>
      </c>
      <c r="AL6" s="24">
        <v>772321</v>
      </c>
      <c r="AM6" s="24">
        <v>783493</v>
      </c>
      <c r="AN6" s="25">
        <f>AL6/AL8</f>
        <v>0.17777163047933836</v>
      </c>
      <c r="AO6" s="25">
        <f>AM6/AM8</f>
        <v>0.18401898397666511</v>
      </c>
    </row>
    <row r="7" spans="1:42" x14ac:dyDescent="0.35">
      <c r="A7" s="15" t="str">
        <f>VLOOKUP(B7,'[1]Tabla 1 Arsenal'!$B$11:$K$380,10,FALSE)</f>
        <v>P342</v>
      </c>
      <c r="B7" s="15">
        <v>102189</v>
      </c>
      <c r="C7" s="16" t="s">
        <v>31</v>
      </c>
      <c r="D7" s="16" t="s">
        <v>32</v>
      </c>
      <c r="E7" s="17">
        <v>1248</v>
      </c>
      <c r="F7" s="18" t="s">
        <v>23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35</v>
      </c>
      <c r="V7" s="19">
        <v>40</v>
      </c>
      <c r="W7" s="19">
        <v>35</v>
      </c>
      <c r="X7" s="19">
        <v>156</v>
      </c>
      <c r="Y7" s="19">
        <v>0</v>
      </c>
      <c r="Z7" s="19">
        <v>0</v>
      </c>
      <c r="AA7" s="19">
        <v>10</v>
      </c>
      <c r="AB7" s="19">
        <v>279</v>
      </c>
      <c r="AC7" s="19">
        <v>105</v>
      </c>
      <c r="AD7" s="19">
        <v>60</v>
      </c>
      <c r="AE7" s="19">
        <f t="shared" si="0"/>
        <v>0</v>
      </c>
      <c r="AF7" s="19">
        <f t="shared" si="1"/>
        <v>720</v>
      </c>
      <c r="AG7" s="20">
        <f t="shared" si="2"/>
        <v>0</v>
      </c>
      <c r="AH7" s="20">
        <f t="shared" si="3"/>
        <v>60</v>
      </c>
      <c r="AI7" s="21"/>
      <c r="AJ7" s="13"/>
      <c r="AK7" s="23" t="s">
        <v>33</v>
      </c>
      <c r="AL7" s="26">
        <f>AL8-AL6</f>
        <v>3572134.8500000006</v>
      </c>
      <c r="AM7" s="26">
        <f>AM8-AM6</f>
        <v>3474181.8499999996</v>
      </c>
      <c r="AN7" s="25">
        <f>AL7/AL8</f>
        <v>0.82222836952066158</v>
      </c>
      <c r="AO7" s="25">
        <f>AM7/AM8</f>
        <v>0.81598101602333484</v>
      </c>
    </row>
    <row r="8" spans="1:42" x14ac:dyDescent="0.35">
      <c r="A8" s="15" t="str">
        <f>VLOOKUP(B8,'[1]Tabla 1 Arsenal'!$B$11:$K$380,10,FALSE)</f>
        <v>P306</v>
      </c>
      <c r="B8" s="15">
        <v>102196</v>
      </c>
      <c r="C8" s="16" t="s">
        <v>34</v>
      </c>
      <c r="D8" s="16" t="s">
        <v>23</v>
      </c>
      <c r="E8" s="17">
        <v>9282</v>
      </c>
      <c r="F8" s="18" t="s">
        <v>23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8</v>
      </c>
      <c r="W8" s="19">
        <v>78</v>
      </c>
      <c r="X8" s="19">
        <v>7</v>
      </c>
      <c r="Y8" s="19">
        <v>41</v>
      </c>
      <c r="Z8" s="19">
        <v>59</v>
      </c>
      <c r="AA8" s="19">
        <v>44</v>
      </c>
      <c r="AB8" s="19">
        <v>79</v>
      </c>
      <c r="AC8" s="19">
        <v>69</v>
      </c>
      <c r="AD8" s="19">
        <v>75</v>
      </c>
      <c r="AE8" s="19">
        <f t="shared" si="0"/>
        <v>0</v>
      </c>
      <c r="AF8" s="19">
        <f t="shared" si="1"/>
        <v>460</v>
      </c>
      <c r="AG8" s="20">
        <f t="shared" si="2"/>
        <v>0</v>
      </c>
      <c r="AH8" s="20">
        <f t="shared" si="3"/>
        <v>38.333333333333336</v>
      </c>
      <c r="AI8" s="21"/>
      <c r="AJ8" s="13"/>
      <c r="AK8" s="23" t="s">
        <v>35</v>
      </c>
      <c r="AL8" s="26">
        <f>AE375</f>
        <v>4344455.8500000006</v>
      </c>
      <c r="AM8" s="26">
        <f>AF375</f>
        <v>4257674.8499999996</v>
      </c>
      <c r="AN8" s="27">
        <f>SUM(AN6:AN7)</f>
        <v>1</v>
      </c>
      <c r="AO8" s="27">
        <f>SUM(AO6:AO7)</f>
        <v>1</v>
      </c>
    </row>
    <row r="9" spans="1:42" x14ac:dyDescent="0.35">
      <c r="A9" s="15" t="str">
        <f>VLOOKUP(B9,'[1]Tabla 1 Arsenal'!$B$11:$K$380,10,FALSE)</f>
        <v>P265</v>
      </c>
      <c r="B9" s="15">
        <v>106065</v>
      </c>
      <c r="C9" s="16" t="s">
        <v>36</v>
      </c>
      <c r="D9" s="16" t="s">
        <v>37</v>
      </c>
      <c r="E9" s="17">
        <v>4374</v>
      </c>
      <c r="F9" s="18" t="s">
        <v>23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10</v>
      </c>
      <c r="X9" s="19">
        <v>24</v>
      </c>
      <c r="Y9" s="19">
        <v>47</v>
      </c>
      <c r="Z9" s="19">
        <v>64</v>
      </c>
      <c r="AA9" s="19">
        <v>70</v>
      </c>
      <c r="AB9" s="19">
        <v>114</v>
      </c>
      <c r="AC9" s="19">
        <v>1</v>
      </c>
      <c r="AD9" s="19">
        <v>85</v>
      </c>
      <c r="AE9" s="19">
        <f t="shared" si="0"/>
        <v>0</v>
      </c>
      <c r="AF9" s="19">
        <f t="shared" si="1"/>
        <v>415</v>
      </c>
      <c r="AG9" s="20">
        <f t="shared" si="2"/>
        <v>0</v>
      </c>
      <c r="AH9" s="20">
        <f t="shared" si="3"/>
        <v>34.583333333333336</v>
      </c>
      <c r="AI9" s="21"/>
      <c r="AJ9" s="13"/>
      <c r="AK9" s="13"/>
    </row>
    <row r="10" spans="1:42" x14ac:dyDescent="0.35">
      <c r="A10" s="15" t="str">
        <f>VLOOKUP(B10,'[1]Tabla 1 Arsenal'!$B$11:$K$380,10,FALSE)</f>
        <v>P260</v>
      </c>
      <c r="B10" s="15">
        <v>108030</v>
      </c>
      <c r="C10" s="16" t="s">
        <v>38</v>
      </c>
      <c r="D10" s="16" t="s">
        <v>39</v>
      </c>
      <c r="E10" s="17">
        <v>4373</v>
      </c>
      <c r="F10" s="18" t="s">
        <v>23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24</v>
      </c>
      <c r="Y10" s="19">
        <v>46</v>
      </c>
      <c r="Z10" s="19">
        <v>54</v>
      </c>
      <c r="AA10" s="19">
        <v>67</v>
      </c>
      <c r="AB10" s="19">
        <v>114</v>
      </c>
      <c r="AC10" s="19">
        <v>13</v>
      </c>
      <c r="AD10" s="19">
        <v>85</v>
      </c>
      <c r="AE10" s="19">
        <f t="shared" si="0"/>
        <v>0</v>
      </c>
      <c r="AF10" s="19">
        <f t="shared" si="1"/>
        <v>403</v>
      </c>
      <c r="AG10" s="20">
        <f t="shared" si="2"/>
        <v>0</v>
      </c>
      <c r="AH10" s="20">
        <f t="shared" si="3"/>
        <v>33.583333333333336</v>
      </c>
      <c r="AI10" s="21"/>
      <c r="AJ10" s="13"/>
    </row>
    <row r="11" spans="1:42" x14ac:dyDescent="0.35">
      <c r="A11" s="15" t="str">
        <f>VLOOKUP(B11,'[1]Tabla 1 Arsenal'!$B$11:$K$380,10,FALSE)</f>
        <v>P027</v>
      </c>
      <c r="B11" s="15">
        <v>103037</v>
      </c>
      <c r="C11" s="16" t="s">
        <v>40</v>
      </c>
      <c r="D11" s="16" t="s">
        <v>22</v>
      </c>
      <c r="E11" s="17">
        <v>476</v>
      </c>
      <c r="F11" s="18" t="s">
        <v>23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15</v>
      </c>
      <c r="T11" s="19">
        <v>16</v>
      </c>
      <c r="U11" s="19">
        <v>80</v>
      </c>
      <c r="V11" s="19">
        <v>9</v>
      </c>
      <c r="W11" s="19">
        <v>2</v>
      </c>
      <c r="X11" s="19">
        <v>16</v>
      </c>
      <c r="Y11" s="19">
        <v>8</v>
      </c>
      <c r="Z11" s="19">
        <v>0</v>
      </c>
      <c r="AA11" s="19">
        <v>22</v>
      </c>
      <c r="AB11" s="19">
        <v>69</v>
      </c>
      <c r="AC11" s="19">
        <v>0</v>
      </c>
      <c r="AD11" s="19">
        <v>3</v>
      </c>
      <c r="AE11" s="19">
        <f t="shared" si="0"/>
        <v>0</v>
      </c>
      <c r="AF11" s="19">
        <f t="shared" si="1"/>
        <v>240</v>
      </c>
      <c r="AG11" s="20">
        <f t="shared" si="2"/>
        <v>0</v>
      </c>
      <c r="AH11" s="20">
        <f t="shared" si="3"/>
        <v>20</v>
      </c>
      <c r="AI11" s="21"/>
      <c r="AJ11" s="13"/>
      <c r="AK11" s="14" t="s">
        <v>41</v>
      </c>
    </row>
    <row r="12" spans="1:42" x14ac:dyDescent="0.35">
      <c r="A12" s="15" t="str">
        <f>VLOOKUP(B12,'[1]Tabla 1 Arsenal'!$B$11:$K$380,10,FALSE)</f>
        <v>P199</v>
      </c>
      <c r="B12" s="15">
        <v>102183</v>
      </c>
      <c r="C12" s="16" t="s">
        <v>42</v>
      </c>
      <c r="D12" s="16" t="s">
        <v>32</v>
      </c>
      <c r="E12" s="17">
        <v>28</v>
      </c>
      <c r="F12" s="18" t="s">
        <v>23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70</v>
      </c>
      <c r="AB12" s="19">
        <v>107</v>
      </c>
      <c r="AC12" s="19">
        <v>33</v>
      </c>
      <c r="AD12" s="19">
        <v>0</v>
      </c>
      <c r="AE12" s="19">
        <f t="shared" si="0"/>
        <v>0</v>
      </c>
      <c r="AF12" s="19">
        <f t="shared" si="1"/>
        <v>210</v>
      </c>
      <c r="AG12" s="20">
        <f t="shared" si="2"/>
        <v>0</v>
      </c>
      <c r="AH12" s="20">
        <f t="shared" si="3"/>
        <v>17.5</v>
      </c>
      <c r="AI12" s="21"/>
      <c r="AJ12" s="13"/>
      <c r="AK12" s="22" t="s">
        <v>43</v>
      </c>
      <c r="AL12" s="22" t="s">
        <v>30</v>
      </c>
      <c r="AM12" s="22" t="s">
        <v>33</v>
      </c>
    </row>
    <row r="13" spans="1:42" x14ac:dyDescent="0.35">
      <c r="A13" s="15" t="str">
        <f>VLOOKUP(B13,'[1]Tabla 1 Arsenal'!$B$11:$K$380,10,FALSE)</f>
        <v>P197</v>
      </c>
      <c r="B13" s="15">
        <v>102202</v>
      </c>
      <c r="C13" s="16" t="s">
        <v>44</v>
      </c>
      <c r="D13" s="16" t="s">
        <v>32</v>
      </c>
      <c r="E13" s="17">
        <v>66</v>
      </c>
      <c r="F13" s="18" t="s">
        <v>23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30</v>
      </c>
      <c r="AC13" s="19">
        <v>87</v>
      </c>
      <c r="AD13" s="19">
        <v>28</v>
      </c>
      <c r="AE13" s="19">
        <f t="shared" si="0"/>
        <v>0</v>
      </c>
      <c r="AF13" s="19">
        <f t="shared" si="1"/>
        <v>145</v>
      </c>
      <c r="AG13" s="20">
        <f t="shared" si="2"/>
        <v>0</v>
      </c>
      <c r="AH13" s="20">
        <f t="shared" si="3"/>
        <v>12.083333333333334</v>
      </c>
      <c r="AI13" s="21"/>
      <c r="AJ13" s="13"/>
      <c r="AK13" s="24" t="s">
        <v>45</v>
      </c>
      <c r="AL13" s="24">
        <v>33</v>
      </c>
      <c r="AM13" s="24">
        <v>62</v>
      </c>
      <c r="AO13" s="28">
        <f>AL13/AL16</f>
        <v>0.34020618556701032</v>
      </c>
      <c r="AP13" s="28">
        <f>AM13/AM16</f>
        <v>0.2271062271062271</v>
      </c>
    </row>
    <row r="14" spans="1:42" x14ac:dyDescent="0.35">
      <c r="A14" s="15" t="str">
        <f>VLOOKUP(B14,'[1]Tabla 1 Arsenal'!$B$11:$K$380,10,FALSE)</f>
        <v>P107</v>
      </c>
      <c r="B14" s="15">
        <v>102182</v>
      </c>
      <c r="C14" s="16" t="s">
        <v>46</v>
      </c>
      <c r="D14" s="16" t="s">
        <v>32</v>
      </c>
      <c r="E14" s="17">
        <v>179</v>
      </c>
      <c r="F14" s="18" t="s">
        <v>23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60</v>
      </c>
      <c r="AB14" s="19">
        <v>0</v>
      </c>
      <c r="AC14" s="19">
        <v>0</v>
      </c>
      <c r="AD14" s="19">
        <v>30</v>
      </c>
      <c r="AE14" s="19">
        <f t="shared" si="0"/>
        <v>0</v>
      </c>
      <c r="AF14" s="19">
        <f t="shared" si="1"/>
        <v>90</v>
      </c>
      <c r="AG14" s="20">
        <f t="shared" si="2"/>
        <v>0</v>
      </c>
      <c r="AH14" s="20">
        <f t="shared" si="3"/>
        <v>7.5</v>
      </c>
      <c r="AI14" s="21"/>
      <c r="AJ14" s="13"/>
      <c r="AK14" s="24" t="s">
        <v>47</v>
      </c>
      <c r="AL14" s="24">
        <v>26</v>
      </c>
      <c r="AM14" s="24">
        <v>60</v>
      </c>
      <c r="AO14" s="28">
        <f>AL14/AL16</f>
        <v>0.26804123711340205</v>
      </c>
      <c r="AP14" s="28">
        <f>AM14/AM16</f>
        <v>0.21978021978021978</v>
      </c>
    </row>
    <row r="15" spans="1:42" x14ac:dyDescent="0.35">
      <c r="A15" s="15" t="str">
        <f>VLOOKUP(B15,'[1]Tabla 1 Arsenal'!$B$11:$K$380,10,FALSE)</f>
        <v>P258</v>
      </c>
      <c r="B15" s="15">
        <v>102200</v>
      </c>
      <c r="C15" s="16" t="s">
        <v>48</v>
      </c>
      <c r="D15" s="16" t="s">
        <v>39</v>
      </c>
      <c r="E15" s="17">
        <v>54353</v>
      </c>
      <c r="F15" s="18" t="s">
        <v>23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</v>
      </c>
      <c r="AB15" s="19">
        <v>38</v>
      </c>
      <c r="AC15" s="19">
        <v>1</v>
      </c>
      <c r="AD15" s="19">
        <v>4</v>
      </c>
      <c r="AE15" s="19">
        <f t="shared" si="0"/>
        <v>0</v>
      </c>
      <c r="AF15" s="19">
        <f t="shared" si="1"/>
        <v>44</v>
      </c>
      <c r="AG15" s="20">
        <f t="shared" si="2"/>
        <v>0</v>
      </c>
      <c r="AH15" s="20">
        <f t="shared" si="3"/>
        <v>3.6666666666666665</v>
      </c>
      <c r="AI15" s="21"/>
      <c r="AJ15" s="13"/>
      <c r="AK15" s="24" t="s">
        <v>49</v>
      </c>
      <c r="AL15" s="24">
        <v>38</v>
      </c>
      <c r="AM15" s="24">
        <v>151</v>
      </c>
      <c r="AO15" s="28">
        <f>AL15/AL16</f>
        <v>0.39175257731958762</v>
      </c>
      <c r="AP15" s="28">
        <f>AM15/AM16</f>
        <v>0.55311355311355315</v>
      </c>
    </row>
    <row r="16" spans="1:42" x14ac:dyDescent="0.35">
      <c r="A16" s="15" t="str">
        <f>VLOOKUP(B16,'[1]Tabla 1 Arsenal'!$B$11:$K$380,10,FALSE)</f>
        <v>P259</v>
      </c>
      <c r="B16" s="15">
        <v>102194</v>
      </c>
      <c r="C16" s="16" t="s">
        <v>50</v>
      </c>
      <c r="D16" s="16" t="s">
        <v>51</v>
      </c>
      <c r="E16" s="17">
        <v>46232</v>
      </c>
      <c r="F16" s="18" t="s">
        <v>23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8</v>
      </c>
      <c r="AC16" s="19">
        <v>13</v>
      </c>
      <c r="AD16" s="19">
        <v>14</v>
      </c>
      <c r="AE16" s="19">
        <f t="shared" si="0"/>
        <v>0</v>
      </c>
      <c r="AF16" s="19">
        <f t="shared" si="1"/>
        <v>35</v>
      </c>
      <c r="AG16" s="20">
        <f t="shared" si="2"/>
        <v>0</v>
      </c>
      <c r="AH16" s="20">
        <f t="shared" si="3"/>
        <v>2.9166666666666665</v>
      </c>
      <c r="AI16" s="21"/>
      <c r="AJ16" s="13"/>
      <c r="AK16" s="13"/>
      <c r="AL16">
        <f>SUM(AL13:AL15)</f>
        <v>97</v>
      </c>
      <c r="AM16">
        <f>SUM(AM13:AM15)</f>
        <v>273</v>
      </c>
    </row>
    <row r="17" spans="1:41" x14ac:dyDescent="0.35">
      <c r="A17" s="15" t="str">
        <f>VLOOKUP(B17,'[1]Tabla 1 Arsenal'!$B$11:$K$380,10,FALSE)</f>
        <v>P077</v>
      </c>
      <c r="B17" s="15">
        <v>102186</v>
      </c>
      <c r="C17" s="16" t="s">
        <v>52</v>
      </c>
      <c r="D17" s="16" t="s">
        <v>53</v>
      </c>
      <c r="E17" s="17">
        <v>666</v>
      </c>
      <c r="F17" s="18" t="s">
        <v>23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5</v>
      </c>
      <c r="X17" s="19">
        <v>0</v>
      </c>
      <c r="Y17" s="19">
        <v>0</v>
      </c>
      <c r="Z17" s="19">
        <v>3</v>
      </c>
      <c r="AA17" s="19">
        <v>5</v>
      </c>
      <c r="AB17" s="19">
        <v>3</v>
      </c>
      <c r="AC17" s="19">
        <v>11</v>
      </c>
      <c r="AD17" s="19">
        <v>0</v>
      </c>
      <c r="AE17" s="19">
        <f t="shared" si="0"/>
        <v>0</v>
      </c>
      <c r="AF17" s="19">
        <f t="shared" si="1"/>
        <v>27</v>
      </c>
      <c r="AG17" s="20">
        <f t="shared" si="2"/>
        <v>0</v>
      </c>
      <c r="AH17" s="20">
        <f t="shared" si="3"/>
        <v>2.25</v>
      </c>
      <c r="AI17" s="21"/>
      <c r="AJ17" s="13"/>
      <c r="AK17" s="13"/>
    </row>
    <row r="18" spans="1:41" x14ac:dyDescent="0.35">
      <c r="A18" s="15" t="str">
        <f>VLOOKUP(B18,'[1]Tabla 1 Arsenal'!$B$11:$K$380,10,FALSE)</f>
        <v>P073</v>
      </c>
      <c r="B18" s="15">
        <v>201039</v>
      </c>
      <c r="C18" s="16" t="s">
        <v>54</v>
      </c>
      <c r="D18" s="16" t="s">
        <v>22</v>
      </c>
      <c r="E18" s="17">
        <v>530588</v>
      </c>
      <c r="F18" s="18" t="s">
        <v>55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20</v>
      </c>
      <c r="Z18" s="19">
        <v>0</v>
      </c>
      <c r="AA18" s="19">
        <v>0</v>
      </c>
      <c r="AB18" s="19">
        <v>5</v>
      </c>
      <c r="AC18" s="19">
        <v>0</v>
      </c>
      <c r="AD18" s="19">
        <v>0</v>
      </c>
      <c r="AE18" s="19">
        <f t="shared" si="0"/>
        <v>0</v>
      </c>
      <c r="AF18" s="19">
        <f t="shared" si="1"/>
        <v>25</v>
      </c>
      <c r="AG18" s="20">
        <f t="shared" si="2"/>
        <v>0</v>
      </c>
      <c r="AH18" s="20">
        <f t="shared" si="3"/>
        <v>2.0833333333333335</v>
      </c>
      <c r="AI18" s="21"/>
      <c r="AJ18" s="13"/>
      <c r="AK18" s="14" t="s">
        <v>56</v>
      </c>
    </row>
    <row r="19" spans="1:41" x14ac:dyDescent="0.35">
      <c r="A19" s="15" t="str">
        <f>VLOOKUP(B19,'[1]Tabla 1 Arsenal'!$B$11:$K$380,10,FALSE)</f>
        <v>P040</v>
      </c>
      <c r="B19" s="15">
        <v>102179</v>
      </c>
      <c r="C19" s="16" t="s">
        <v>57</v>
      </c>
      <c r="D19" s="16" t="s">
        <v>37</v>
      </c>
      <c r="E19" s="17">
        <v>11305</v>
      </c>
      <c r="F19" s="18" t="s">
        <v>23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4</v>
      </c>
      <c r="Y19" s="19">
        <v>6</v>
      </c>
      <c r="Z19" s="19">
        <v>4</v>
      </c>
      <c r="AA19" s="19">
        <v>0</v>
      </c>
      <c r="AB19" s="19">
        <v>0</v>
      </c>
      <c r="AC19" s="19">
        <v>2</v>
      </c>
      <c r="AD19" s="19">
        <v>4</v>
      </c>
      <c r="AE19" s="19">
        <f t="shared" si="0"/>
        <v>0</v>
      </c>
      <c r="AF19" s="19">
        <f t="shared" si="1"/>
        <v>20</v>
      </c>
      <c r="AG19" s="20">
        <f t="shared" si="2"/>
        <v>0</v>
      </c>
      <c r="AH19" s="20">
        <f t="shared" si="3"/>
        <v>1.6666666666666667</v>
      </c>
      <c r="AI19" s="21"/>
      <c r="AJ19" s="13"/>
      <c r="AK19" s="29" t="s">
        <v>43</v>
      </c>
      <c r="AL19" s="29" t="s">
        <v>30</v>
      </c>
      <c r="AM19" s="29" t="s">
        <v>33</v>
      </c>
      <c r="AN19" s="29" t="s">
        <v>58</v>
      </c>
      <c r="AO19" s="29" t="s">
        <v>59</v>
      </c>
    </row>
    <row r="20" spans="1:41" x14ac:dyDescent="0.35">
      <c r="A20" s="15" t="str">
        <f>VLOOKUP(B20,'[1]Tabla 1 Arsenal'!$B$11:$K$380,10,FALSE)</f>
        <v>P085</v>
      </c>
      <c r="B20" s="15">
        <v>102207</v>
      </c>
      <c r="C20" s="16" t="s">
        <v>60</v>
      </c>
      <c r="D20" s="16" t="s">
        <v>23</v>
      </c>
      <c r="E20" s="17">
        <v>0</v>
      </c>
      <c r="F20" s="18" t="s">
        <v>23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17</v>
      </c>
      <c r="AE20" s="19">
        <f t="shared" si="0"/>
        <v>0</v>
      </c>
      <c r="AF20" s="19">
        <f t="shared" si="1"/>
        <v>17</v>
      </c>
      <c r="AG20" s="20">
        <f t="shared" si="2"/>
        <v>0</v>
      </c>
      <c r="AH20" s="20">
        <f t="shared" si="3"/>
        <v>1.4166666666666667</v>
      </c>
      <c r="AI20" s="21"/>
      <c r="AJ20" s="13"/>
      <c r="AK20" s="24" t="s">
        <v>45</v>
      </c>
      <c r="AL20" s="24">
        <v>30</v>
      </c>
      <c r="AM20" s="24">
        <v>55</v>
      </c>
      <c r="AN20" s="25">
        <f>AL20/AL23</f>
        <v>0.30927835051546393</v>
      </c>
      <c r="AO20" s="25">
        <f>AM20/AM23</f>
        <v>0.20146520146520147</v>
      </c>
    </row>
    <row r="21" spans="1:41" x14ac:dyDescent="0.35">
      <c r="A21" s="15" t="str">
        <f>VLOOKUP(B21,'[1]Tabla 1 Arsenal'!$B$11:$K$380,10,FALSE)</f>
        <v>P095</v>
      </c>
      <c r="B21" s="15">
        <v>101103</v>
      </c>
      <c r="C21" s="16" t="s">
        <v>61</v>
      </c>
      <c r="D21" s="16" t="s">
        <v>23</v>
      </c>
      <c r="E21" s="17">
        <v>181526</v>
      </c>
      <c r="F21" s="18" t="s">
        <v>55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3</v>
      </c>
      <c r="Y21" s="19">
        <v>1</v>
      </c>
      <c r="Z21" s="19">
        <v>1</v>
      </c>
      <c r="AA21" s="19">
        <v>2</v>
      </c>
      <c r="AB21" s="19">
        <v>3</v>
      </c>
      <c r="AC21" s="19">
        <v>3</v>
      </c>
      <c r="AD21" s="19">
        <v>4</v>
      </c>
      <c r="AE21" s="19">
        <f t="shared" si="0"/>
        <v>0</v>
      </c>
      <c r="AF21" s="19">
        <f t="shared" si="1"/>
        <v>17</v>
      </c>
      <c r="AG21" s="20">
        <f t="shared" si="2"/>
        <v>0</v>
      </c>
      <c r="AH21" s="20">
        <f t="shared" si="3"/>
        <v>1.4166666666666667</v>
      </c>
      <c r="AI21" s="21"/>
      <c r="AJ21" s="13"/>
      <c r="AK21" s="24" t="s">
        <v>47</v>
      </c>
      <c r="AL21" s="24">
        <v>21</v>
      </c>
      <c r="AM21" s="24">
        <v>67</v>
      </c>
      <c r="AN21" s="25">
        <f>AL21/AL23</f>
        <v>0.21649484536082475</v>
      </c>
      <c r="AO21" s="25">
        <f>AM21/AM23</f>
        <v>0.24542124542124541</v>
      </c>
    </row>
    <row r="22" spans="1:41" x14ac:dyDescent="0.35">
      <c r="A22" s="15" t="str">
        <f>VLOOKUP(B22,'[1]Tabla 1 Arsenal'!$B$11:$K$380,10,FALSE)</f>
        <v>P207</v>
      </c>
      <c r="B22" s="15">
        <v>102108</v>
      </c>
      <c r="C22" s="16" t="s">
        <v>62</v>
      </c>
      <c r="D22" s="16" t="s">
        <v>22</v>
      </c>
      <c r="E22" s="17">
        <v>8955</v>
      </c>
      <c r="F22" s="18" t="s">
        <v>23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10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f t="shared" si="0"/>
        <v>0</v>
      </c>
      <c r="AF22" s="19">
        <f t="shared" si="1"/>
        <v>10</v>
      </c>
      <c r="AG22" s="20">
        <f t="shared" si="2"/>
        <v>0</v>
      </c>
      <c r="AH22" s="20">
        <f t="shared" si="3"/>
        <v>0.83333333333333337</v>
      </c>
      <c r="AI22" s="21"/>
      <c r="AJ22" s="13"/>
      <c r="AK22" s="24" t="s">
        <v>49</v>
      </c>
      <c r="AL22" s="24">
        <v>46</v>
      </c>
      <c r="AM22" s="24">
        <v>151</v>
      </c>
      <c r="AN22" s="25">
        <f>AL22/AL23</f>
        <v>0.47422680412371132</v>
      </c>
      <c r="AO22" s="25">
        <f>AM22/AM23</f>
        <v>0.55311355311355315</v>
      </c>
    </row>
    <row r="23" spans="1:41" x14ac:dyDescent="0.35">
      <c r="A23" s="15" t="str">
        <f>VLOOKUP(B23,'[1]Tabla 1 Arsenal'!$B$11:$K$380,10,FALSE)</f>
        <v>P167</v>
      </c>
      <c r="B23" s="15">
        <v>102190</v>
      </c>
      <c r="C23" s="16" t="s">
        <v>63</v>
      </c>
      <c r="D23" s="16" t="s">
        <v>64</v>
      </c>
      <c r="E23" s="17">
        <v>768</v>
      </c>
      <c r="F23" s="18" t="s">
        <v>23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2</v>
      </c>
      <c r="V23" s="19">
        <v>0</v>
      </c>
      <c r="W23" s="19">
        <v>0</v>
      </c>
      <c r="X23" s="19">
        <v>0</v>
      </c>
      <c r="Y23" s="19">
        <v>0</v>
      </c>
      <c r="Z23" s="19">
        <v>2</v>
      </c>
      <c r="AA23" s="19">
        <v>0</v>
      </c>
      <c r="AB23" s="19">
        <v>3</v>
      </c>
      <c r="AC23" s="19">
        <v>1</v>
      </c>
      <c r="AD23" s="19">
        <v>0</v>
      </c>
      <c r="AE23" s="19">
        <f t="shared" si="0"/>
        <v>0</v>
      </c>
      <c r="AF23" s="19">
        <f t="shared" si="1"/>
        <v>8</v>
      </c>
      <c r="AG23" s="20">
        <f t="shared" si="2"/>
        <v>0</v>
      </c>
      <c r="AH23" s="20">
        <f t="shared" si="3"/>
        <v>0.66666666666666663</v>
      </c>
      <c r="AI23" s="21"/>
      <c r="AJ23" s="13"/>
      <c r="AK23" s="30" t="s">
        <v>65</v>
      </c>
      <c r="AL23" s="24">
        <f>SUM(AL20:AL22)</f>
        <v>97</v>
      </c>
      <c r="AM23" s="24">
        <f>SUM(AM20:AM22)</f>
        <v>273</v>
      </c>
      <c r="AN23" s="25">
        <f t="shared" ref="AN23:AO23" si="4">SUM(AN20:AN22)</f>
        <v>1</v>
      </c>
      <c r="AO23" s="25">
        <f t="shared" si="4"/>
        <v>1</v>
      </c>
    </row>
    <row r="24" spans="1:41" x14ac:dyDescent="0.35">
      <c r="A24" s="15" t="str">
        <f>VLOOKUP(B24,'[1]Tabla 1 Arsenal'!$B$11:$K$380,10,FALSE)</f>
        <v>P232</v>
      </c>
      <c r="B24" s="15">
        <v>102178</v>
      </c>
      <c r="C24" s="16" t="s">
        <v>66</v>
      </c>
      <c r="D24" s="16" t="s">
        <v>67</v>
      </c>
      <c r="E24" s="17">
        <v>105</v>
      </c>
      <c r="F24" s="18" t="s">
        <v>23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4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4</v>
      </c>
      <c r="AE24" s="19">
        <f t="shared" si="0"/>
        <v>0</v>
      </c>
      <c r="AF24" s="19">
        <f t="shared" si="1"/>
        <v>8</v>
      </c>
      <c r="AG24" s="20">
        <f t="shared" si="2"/>
        <v>0</v>
      </c>
      <c r="AH24" s="20">
        <f t="shared" si="3"/>
        <v>0.66666666666666663</v>
      </c>
      <c r="AI24" s="21"/>
      <c r="AJ24" s="13"/>
      <c r="AK24" s="14" t="s">
        <v>68</v>
      </c>
    </row>
    <row r="25" spans="1:41" x14ac:dyDescent="0.35">
      <c r="A25" s="15" t="str">
        <f>VLOOKUP(B25,'[1]Tabla 1 Arsenal'!$B$11:$K$380,10,FALSE)</f>
        <v>P051</v>
      </c>
      <c r="B25" s="15">
        <v>201043</v>
      </c>
      <c r="C25" s="16" t="s">
        <v>69</v>
      </c>
      <c r="D25" s="16" t="s">
        <v>22</v>
      </c>
      <c r="E25" s="17">
        <v>1231650</v>
      </c>
      <c r="F25" s="18" t="s">
        <v>55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1</v>
      </c>
      <c r="AD25" s="19">
        <v>4</v>
      </c>
      <c r="AE25" s="19">
        <f t="shared" si="0"/>
        <v>0</v>
      </c>
      <c r="AF25" s="19">
        <f t="shared" si="1"/>
        <v>5</v>
      </c>
      <c r="AG25" s="20">
        <f t="shared" si="2"/>
        <v>0</v>
      </c>
      <c r="AH25" s="20">
        <f t="shared" si="3"/>
        <v>0.41666666666666669</v>
      </c>
      <c r="AI25" s="21"/>
      <c r="AJ25" s="13"/>
      <c r="AK25" s="29" t="s">
        <v>43</v>
      </c>
      <c r="AL25" s="29" t="s">
        <v>30</v>
      </c>
      <c r="AM25" s="29" t="s">
        <v>33</v>
      </c>
      <c r="AN25" s="29" t="s">
        <v>58</v>
      </c>
      <c r="AO25" s="29" t="s">
        <v>59</v>
      </c>
    </row>
    <row r="26" spans="1:41" x14ac:dyDescent="0.35">
      <c r="A26" s="15" t="str">
        <f>VLOOKUP(B26,'[1]Tabla 1 Arsenal'!$B$11:$K$380,10,FALSE)</f>
        <v>P176</v>
      </c>
      <c r="B26" s="15">
        <v>102158</v>
      </c>
      <c r="C26" s="16" t="s">
        <v>70</v>
      </c>
      <c r="D26" s="16" t="s">
        <v>37</v>
      </c>
      <c r="E26" s="17">
        <v>13792</v>
      </c>
      <c r="F26" s="18" t="s">
        <v>23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2</v>
      </c>
      <c r="AC26" s="19">
        <v>3</v>
      </c>
      <c r="AD26" s="19">
        <v>0</v>
      </c>
      <c r="AE26" s="19">
        <f t="shared" si="0"/>
        <v>0</v>
      </c>
      <c r="AF26" s="19">
        <f t="shared" si="1"/>
        <v>5</v>
      </c>
      <c r="AG26" s="20">
        <f t="shared" si="2"/>
        <v>0</v>
      </c>
      <c r="AH26" s="20">
        <f t="shared" si="3"/>
        <v>0.41666666666666669</v>
      </c>
      <c r="AI26" s="21"/>
      <c r="AJ26" s="13"/>
      <c r="AK26" s="24" t="s">
        <v>71</v>
      </c>
      <c r="AL26" s="24">
        <v>23</v>
      </c>
      <c r="AM26" s="24">
        <v>47</v>
      </c>
      <c r="AN26" s="25">
        <f>AL26/AL29</f>
        <v>0.23711340206185566</v>
      </c>
      <c r="AO26" s="25">
        <f>AM26/AM29</f>
        <v>0.17216117216117216</v>
      </c>
    </row>
    <row r="27" spans="1:41" x14ac:dyDescent="0.35">
      <c r="A27" s="15" t="str">
        <f>VLOOKUP(B27,'[1]Tabla 1 Arsenal'!$B$11:$K$380,10,FALSE)</f>
        <v>P178</v>
      </c>
      <c r="B27" s="15">
        <v>102192</v>
      </c>
      <c r="C27" s="16" t="s">
        <v>72</v>
      </c>
      <c r="D27" s="16" t="s">
        <v>39</v>
      </c>
      <c r="E27" s="17">
        <v>16797</v>
      </c>
      <c r="F27" s="18" t="s">
        <v>23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1</v>
      </c>
      <c r="Z27" s="19">
        <v>1</v>
      </c>
      <c r="AA27" s="19">
        <v>1</v>
      </c>
      <c r="AB27" s="19">
        <v>0</v>
      </c>
      <c r="AC27" s="19">
        <v>0</v>
      </c>
      <c r="AD27" s="19">
        <v>0</v>
      </c>
      <c r="AE27" s="19">
        <f t="shared" si="0"/>
        <v>0</v>
      </c>
      <c r="AF27" s="19">
        <f t="shared" si="1"/>
        <v>3</v>
      </c>
      <c r="AG27" s="20">
        <f t="shared" si="2"/>
        <v>0</v>
      </c>
      <c r="AH27" s="20">
        <f t="shared" si="3"/>
        <v>0.25</v>
      </c>
      <c r="AI27" s="21"/>
      <c r="AJ27" s="13"/>
      <c r="AK27" s="24" t="s">
        <v>73</v>
      </c>
      <c r="AL27" s="24">
        <v>19</v>
      </c>
      <c r="AM27" s="24">
        <v>61</v>
      </c>
      <c r="AN27" s="25">
        <f>AL27/AL29</f>
        <v>0.19587628865979381</v>
      </c>
      <c r="AO27" s="25">
        <f>AM27/AM29</f>
        <v>0.22344322344322345</v>
      </c>
    </row>
    <row r="28" spans="1:41" x14ac:dyDescent="0.35">
      <c r="A28" s="15" t="str">
        <f>VLOOKUP(B28,'[1]Tabla 1 Arsenal'!$B$11:$K$380,10,FALSE)</f>
        <v>P096</v>
      </c>
      <c r="B28" s="15">
        <v>101104</v>
      </c>
      <c r="C28" s="16" t="s">
        <v>74</v>
      </c>
      <c r="D28" s="16" t="s">
        <v>23</v>
      </c>
      <c r="E28" s="17">
        <v>192236</v>
      </c>
      <c r="F28" s="18" t="s">
        <v>55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2</v>
      </c>
      <c r="AD28" s="19">
        <v>0</v>
      </c>
      <c r="AE28" s="19">
        <f t="shared" si="0"/>
        <v>0</v>
      </c>
      <c r="AF28" s="19">
        <f t="shared" si="1"/>
        <v>2</v>
      </c>
      <c r="AG28" s="20">
        <f t="shared" si="2"/>
        <v>0</v>
      </c>
      <c r="AH28" s="20">
        <f t="shared" si="3"/>
        <v>0.16666666666666666</v>
      </c>
      <c r="AI28" s="21"/>
      <c r="AJ28" s="13"/>
      <c r="AK28" s="24" t="s">
        <v>75</v>
      </c>
      <c r="AL28" s="24">
        <v>55</v>
      </c>
      <c r="AM28" s="24">
        <v>165</v>
      </c>
      <c r="AN28" s="25">
        <f>AL28/AL29</f>
        <v>0.5670103092783505</v>
      </c>
      <c r="AO28" s="25">
        <f>AM28/AM29</f>
        <v>0.60439560439560436</v>
      </c>
    </row>
    <row r="29" spans="1:41" x14ac:dyDescent="0.35">
      <c r="A29" s="15" t="str">
        <f>VLOOKUP(B29,'[1]Tabla 1 Arsenal'!$B$11:$K$380,10,FALSE)</f>
        <v>P291</v>
      </c>
      <c r="B29" s="15">
        <v>102205</v>
      </c>
      <c r="C29" s="16" t="s">
        <v>76</v>
      </c>
      <c r="D29" s="16" t="s">
        <v>23</v>
      </c>
      <c r="E29" s="17">
        <v>97580</v>
      </c>
      <c r="F29" s="18" t="s">
        <v>23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1</v>
      </c>
      <c r="AB29" s="19">
        <v>0</v>
      </c>
      <c r="AC29" s="19">
        <v>0</v>
      </c>
      <c r="AD29" s="19">
        <v>0</v>
      </c>
      <c r="AE29" s="19">
        <f t="shared" si="0"/>
        <v>0</v>
      </c>
      <c r="AF29" s="19">
        <f t="shared" si="1"/>
        <v>1</v>
      </c>
      <c r="AG29" s="20">
        <f t="shared" si="2"/>
        <v>0</v>
      </c>
      <c r="AH29" s="20">
        <f t="shared" si="3"/>
        <v>8.3333333333333329E-2</v>
      </c>
      <c r="AI29" s="21"/>
      <c r="AJ29" s="13"/>
      <c r="AK29" s="30" t="s">
        <v>65</v>
      </c>
      <c r="AL29" s="24">
        <f>SUM(AL26:AL28)</f>
        <v>97</v>
      </c>
      <c r="AM29" s="24">
        <f>SUM(AM26:AM28)</f>
        <v>273</v>
      </c>
      <c r="AN29" s="25">
        <f t="shared" ref="AN29:AO29" si="5">SUM(AN26:AN28)</f>
        <v>1</v>
      </c>
      <c r="AO29" s="25">
        <f t="shared" si="5"/>
        <v>1</v>
      </c>
    </row>
    <row r="30" spans="1:41" x14ac:dyDescent="0.35">
      <c r="A30" s="15" t="str">
        <f>VLOOKUP(B30,'[1]Tabla 1 Arsenal'!$B$11:$K$380,10,FALSE)</f>
        <v>P145</v>
      </c>
      <c r="B30" s="15">
        <v>102213</v>
      </c>
      <c r="C30" s="16" t="s">
        <v>77</v>
      </c>
      <c r="D30" s="16" t="s">
        <v>78</v>
      </c>
      <c r="E30" s="17">
        <v>4760</v>
      </c>
      <c r="F30" s="18" t="s">
        <v>23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f t="shared" si="0"/>
        <v>0</v>
      </c>
      <c r="AF30" s="19">
        <f t="shared" si="1"/>
        <v>0</v>
      </c>
      <c r="AG30" s="20">
        <f t="shared" si="2"/>
        <v>0</v>
      </c>
      <c r="AH30" s="20">
        <v>0</v>
      </c>
      <c r="AI30" s="21"/>
      <c r="AJ30" s="13"/>
      <c r="AK30" s="13"/>
    </row>
    <row r="31" spans="1:41" x14ac:dyDescent="0.35">
      <c r="A31" s="15" t="str">
        <f>VLOOKUP(B31,'[1]Tabla 1 Arsenal'!$B$11:$K$380,10,FALSE)</f>
        <v>P179</v>
      </c>
      <c r="B31" s="15">
        <v>102193</v>
      </c>
      <c r="C31" s="16" t="s">
        <v>79</v>
      </c>
      <c r="D31" s="16" t="s">
        <v>78</v>
      </c>
      <c r="E31" s="17">
        <v>4510</v>
      </c>
      <c r="F31" s="18" t="s">
        <v>23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f t="shared" si="0"/>
        <v>0</v>
      </c>
      <c r="AF31" s="19">
        <f t="shared" si="1"/>
        <v>0</v>
      </c>
      <c r="AG31" s="20">
        <f t="shared" si="2"/>
        <v>0</v>
      </c>
      <c r="AH31" s="20">
        <v>0</v>
      </c>
      <c r="AI31" s="21"/>
      <c r="AJ31" s="13"/>
      <c r="AK31" s="13"/>
    </row>
    <row r="32" spans="1:41" x14ac:dyDescent="0.35">
      <c r="A32" s="15" t="str">
        <f>VLOOKUP(B32,'[1]Tabla 1 Arsenal'!$B$11:$K$380,10,FALSE)</f>
        <v>P198</v>
      </c>
      <c r="B32" s="15">
        <v>102208</v>
      </c>
      <c r="C32" s="16" t="s">
        <v>80</v>
      </c>
      <c r="D32" s="16" t="s">
        <v>22</v>
      </c>
      <c r="E32" s="17">
        <v>1684</v>
      </c>
      <c r="F32" s="18" t="s">
        <v>23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f t="shared" si="0"/>
        <v>0</v>
      </c>
      <c r="AF32" s="19">
        <f t="shared" si="1"/>
        <v>0</v>
      </c>
      <c r="AG32" s="20">
        <f t="shared" si="2"/>
        <v>0</v>
      </c>
      <c r="AH32" s="20">
        <v>0</v>
      </c>
      <c r="AI32" s="21"/>
      <c r="AJ32" s="13"/>
      <c r="AK32" s="13"/>
    </row>
    <row r="33" spans="1:37" x14ac:dyDescent="0.35">
      <c r="A33" s="15" t="str">
        <f>VLOOKUP(B33,'[1]Tabla 1 Arsenal'!$B$11:$K$380,10,FALSE)</f>
        <v>P286</v>
      </c>
      <c r="B33" s="15">
        <v>102210</v>
      </c>
      <c r="C33" s="16" t="s">
        <v>81</v>
      </c>
      <c r="D33" s="16" t="s">
        <v>39</v>
      </c>
      <c r="E33" s="17">
        <v>699</v>
      </c>
      <c r="F33" s="18" t="s">
        <v>23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f t="shared" si="0"/>
        <v>0</v>
      </c>
      <c r="AF33" s="19">
        <f t="shared" si="1"/>
        <v>0</v>
      </c>
      <c r="AG33" s="20">
        <f t="shared" si="2"/>
        <v>0</v>
      </c>
      <c r="AH33" s="20">
        <v>0</v>
      </c>
      <c r="AI33" s="21"/>
      <c r="AJ33" s="13"/>
      <c r="AK33" s="13"/>
    </row>
    <row r="34" spans="1:37" x14ac:dyDescent="0.35">
      <c r="A34" s="15" t="str">
        <f>VLOOKUP(B34,'[1]Tabla 1 Arsenal'!$B$11:$K$380,10,FALSE)</f>
        <v>P359</v>
      </c>
      <c r="B34" s="15">
        <v>102197</v>
      </c>
      <c r="C34" s="16" t="s">
        <v>82</v>
      </c>
      <c r="D34" s="16" t="s">
        <v>37</v>
      </c>
      <c r="E34" s="17">
        <v>0</v>
      </c>
      <c r="F34" s="18" t="s">
        <v>23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f t="shared" si="0"/>
        <v>0</v>
      </c>
      <c r="AF34" s="19">
        <f t="shared" si="1"/>
        <v>0</v>
      </c>
      <c r="AG34" s="20">
        <f t="shared" si="2"/>
        <v>0</v>
      </c>
      <c r="AH34" s="20">
        <v>0</v>
      </c>
      <c r="AI34" s="21"/>
      <c r="AJ34" s="13"/>
      <c r="AK34" s="13"/>
    </row>
    <row r="35" spans="1:37" x14ac:dyDescent="0.35">
      <c r="A35" s="15" t="str">
        <f>VLOOKUP(B35,'[1]Tabla 1 Arsenal'!$B$11:$K$380,10,FALSE)</f>
        <v>P216</v>
      </c>
      <c r="B35" s="15">
        <v>102184</v>
      </c>
      <c r="C35" s="16" t="s">
        <v>83</v>
      </c>
      <c r="D35" s="16" t="s">
        <v>32</v>
      </c>
      <c r="E35" s="17">
        <v>26</v>
      </c>
      <c r="F35" s="18" t="s">
        <v>23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45</v>
      </c>
      <c r="S35" s="19">
        <v>30</v>
      </c>
      <c r="T35" s="19">
        <v>814</v>
      </c>
      <c r="U35" s="19">
        <v>735</v>
      </c>
      <c r="V35" s="19">
        <v>1317</v>
      </c>
      <c r="W35" s="19">
        <v>910</v>
      </c>
      <c r="X35" s="19">
        <v>1286</v>
      </c>
      <c r="Y35" s="19">
        <v>1802</v>
      </c>
      <c r="Z35" s="19">
        <v>1718</v>
      </c>
      <c r="AA35" s="19">
        <v>2219</v>
      </c>
      <c r="AB35" s="19">
        <v>3390</v>
      </c>
      <c r="AC35" s="19">
        <v>2688</v>
      </c>
      <c r="AD35" s="19">
        <v>3288</v>
      </c>
      <c r="AE35" s="19">
        <f t="shared" si="0"/>
        <v>45</v>
      </c>
      <c r="AF35" s="19">
        <f t="shared" si="1"/>
        <v>20197</v>
      </c>
      <c r="AG35" s="20">
        <f t="shared" si="2"/>
        <v>3.75</v>
      </c>
      <c r="AH35" s="20">
        <f t="shared" ref="AH35:AH98" si="6">AVERAGE(S35:AD35)</f>
        <v>1683.0833333333333</v>
      </c>
      <c r="AI35" s="21"/>
      <c r="AJ35" s="13"/>
      <c r="AK35" s="13"/>
    </row>
    <row r="36" spans="1:37" x14ac:dyDescent="0.35">
      <c r="A36" s="15" t="str">
        <f>VLOOKUP(B36,'[1]Tabla 1 Arsenal'!$B$11:$K$380,10,FALSE)</f>
        <v>P264</v>
      </c>
      <c r="B36" s="15">
        <v>102187</v>
      </c>
      <c r="C36" s="16" t="s">
        <v>84</v>
      </c>
      <c r="D36" s="16" t="s">
        <v>32</v>
      </c>
      <c r="E36" s="17">
        <v>101</v>
      </c>
      <c r="F36" s="18" t="s">
        <v>23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140</v>
      </c>
      <c r="S36" s="19">
        <v>115</v>
      </c>
      <c r="T36" s="19">
        <v>232</v>
      </c>
      <c r="U36" s="19">
        <v>200</v>
      </c>
      <c r="V36" s="19">
        <v>64</v>
      </c>
      <c r="W36" s="19">
        <v>151</v>
      </c>
      <c r="X36" s="19">
        <v>250</v>
      </c>
      <c r="Y36" s="19">
        <v>322</v>
      </c>
      <c r="Z36" s="19">
        <v>915</v>
      </c>
      <c r="AA36" s="19">
        <v>455</v>
      </c>
      <c r="AB36" s="19">
        <v>634</v>
      </c>
      <c r="AC36" s="19">
        <v>552</v>
      </c>
      <c r="AD36" s="19">
        <v>527</v>
      </c>
      <c r="AE36" s="19">
        <f t="shared" si="0"/>
        <v>140</v>
      </c>
      <c r="AF36" s="19">
        <f t="shared" si="1"/>
        <v>4417</v>
      </c>
      <c r="AG36" s="20">
        <f t="shared" si="2"/>
        <v>11.666666666666666</v>
      </c>
      <c r="AH36" s="20">
        <f t="shared" si="6"/>
        <v>368.08333333333331</v>
      </c>
      <c r="AI36" s="21"/>
      <c r="AJ36" s="13"/>
      <c r="AK36" s="13"/>
    </row>
    <row r="37" spans="1:37" x14ac:dyDescent="0.35">
      <c r="A37" s="15" t="str">
        <f>VLOOKUP(B37,'[1]Tabla 1 Arsenal'!$B$11:$K$380,10,FALSE)</f>
        <v>P115</v>
      </c>
      <c r="B37" s="15">
        <v>101049</v>
      </c>
      <c r="C37" s="16" t="s">
        <v>85</v>
      </c>
      <c r="D37" s="16" t="s">
        <v>86</v>
      </c>
      <c r="E37" s="17">
        <v>8854</v>
      </c>
      <c r="F37" s="18" t="s">
        <v>55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120</v>
      </c>
      <c r="R37" s="19">
        <v>120</v>
      </c>
      <c r="S37" s="19">
        <v>112</v>
      </c>
      <c r="T37" s="19">
        <v>0</v>
      </c>
      <c r="U37" s="19">
        <v>0</v>
      </c>
      <c r="V37" s="19">
        <v>240</v>
      </c>
      <c r="W37" s="19">
        <v>240</v>
      </c>
      <c r="X37" s="19">
        <v>360</v>
      </c>
      <c r="Y37" s="19">
        <v>480</v>
      </c>
      <c r="Z37" s="19">
        <v>720</v>
      </c>
      <c r="AA37" s="19">
        <v>720</v>
      </c>
      <c r="AB37" s="19">
        <v>1080</v>
      </c>
      <c r="AC37" s="19">
        <v>960</v>
      </c>
      <c r="AD37" s="19">
        <v>720</v>
      </c>
      <c r="AE37" s="19">
        <f t="shared" si="0"/>
        <v>240</v>
      </c>
      <c r="AF37" s="19">
        <f t="shared" si="1"/>
        <v>5632</v>
      </c>
      <c r="AG37" s="20">
        <f t="shared" si="2"/>
        <v>20</v>
      </c>
      <c r="AH37" s="20">
        <f t="shared" si="6"/>
        <v>469.33333333333331</v>
      </c>
      <c r="AI37" s="21"/>
      <c r="AJ37" s="13"/>
      <c r="AK37" s="13"/>
    </row>
    <row r="38" spans="1:37" x14ac:dyDescent="0.35">
      <c r="A38" s="15" t="str">
        <f>VLOOKUP(B38,'[1]Tabla 1 Arsenal'!$B$11:$K$380,10,FALSE)</f>
        <v>P021</v>
      </c>
      <c r="B38" s="15">
        <v>108001</v>
      </c>
      <c r="C38" s="16" t="s">
        <v>87</v>
      </c>
      <c r="D38" s="16" t="s">
        <v>39</v>
      </c>
      <c r="E38" s="17">
        <v>4820</v>
      </c>
      <c r="F38" s="18" t="s">
        <v>23</v>
      </c>
      <c r="G38" s="19">
        <v>0</v>
      </c>
      <c r="H38" s="19">
        <v>0</v>
      </c>
      <c r="I38" s="19">
        <v>0</v>
      </c>
      <c r="J38" s="19">
        <v>3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30</v>
      </c>
      <c r="X38" s="19">
        <v>8</v>
      </c>
      <c r="Y38" s="19">
        <v>0</v>
      </c>
      <c r="Z38" s="19">
        <v>5</v>
      </c>
      <c r="AA38" s="19">
        <v>0</v>
      </c>
      <c r="AB38" s="19">
        <v>3</v>
      </c>
      <c r="AC38" s="19">
        <v>0</v>
      </c>
      <c r="AD38" s="19">
        <v>4</v>
      </c>
      <c r="AE38" s="19">
        <f t="shared" si="0"/>
        <v>3</v>
      </c>
      <c r="AF38" s="19">
        <f t="shared" si="1"/>
        <v>50</v>
      </c>
      <c r="AG38" s="20">
        <f t="shared" si="2"/>
        <v>0.25</v>
      </c>
      <c r="AH38" s="20">
        <f t="shared" si="6"/>
        <v>4.166666666666667</v>
      </c>
      <c r="AI38" s="21"/>
      <c r="AJ38" s="13"/>
      <c r="AK38" s="13"/>
    </row>
    <row r="39" spans="1:37" x14ac:dyDescent="0.35">
      <c r="A39" s="15" t="str">
        <f>VLOOKUP(B39,'[1]Tabla 1 Arsenal'!$B$11:$K$380,10,FALSE)</f>
        <v>P143</v>
      </c>
      <c r="B39" s="15">
        <v>102177</v>
      </c>
      <c r="C39" s="16" t="s">
        <v>88</v>
      </c>
      <c r="D39" s="16" t="s">
        <v>32</v>
      </c>
      <c r="E39" s="17">
        <v>66</v>
      </c>
      <c r="F39" s="18" t="s">
        <v>23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25</v>
      </c>
      <c r="Q39" s="19">
        <v>239</v>
      </c>
      <c r="R39" s="19">
        <v>444</v>
      </c>
      <c r="S39" s="19">
        <v>298</v>
      </c>
      <c r="T39" s="19">
        <v>156</v>
      </c>
      <c r="U39" s="19">
        <v>252</v>
      </c>
      <c r="V39" s="19">
        <v>372</v>
      </c>
      <c r="W39" s="19">
        <v>360</v>
      </c>
      <c r="X39" s="19">
        <v>235</v>
      </c>
      <c r="Y39" s="19">
        <v>403</v>
      </c>
      <c r="Z39" s="19">
        <v>509</v>
      </c>
      <c r="AA39" s="19">
        <v>465</v>
      </c>
      <c r="AB39" s="19">
        <v>520</v>
      </c>
      <c r="AC39" s="19">
        <v>299</v>
      </c>
      <c r="AD39" s="19">
        <v>237</v>
      </c>
      <c r="AE39" s="19">
        <f t="shared" si="0"/>
        <v>708</v>
      </c>
      <c r="AF39" s="19">
        <f t="shared" si="1"/>
        <v>4106</v>
      </c>
      <c r="AG39" s="20">
        <f t="shared" si="2"/>
        <v>59</v>
      </c>
      <c r="AH39" s="20">
        <f t="shared" si="6"/>
        <v>342.16666666666669</v>
      </c>
      <c r="AI39" s="21"/>
      <c r="AJ39" s="13"/>
      <c r="AK39" s="13"/>
    </row>
    <row r="40" spans="1:37" x14ac:dyDescent="0.35">
      <c r="A40" s="15" t="str">
        <f>VLOOKUP(B40,'[1]Tabla 1 Arsenal'!$B$11:$K$380,10,FALSE)</f>
        <v>P353</v>
      </c>
      <c r="B40" s="15">
        <v>102171</v>
      </c>
      <c r="C40" s="16" t="s">
        <v>89</v>
      </c>
      <c r="D40" s="16" t="s">
        <v>23</v>
      </c>
      <c r="E40" s="17">
        <v>290360</v>
      </c>
      <c r="F40" s="18" t="s">
        <v>23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3</v>
      </c>
      <c r="M40" s="19">
        <v>0</v>
      </c>
      <c r="N40" s="19">
        <v>0</v>
      </c>
      <c r="O40" s="19">
        <v>2</v>
      </c>
      <c r="P40" s="19">
        <v>0</v>
      </c>
      <c r="Q40" s="19">
        <v>0</v>
      </c>
      <c r="R40" s="19">
        <v>1</v>
      </c>
      <c r="S40" s="19">
        <v>3</v>
      </c>
      <c r="T40" s="19">
        <v>2</v>
      </c>
      <c r="U40" s="19">
        <v>1</v>
      </c>
      <c r="V40" s="19">
        <v>3</v>
      </c>
      <c r="W40" s="19">
        <v>0</v>
      </c>
      <c r="X40" s="19">
        <v>4</v>
      </c>
      <c r="Y40" s="19">
        <v>0</v>
      </c>
      <c r="Z40" s="19">
        <v>2</v>
      </c>
      <c r="AA40" s="19">
        <v>4</v>
      </c>
      <c r="AB40" s="19">
        <v>2</v>
      </c>
      <c r="AC40" s="19">
        <v>0</v>
      </c>
      <c r="AD40" s="19">
        <v>4</v>
      </c>
      <c r="AE40" s="19">
        <f t="shared" si="0"/>
        <v>6</v>
      </c>
      <c r="AF40" s="19">
        <f t="shared" si="1"/>
        <v>25</v>
      </c>
      <c r="AG40" s="20">
        <f t="shared" si="2"/>
        <v>0.5</v>
      </c>
      <c r="AH40" s="20">
        <f t="shared" si="6"/>
        <v>2.0833333333333335</v>
      </c>
      <c r="AI40" s="21"/>
      <c r="AJ40" s="13"/>
      <c r="AK40" s="13"/>
    </row>
    <row r="41" spans="1:37" x14ac:dyDescent="0.35">
      <c r="A41" s="15" t="str">
        <f>VLOOKUP(B41,'[1]Tabla 1 Arsenal'!$B$11:$K$380,10,FALSE)</f>
        <v>P351</v>
      </c>
      <c r="B41" s="15">
        <v>101055</v>
      </c>
      <c r="C41" s="16" t="s">
        <v>90</v>
      </c>
      <c r="D41" s="16" t="s">
        <v>91</v>
      </c>
      <c r="E41" s="17">
        <v>1663401</v>
      </c>
      <c r="F41" s="18" t="s">
        <v>23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2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2</v>
      </c>
      <c r="U41" s="19">
        <v>1</v>
      </c>
      <c r="V41" s="19">
        <v>3</v>
      </c>
      <c r="W41" s="19">
        <v>2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f t="shared" si="0"/>
        <v>2</v>
      </c>
      <c r="AF41" s="19">
        <f t="shared" si="1"/>
        <v>8</v>
      </c>
      <c r="AG41" s="20">
        <f t="shared" si="2"/>
        <v>0.16666666666666666</v>
      </c>
      <c r="AH41" s="20">
        <f t="shared" si="6"/>
        <v>0.66666666666666663</v>
      </c>
      <c r="AI41" s="21"/>
      <c r="AJ41" s="13"/>
      <c r="AK41" s="13"/>
    </row>
    <row r="42" spans="1:37" x14ac:dyDescent="0.35">
      <c r="A42" s="15" t="str">
        <f>VLOOKUP(B42,'[1]Tabla 1 Arsenal'!$B$11:$K$380,10,FALSE)</f>
        <v>P087</v>
      </c>
      <c r="B42" s="15">
        <v>103015</v>
      </c>
      <c r="C42" s="16" t="s">
        <v>92</v>
      </c>
      <c r="D42" s="16" t="s">
        <v>22</v>
      </c>
      <c r="E42" s="17">
        <v>225</v>
      </c>
      <c r="F42" s="18" t="s">
        <v>23</v>
      </c>
      <c r="G42" s="19">
        <v>0</v>
      </c>
      <c r="H42" s="19">
        <v>0</v>
      </c>
      <c r="I42" s="19">
        <v>168</v>
      </c>
      <c r="J42" s="19">
        <v>280</v>
      </c>
      <c r="K42" s="19">
        <v>6</v>
      </c>
      <c r="L42" s="19">
        <v>108</v>
      </c>
      <c r="M42" s="19">
        <v>18</v>
      </c>
      <c r="N42" s="19">
        <v>272</v>
      </c>
      <c r="O42" s="19">
        <v>32</v>
      </c>
      <c r="P42" s="19">
        <v>0</v>
      </c>
      <c r="Q42" s="19">
        <v>0</v>
      </c>
      <c r="R42" s="19">
        <v>0</v>
      </c>
      <c r="S42" s="19">
        <v>53</v>
      </c>
      <c r="T42" s="19">
        <v>267</v>
      </c>
      <c r="U42" s="19">
        <v>748</v>
      </c>
      <c r="V42" s="19">
        <v>59</v>
      </c>
      <c r="W42" s="19">
        <v>104</v>
      </c>
      <c r="X42" s="19">
        <v>331</v>
      </c>
      <c r="Y42" s="19">
        <v>256</v>
      </c>
      <c r="Z42" s="19">
        <v>415</v>
      </c>
      <c r="AA42" s="19">
        <v>330</v>
      </c>
      <c r="AB42" s="19">
        <v>389</v>
      </c>
      <c r="AC42" s="19">
        <v>249</v>
      </c>
      <c r="AD42" s="19">
        <v>32</v>
      </c>
      <c r="AE42" s="19">
        <f t="shared" si="0"/>
        <v>884</v>
      </c>
      <c r="AF42" s="19">
        <f t="shared" si="1"/>
        <v>3233</v>
      </c>
      <c r="AG42" s="20">
        <f t="shared" si="2"/>
        <v>73.666666666666671</v>
      </c>
      <c r="AH42" s="20">
        <f t="shared" si="6"/>
        <v>269.41666666666669</v>
      </c>
      <c r="AI42" s="21"/>
      <c r="AJ42" s="13"/>
      <c r="AK42" s="13"/>
    </row>
    <row r="43" spans="1:37" x14ac:dyDescent="0.35">
      <c r="A43" s="15" t="str">
        <f>VLOOKUP(B43,'[1]Tabla 1 Arsenal'!$B$11:$K$380,10,FALSE)</f>
        <v>P292</v>
      </c>
      <c r="B43" s="15">
        <v>102096</v>
      </c>
      <c r="C43" s="16" t="s">
        <v>93</v>
      </c>
      <c r="D43" s="16" t="s">
        <v>94</v>
      </c>
      <c r="E43" s="17">
        <v>486</v>
      </c>
      <c r="F43" s="18" t="s">
        <v>23</v>
      </c>
      <c r="G43" s="19">
        <v>793</v>
      </c>
      <c r="H43" s="19">
        <v>671</v>
      </c>
      <c r="I43" s="19">
        <v>935</v>
      </c>
      <c r="J43" s="19">
        <v>844</v>
      </c>
      <c r="K43" s="19">
        <v>809</v>
      </c>
      <c r="L43" s="19">
        <v>461</v>
      </c>
      <c r="M43" s="19">
        <v>434</v>
      </c>
      <c r="N43" s="19">
        <v>313</v>
      </c>
      <c r="O43" s="19">
        <v>407</v>
      </c>
      <c r="P43" s="19">
        <v>376</v>
      </c>
      <c r="Q43" s="19">
        <v>708</v>
      </c>
      <c r="R43" s="19">
        <v>899</v>
      </c>
      <c r="S43" s="19">
        <v>1693</v>
      </c>
      <c r="T43" s="19">
        <v>2953</v>
      </c>
      <c r="U43" s="19">
        <v>2044</v>
      </c>
      <c r="V43" s="19">
        <v>4389</v>
      </c>
      <c r="W43" s="19">
        <v>3829</v>
      </c>
      <c r="X43" s="19">
        <v>3386</v>
      </c>
      <c r="Y43" s="19">
        <v>1471</v>
      </c>
      <c r="Z43" s="19">
        <v>1217</v>
      </c>
      <c r="AA43" s="19">
        <v>843</v>
      </c>
      <c r="AB43" s="19">
        <v>773</v>
      </c>
      <c r="AC43" s="19">
        <v>658</v>
      </c>
      <c r="AD43" s="19">
        <v>1145</v>
      </c>
      <c r="AE43" s="19">
        <f t="shared" si="0"/>
        <v>7650</v>
      </c>
      <c r="AF43" s="19">
        <f t="shared" si="1"/>
        <v>24401</v>
      </c>
      <c r="AG43" s="20">
        <f t="shared" si="2"/>
        <v>637.5</v>
      </c>
      <c r="AH43" s="20">
        <f t="shared" si="6"/>
        <v>2033.4166666666667</v>
      </c>
      <c r="AI43" s="21"/>
      <c r="AJ43" s="13"/>
      <c r="AK43" s="13"/>
    </row>
    <row r="44" spans="1:37" x14ac:dyDescent="0.35">
      <c r="A44" s="15" t="str">
        <f>VLOOKUP(B44,'[1]Tabla 1 Arsenal'!$B$11:$K$380,10,FALSE)</f>
        <v>P127</v>
      </c>
      <c r="B44" s="15">
        <v>106066</v>
      </c>
      <c r="C44" s="16" t="s">
        <v>95</v>
      </c>
      <c r="D44" s="16" t="s">
        <v>37</v>
      </c>
      <c r="E44" s="17">
        <v>3832</v>
      </c>
      <c r="F44" s="18" t="s">
        <v>23</v>
      </c>
      <c r="G44" s="19">
        <v>3</v>
      </c>
      <c r="H44" s="19">
        <v>10</v>
      </c>
      <c r="I44" s="19">
        <v>15</v>
      </c>
      <c r="J44" s="19">
        <v>12</v>
      </c>
      <c r="K44" s="19">
        <v>9</v>
      </c>
      <c r="L44" s="19">
        <v>23</v>
      </c>
      <c r="M44" s="19">
        <v>21</v>
      </c>
      <c r="N44" s="19">
        <v>14</v>
      </c>
      <c r="O44" s="19">
        <v>4</v>
      </c>
      <c r="P44" s="19">
        <v>12</v>
      </c>
      <c r="Q44" s="19">
        <v>6</v>
      </c>
      <c r="R44" s="19">
        <v>15</v>
      </c>
      <c r="S44" s="19">
        <v>18</v>
      </c>
      <c r="T44" s="19">
        <v>4</v>
      </c>
      <c r="U44" s="19">
        <v>5</v>
      </c>
      <c r="V44" s="19">
        <v>7</v>
      </c>
      <c r="W44" s="19">
        <v>20</v>
      </c>
      <c r="X44" s="19">
        <v>12</v>
      </c>
      <c r="Y44" s="19">
        <v>45</v>
      </c>
      <c r="Z44" s="19">
        <v>41</v>
      </c>
      <c r="AA44" s="19">
        <v>62</v>
      </c>
      <c r="AB44" s="19">
        <v>65</v>
      </c>
      <c r="AC44" s="19">
        <v>60</v>
      </c>
      <c r="AD44" s="19">
        <v>70</v>
      </c>
      <c r="AE44" s="19">
        <f t="shared" si="0"/>
        <v>144</v>
      </c>
      <c r="AF44" s="19">
        <f t="shared" si="1"/>
        <v>409</v>
      </c>
      <c r="AG44" s="20">
        <f t="shared" si="2"/>
        <v>12</v>
      </c>
      <c r="AH44" s="20">
        <f t="shared" si="6"/>
        <v>34.083333333333336</v>
      </c>
      <c r="AI44" s="21"/>
      <c r="AJ44" s="13"/>
      <c r="AK44" s="13"/>
    </row>
    <row r="45" spans="1:37" x14ac:dyDescent="0.35">
      <c r="A45" s="15" t="str">
        <f>VLOOKUP(B45,'[1]Tabla 1 Arsenal'!$B$11:$K$380,10,FALSE)</f>
        <v>P263</v>
      </c>
      <c r="B45" s="15">
        <v>106040</v>
      </c>
      <c r="C45" s="16" t="s">
        <v>96</v>
      </c>
      <c r="D45" s="16" t="s">
        <v>37</v>
      </c>
      <c r="E45" s="17">
        <v>4043</v>
      </c>
      <c r="F45" s="18" t="s">
        <v>23</v>
      </c>
      <c r="G45" s="19">
        <v>0</v>
      </c>
      <c r="H45" s="19">
        <v>9</v>
      </c>
      <c r="I45" s="19">
        <v>0</v>
      </c>
      <c r="J45" s="19">
        <v>17</v>
      </c>
      <c r="K45" s="19">
        <v>0</v>
      </c>
      <c r="L45" s="19">
        <v>105</v>
      </c>
      <c r="M45" s="19">
        <v>6</v>
      </c>
      <c r="N45" s="19">
        <v>79</v>
      </c>
      <c r="O45" s="19">
        <v>54</v>
      </c>
      <c r="P45" s="19">
        <v>11</v>
      </c>
      <c r="Q45" s="19">
        <v>24</v>
      </c>
      <c r="R45" s="19">
        <v>0</v>
      </c>
      <c r="S45" s="19">
        <v>15</v>
      </c>
      <c r="T45" s="19">
        <v>34</v>
      </c>
      <c r="U45" s="19">
        <v>28</v>
      </c>
      <c r="V45" s="19">
        <v>20</v>
      </c>
      <c r="W45" s="19">
        <v>72</v>
      </c>
      <c r="X45" s="19">
        <v>26</v>
      </c>
      <c r="Y45" s="19">
        <v>46</v>
      </c>
      <c r="Z45" s="19">
        <v>110</v>
      </c>
      <c r="AA45" s="19">
        <v>147</v>
      </c>
      <c r="AB45" s="19">
        <v>102</v>
      </c>
      <c r="AC45" s="19">
        <v>23</v>
      </c>
      <c r="AD45" s="19">
        <v>33</v>
      </c>
      <c r="AE45" s="19">
        <f t="shared" si="0"/>
        <v>305</v>
      </c>
      <c r="AF45" s="19">
        <f t="shared" si="1"/>
        <v>656</v>
      </c>
      <c r="AG45" s="20">
        <f t="shared" si="2"/>
        <v>25.416666666666668</v>
      </c>
      <c r="AH45" s="20">
        <f t="shared" si="6"/>
        <v>54.666666666666664</v>
      </c>
      <c r="AI45" s="21"/>
      <c r="AJ45" s="13"/>
      <c r="AK45" s="13"/>
    </row>
    <row r="46" spans="1:37" x14ac:dyDescent="0.35">
      <c r="A46" s="15" t="str">
        <f>VLOOKUP(B46,'[1]Tabla 1 Arsenal'!$B$11:$K$380,10,FALSE)</f>
        <v>P013</v>
      </c>
      <c r="B46" s="15">
        <v>106001</v>
      </c>
      <c r="C46" s="16" t="s">
        <v>97</v>
      </c>
      <c r="D46" s="16" t="s">
        <v>37</v>
      </c>
      <c r="E46" s="17">
        <v>238</v>
      </c>
      <c r="F46" s="18" t="s">
        <v>23</v>
      </c>
      <c r="G46" s="19">
        <v>430</v>
      </c>
      <c r="H46" s="19">
        <v>892</v>
      </c>
      <c r="I46" s="19">
        <v>233</v>
      </c>
      <c r="J46" s="19">
        <v>0</v>
      </c>
      <c r="K46" s="19">
        <v>835</v>
      </c>
      <c r="L46" s="19">
        <v>300</v>
      </c>
      <c r="M46" s="19">
        <v>390</v>
      </c>
      <c r="N46" s="19">
        <v>346</v>
      </c>
      <c r="O46" s="19">
        <v>712</v>
      </c>
      <c r="P46" s="19">
        <v>444</v>
      </c>
      <c r="Q46" s="19">
        <v>25</v>
      </c>
      <c r="R46" s="19">
        <v>130</v>
      </c>
      <c r="S46" s="19">
        <v>930</v>
      </c>
      <c r="T46" s="19">
        <v>665</v>
      </c>
      <c r="U46" s="19">
        <v>2216</v>
      </c>
      <c r="V46" s="19">
        <v>1163</v>
      </c>
      <c r="W46" s="19">
        <v>2245</v>
      </c>
      <c r="X46" s="19">
        <v>150</v>
      </c>
      <c r="Y46" s="19">
        <v>210</v>
      </c>
      <c r="Z46" s="19">
        <v>1210</v>
      </c>
      <c r="AA46" s="19">
        <v>50</v>
      </c>
      <c r="AB46" s="19">
        <v>0</v>
      </c>
      <c r="AC46" s="19">
        <v>210</v>
      </c>
      <c r="AD46" s="19">
        <v>920</v>
      </c>
      <c r="AE46" s="19">
        <f t="shared" si="0"/>
        <v>4737</v>
      </c>
      <c r="AF46" s="19">
        <f t="shared" si="1"/>
        <v>9969</v>
      </c>
      <c r="AG46" s="20">
        <f t="shared" si="2"/>
        <v>394.75</v>
      </c>
      <c r="AH46" s="20">
        <f t="shared" si="6"/>
        <v>830.75</v>
      </c>
      <c r="AI46" s="21"/>
      <c r="AJ46" s="13"/>
      <c r="AK46" s="13"/>
    </row>
    <row r="47" spans="1:37" x14ac:dyDescent="0.35">
      <c r="A47" s="15" t="str">
        <f>VLOOKUP(B47,'[1]Tabla 1 Arsenal'!$B$11:$K$380,10,FALSE)</f>
        <v>P247</v>
      </c>
      <c r="B47" s="15">
        <v>102161</v>
      </c>
      <c r="C47" s="16" t="s">
        <v>98</v>
      </c>
      <c r="D47" s="16" t="s">
        <v>23</v>
      </c>
      <c r="E47" s="17">
        <v>17850</v>
      </c>
      <c r="F47" s="18" t="s">
        <v>23</v>
      </c>
      <c r="G47" s="19">
        <v>5</v>
      </c>
      <c r="H47" s="19">
        <v>10</v>
      </c>
      <c r="I47" s="19">
        <v>0</v>
      </c>
      <c r="J47" s="19">
        <v>1</v>
      </c>
      <c r="K47" s="19">
        <v>0</v>
      </c>
      <c r="L47" s="19">
        <v>0</v>
      </c>
      <c r="M47" s="19">
        <v>9</v>
      </c>
      <c r="N47" s="19">
        <v>15</v>
      </c>
      <c r="O47" s="19">
        <v>21</v>
      </c>
      <c r="P47" s="19">
        <v>17</v>
      </c>
      <c r="Q47" s="19">
        <v>0</v>
      </c>
      <c r="R47" s="19">
        <v>9</v>
      </c>
      <c r="S47" s="19">
        <v>22</v>
      </c>
      <c r="T47" s="19">
        <v>12</v>
      </c>
      <c r="U47" s="19">
        <v>16</v>
      </c>
      <c r="V47" s="19">
        <v>19</v>
      </c>
      <c r="W47" s="19">
        <v>6</v>
      </c>
      <c r="X47" s="19">
        <v>8</v>
      </c>
      <c r="Y47" s="19">
        <v>25</v>
      </c>
      <c r="Z47" s="19">
        <v>20</v>
      </c>
      <c r="AA47" s="19">
        <v>17</v>
      </c>
      <c r="AB47" s="19">
        <v>19</v>
      </c>
      <c r="AC47" s="19">
        <v>6</v>
      </c>
      <c r="AD47" s="19">
        <v>13</v>
      </c>
      <c r="AE47" s="19">
        <f t="shared" si="0"/>
        <v>87</v>
      </c>
      <c r="AF47" s="19">
        <f t="shared" si="1"/>
        <v>183</v>
      </c>
      <c r="AG47" s="20">
        <f t="shared" si="2"/>
        <v>7.25</v>
      </c>
      <c r="AH47" s="20">
        <f t="shared" si="6"/>
        <v>15.25</v>
      </c>
      <c r="AI47" s="21"/>
      <c r="AJ47" s="13"/>
      <c r="AK47" s="13"/>
    </row>
    <row r="48" spans="1:37" x14ac:dyDescent="0.35">
      <c r="A48" s="15" t="str">
        <f>VLOOKUP(B48,'[1]Tabla 1 Arsenal'!$B$11:$K$380,10,FALSE)</f>
        <v>P103</v>
      </c>
      <c r="B48" s="15">
        <v>209146</v>
      </c>
      <c r="C48" s="16" t="s">
        <v>99</v>
      </c>
      <c r="D48" s="16" t="s">
        <v>22</v>
      </c>
      <c r="E48" s="17">
        <v>99960</v>
      </c>
      <c r="F48" s="18" t="s">
        <v>55</v>
      </c>
      <c r="G48" s="19">
        <v>32</v>
      </c>
      <c r="H48" s="19">
        <v>33</v>
      </c>
      <c r="I48" s="19">
        <v>47</v>
      </c>
      <c r="J48" s="19">
        <v>38</v>
      </c>
      <c r="K48" s="19">
        <v>39</v>
      </c>
      <c r="L48" s="19">
        <v>1</v>
      </c>
      <c r="M48" s="19">
        <v>1</v>
      </c>
      <c r="N48" s="19">
        <v>0</v>
      </c>
      <c r="O48" s="19">
        <v>0</v>
      </c>
      <c r="P48" s="19">
        <v>5</v>
      </c>
      <c r="Q48" s="19">
        <v>71</v>
      </c>
      <c r="R48" s="19">
        <v>46</v>
      </c>
      <c r="S48" s="19">
        <v>42</v>
      </c>
      <c r="T48" s="19">
        <v>36</v>
      </c>
      <c r="U48" s="19">
        <v>27</v>
      </c>
      <c r="V48" s="19">
        <v>66</v>
      </c>
      <c r="W48" s="19">
        <v>53</v>
      </c>
      <c r="X48" s="19">
        <v>29</v>
      </c>
      <c r="Y48" s="19">
        <v>68</v>
      </c>
      <c r="Z48" s="19">
        <v>89</v>
      </c>
      <c r="AA48" s="19">
        <v>71</v>
      </c>
      <c r="AB48" s="19">
        <v>76</v>
      </c>
      <c r="AC48" s="19">
        <v>58</v>
      </c>
      <c r="AD48" s="19">
        <v>20</v>
      </c>
      <c r="AE48" s="19">
        <f t="shared" si="0"/>
        <v>313</v>
      </c>
      <c r="AF48" s="19">
        <f t="shared" si="1"/>
        <v>635</v>
      </c>
      <c r="AG48" s="20">
        <f t="shared" si="2"/>
        <v>26.083333333333332</v>
      </c>
      <c r="AH48" s="20">
        <f t="shared" si="6"/>
        <v>52.916666666666664</v>
      </c>
      <c r="AI48" s="21"/>
      <c r="AJ48" s="13"/>
      <c r="AK48" s="13"/>
    </row>
    <row r="49" spans="1:37" x14ac:dyDescent="0.35">
      <c r="A49" s="15" t="str">
        <f>VLOOKUP(B49,'[1]Tabla 1 Arsenal'!$B$11:$K$380,10,FALSE)</f>
        <v>P308</v>
      </c>
      <c r="B49" s="15">
        <v>106070</v>
      </c>
      <c r="C49" s="16" t="s">
        <v>100</v>
      </c>
      <c r="D49" s="16" t="s">
        <v>22</v>
      </c>
      <c r="E49" s="17">
        <v>36958</v>
      </c>
      <c r="F49" s="18" t="s">
        <v>23</v>
      </c>
      <c r="G49" s="19">
        <v>1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1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2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2</v>
      </c>
      <c r="AA49" s="19">
        <v>0</v>
      </c>
      <c r="AB49" s="19">
        <v>0</v>
      </c>
      <c r="AC49" s="19">
        <v>0</v>
      </c>
      <c r="AD49" s="19">
        <v>0</v>
      </c>
      <c r="AE49" s="19">
        <f t="shared" si="0"/>
        <v>2</v>
      </c>
      <c r="AF49" s="19">
        <f t="shared" si="1"/>
        <v>4</v>
      </c>
      <c r="AG49" s="20">
        <f t="shared" si="2"/>
        <v>0.16666666666666666</v>
      </c>
      <c r="AH49" s="20">
        <f t="shared" si="6"/>
        <v>0.33333333333333331</v>
      </c>
      <c r="AI49" s="21"/>
      <c r="AJ49" s="13"/>
      <c r="AK49" s="13"/>
    </row>
    <row r="50" spans="1:37" x14ac:dyDescent="0.35">
      <c r="A50" s="15" t="str">
        <f>VLOOKUP(B50,'[1]Tabla 1 Arsenal'!$B$11:$K$380,10,FALSE)</f>
        <v>P341</v>
      </c>
      <c r="B50" s="15">
        <v>102122</v>
      </c>
      <c r="C50" s="16" t="s">
        <v>101</v>
      </c>
      <c r="D50" s="16" t="s">
        <v>32</v>
      </c>
      <c r="E50" s="17">
        <v>791</v>
      </c>
      <c r="F50" s="18" t="s">
        <v>23</v>
      </c>
      <c r="G50" s="19">
        <v>435</v>
      </c>
      <c r="H50" s="19">
        <v>919</v>
      </c>
      <c r="I50" s="19">
        <v>1062</v>
      </c>
      <c r="J50" s="19">
        <v>965</v>
      </c>
      <c r="K50" s="19">
        <v>305</v>
      </c>
      <c r="L50" s="19">
        <v>60</v>
      </c>
      <c r="M50" s="19">
        <v>74</v>
      </c>
      <c r="N50" s="19">
        <v>310</v>
      </c>
      <c r="O50" s="19">
        <v>220</v>
      </c>
      <c r="P50" s="19">
        <v>240</v>
      </c>
      <c r="Q50" s="19">
        <v>130</v>
      </c>
      <c r="R50" s="19">
        <v>380</v>
      </c>
      <c r="S50" s="19">
        <v>430</v>
      </c>
      <c r="T50" s="19">
        <v>189</v>
      </c>
      <c r="U50" s="19">
        <v>295</v>
      </c>
      <c r="V50" s="19">
        <v>374</v>
      </c>
      <c r="W50" s="19">
        <v>915</v>
      </c>
      <c r="X50" s="19">
        <v>376</v>
      </c>
      <c r="Y50" s="19">
        <v>1303</v>
      </c>
      <c r="Z50" s="19">
        <v>1115</v>
      </c>
      <c r="AA50" s="19">
        <v>1003</v>
      </c>
      <c r="AB50" s="19">
        <v>1199</v>
      </c>
      <c r="AC50" s="19">
        <v>998</v>
      </c>
      <c r="AD50" s="19">
        <v>1520</v>
      </c>
      <c r="AE50" s="19">
        <f t="shared" si="0"/>
        <v>5100</v>
      </c>
      <c r="AF50" s="19">
        <f t="shared" si="1"/>
        <v>9717</v>
      </c>
      <c r="AG50" s="20">
        <f t="shared" si="2"/>
        <v>425</v>
      </c>
      <c r="AH50" s="20">
        <f t="shared" si="6"/>
        <v>809.75</v>
      </c>
      <c r="AI50" s="21"/>
      <c r="AJ50" s="13"/>
      <c r="AK50" s="13"/>
    </row>
    <row r="51" spans="1:37" x14ac:dyDescent="0.35">
      <c r="A51" s="15" t="str">
        <f>VLOOKUP(B51,'[1]Tabla 1 Arsenal'!$B$11:$K$380,10,FALSE)</f>
        <v>P153</v>
      </c>
      <c r="B51" s="15">
        <v>108027</v>
      </c>
      <c r="C51" s="16" t="s">
        <v>102</v>
      </c>
      <c r="D51" s="16" t="s">
        <v>39</v>
      </c>
      <c r="E51" s="17">
        <v>1035</v>
      </c>
      <c r="F51" s="18" t="s">
        <v>23</v>
      </c>
      <c r="G51" s="19">
        <v>30</v>
      </c>
      <c r="H51" s="19">
        <v>60</v>
      </c>
      <c r="I51" s="19">
        <v>3</v>
      </c>
      <c r="J51" s="19">
        <v>14</v>
      </c>
      <c r="K51" s="19">
        <v>14</v>
      </c>
      <c r="L51" s="19">
        <v>30</v>
      </c>
      <c r="M51" s="19">
        <v>10</v>
      </c>
      <c r="N51" s="19">
        <v>0</v>
      </c>
      <c r="O51" s="19">
        <v>5</v>
      </c>
      <c r="P51" s="19">
        <v>15</v>
      </c>
      <c r="Q51" s="19">
        <v>20</v>
      </c>
      <c r="R51" s="19">
        <v>0</v>
      </c>
      <c r="S51" s="19">
        <v>50</v>
      </c>
      <c r="T51" s="19">
        <v>47</v>
      </c>
      <c r="U51" s="19">
        <v>24</v>
      </c>
      <c r="V51" s="19">
        <v>62</v>
      </c>
      <c r="W51" s="19">
        <v>22</v>
      </c>
      <c r="X51" s="19">
        <v>4</v>
      </c>
      <c r="Y51" s="19">
        <v>0</v>
      </c>
      <c r="Z51" s="19">
        <v>80</v>
      </c>
      <c r="AA51" s="19">
        <v>59</v>
      </c>
      <c r="AB51" s="19">
        <v>0</v>
      </c>
      <c r="AC51" s="19">
        <v>20</v>
      </c>
      <c r="AD51" s="19">
        <v>14</v>
      </c>
      <c r="AE51" s="19">
        <f t="shared" si="0"/>
        <v>201</v>
      </c>
      <c r="AF51" s="19">
        <f t="shared" si="1"/>
        <v>382</v>
      </c>
      <c r="AG51" s="20">
        <f t="shared" si="2"/>
        <v>16.75</v>
      </c>
      <c r="AH51" s="20">
        <f t="shared" si="6"/>
        <v>31.833333333333332</v>
      </c>
      <c r="AI51" s="21"/>
      <c r="AJ51" s="13"/>
      <c r="AK51" s="13"/>
    </row>
    <row r="52" spans="1:37" x14ac:dyDescent="0.35">
      <c r="A52" s="15" t="str">
        <f>VLOOKUP(B52,'[1]Tabla 1 Arsenal'!$B$11:$K$380,10,FALSE)</f>
        <v>P063</v>
      </c>
      <c r="B52" s="15">
        <v>103006</v>
      </c>
      <c r="C52" s="16" t="s">
        <v>103</v>
      </c>
      <c r="D52" s="16" t="s">
        <v>22</v>
      </c>
      <c r="E52" s="17">
        <v>690</v>
      </c>
      <c r="F52" s="18" t="s">
        <v>23</v>
      </c>
      <c r="G52" s="19">
        <v>18</v>
      </c>
      <c r="H52" s="19">
        <v>45</v>
      </c>
      <c r="I52" s="19">
        <v>96</v>
      </c>
      <c r="J52" s="19">
        <v>108</v>
      </c>
      <c r="K52" s="19">
        <v>37</v>
      </c>
      <c r="L52" s="19">
        <v>0</v>
      </c>
      <c r="M52" s="19">
        <v>2</v>
      </c>
      <c r="N52" s="19">
        <v>0</v>
      </c>
      <c r="O52" s="19">
        <v>2</v>
      </c>
      <c r="P52" s="19">
        <v>0</v>
      </c>
      <c r="Q52" s="19">
        <v>0</v>
      </c>
      <c r="R52" s="19">
        <v>16</v>
      </c>
      <c r="S52" s="19">
        <v>0</v>
      </c>
      <c r="T52" s="19">
        <v>51</v>
      </c>
      <c r="U52" s="19">
        <v>90</v>
      </c>
      <c r="V52" s="19">
        <v>60</v>
      </c>
      <c r="W52" s="19">
        <v>86</v>
      </c>
      <c r="X52" s="19">
        <v>48</v>
      </c>
      <c r="Y52" s="19">
        <v>8</v>
      </c>
      <c r="Z52" s="19">
        <v>50</v>
      </c>
      <c r="AA52" s="19">
        <v>159</v>
      </c>
      <c r="AB52" s="19">
        <v>0</v>
      </c>
      <c r="AC52" s="19">
        <v>6</v>
      </c>
      <c r="AD52" s="19">
        <v>50</v>
      </c>
      <c r="AE52" s="19">
        <f t="shared" si="0"/>
        <v>324</v>
      </c>
      <c r="AF52" s="19">
        <f t="shared" si="1"/>
        <v>608</v>
      </c>
      <c r="AG52" s="20">
        <f t="shared" si="2"/>
        <v>27</v>
      </c>
      <c r="AH52" s="20">
        <f t="shared" si="6"/>
        <v>50.666666666666664</v>
      </c>
      <c r="AI52" s="21"/>
      <c r="AJ52" s="13"/>
      <c r="AK52" s="13"/>
    </row>
    <row r="53" spans="1:37" x14ac:dyDescent="0.35">
      <c r="A53" s="15" t="str">
        <f>VLOOKUP(B53,'[1]Tabla 1 Arsenal'!$B$11:$K$380,10,FALSE)</f>
        <v>P269</v>
      </c>
      <c r="B53" s="15">
        <v>209090</v>
      </c>
      <c r="C53" s="16" t="s">
        <v>104</v>
      </c>
      <c r="D53" s="16" t="s">
        <v>32</v>
      </c>
      <c r="E53" s="17">
        <v>377</v>
      </c>
      <c r="F53" s="18" t="s">
        <v>55</v>
      </c>
      <c r="G53" s="19">
        <v>45</v>
      </c>
      <c r="H53" s="19">
        <v>138</v>
      </c>
      <c r="I53" s="19">
        <v>181</v>
      </c>
      <c r="J53" s="19">
        <v>150</v>
      </c>
      <c r="K53" s="19">
        <v>102</v>
      </c>
      <c r="L53" s="19">
        <v>65</v>
      </c>
      <c r="M53" s="19">
        <v>142</v>
      </c>
      <c r="N53" s="19">
        <v>187</v>
      </c>
      <c r="O53" s="19">
        <v>49</v>
      </c>
      <c r="P53" s="19">
        <v>44</v>
      </c>
      <c r="Q53" s="19">
        <v>189</v>
      </c>
      <c r="R53" s="19">
        <v>63</v>
      </c>
      <c r="S53" s="19">
        <v>97</v>
      </c>
      <c r="T53" s="19">
        <v>66</v>
      </c>
      <c r="U53" s="19">
        <v>169</v>
      </c>
      <c r="V53" s="19">
        <v>193</v>
      </c>
      <c r="W53" s="19">
        <v>204</v>
      </c>
      <c r="X53" s="19">
        <v>234</v>
      </c>
      <c r="Y53" s="19">
        <v>270</v>
      </c>
      <c r="Z53" s="19">
        <v>365</v>
      </c>
      <c r="AA53" s="19">
        <v>158</v>
      </c>
      <c r="AB53" s="19">
        <v>255</v>
      </c>
      <c r="AC53" s="19">
        <v>244</v>
      </c>
      <c r="AD53" s="19">
        <v>175</v>
      </c>
      <c r="AE53" s="19">
        <f t="shared" si="0"/>
        <v>1355</v>
      </c>
      <c r="AF53" s="19">
        <f t="shared" si="1"/>
        <v>2430</v>
      </c>
      <c r="AG53" s="20">
        <f t="shared" si="2"/>
        <v>112.91666666666667</v>
      </c>
      <c r="AH53" s="20">
        <f t="shared" si="6"/>
        <v>202.5</v>
      </c>
      <c r="AI53" s="21"/>
      <c r="AJ53" s="13"/>
      <c r="AK53" s="13"/>
    </row>
    <row r="54" spans="1:37" x14ac:dyDescent="0.35">
      <c r="A54" s="15" t="str">
        <f>VLOOKUP(B54,'[1]Tabla 1 Arsenal'!$B$11:$K$380,10,FALSE)</f>
        <v>P037</v>
      </c>
      <c r="B54" s="15">
        <v>201032</v>
      </c>
      <c r="C54" s="16" t="s">
        <v>105</v>
      </c>
      <c r="D54" s="16" t="s">
        <v>22</v>
      </c>
      <c r="E54" s="17">
        <v>5593</v>
      </c>
      <c r="F54" s="18" t="s">
        <v>23</v>
      </c>
      <c r="G54" s="19">
        <v>0</v>
      </c>
      <c r="H54" s="19">
        <v>0</v>
      </c>
      <c r="I54" s="19">
        <v>0</v>
      </c>
      <c r="J54" s="19">
        <v>47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30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6</v>
      </c>
      <c r="AA54" s="19">
        <v>0</v>
      </c>
      <c r="AB54" s="19">
        <v>30</v>
      </c>
      <c r="AC54" s="19">
        <v>18</v>
      </c>
      <c r="AD54" s="19">
        <v>0</v>
      </c>
      <c r="AE54" s="19">
        <f t="shared" si="0"/>
        <v>47</v>
      </c>
      <c r="AF54" s="19">
        <f t="shared" si="1"/>
        <v>84</v>
      </c>
      <c r="AG54" s="20">
        <f t="shared" si="2"/>
        <v>3.9166666666666665</v>
      </c>
      <c r="AH54" s="20">
        <f t="shared" si="6"/>
        <v>7</v>
      </c>
      <c r="AI54" s="21"/>
      <c r="AJ54" s="13"/>
      <c r="AK54" s="13"/>
    </row>
    <row r="55" spans="1:37" x14ac:dyDescent="0.35">
      <c r="A55" s="15" t="str">
        <f>VLOOKUP(B55,'[1]Tabla 1 Arsenal'!$B$11:$K$380,10,FALSE)</f>
        <v>P169</v>
      </c>
      <c r="B55" s="15">
        <v>209164</v>
      </c>
      <c r="C55" s="16" t="s">
        <v>106</v>
      </c>
      <c r="D55" s="16" t="s">
        <v>86</v>
      </c>
      <c r="E55" s="17">
        <v>353</v>
      </c>
      <c r="F55" s="18" t="s">
        <v>55</v>
      </c>
      <c r="G55" s="19">
        <v>0</v>
      </c>
      <c r="H55" s="19">
        <v>30</v>
      </c>
      <c r="I55" s="19">
        <v>120</v>
      </c>
      <c r="J55" s="19">
        <v>0</v>
      </c>
      <c r="K55" s="19">
        <v>60</v>
      </c>
      <c r="L55" s="19">
        <v>60</v>
      </c>
      <c r="M55" s="19">
        <v>60</v>
      </c>
      <c r="N55" s="19">
        <v>60</v>
      </c>
      <c r="O55" s="19">
        <v>60</v>
      </c>
      <c r="P55" s="19">
        <v>90</v>
      </c>
      <c r="Q55" s="19">
        <v>120</v>
      </c>
      <c r="R55" s="19">
        <v>0</v>
      </c>
      <c r="S55" s="19">
        <v>150</v>
      </c>
      <c r="T55" s="19">
        <v>90</v>
      </c>
      <c r="U55" s="19">
        <v>30</v>
      </c>
      <c r="V55" s="19">
        <v>172</v>
      </c>
      <c r="W55" s="19">
        <v>30</v>
      </c>
      <c r="X55" s="19">
        <v>210</v>
      </c>
      <c r="Y55" s="19">
        <v>0</v>
      </c>
      <c r="Z55" s="19">
        <v>120</v>
      </c>
      <c r="AA55" s="19">
        <v>60</v>
      </c>
      <c r="AB55" s="19">
        <v>30</v>
      </c>
      <c r="AC55" s="19">
        <v>30</v>
      </c>
      <c r="AD55" s="19">
        <v>254</v>
      </c>
      <c r="AE55" s="19">
        <f t="shared" si="0"/>
        <v>660</v>
      </c>
      <c r="AF55" s="19">
        <f t="shared" si="1"/>
        <v>1176</v>
      </c>
      <c r="AG55" s="20">
        <f t="shared" si="2"/>
        <v>55</v>
      </c>
      <c r="AH55" s="20">
        <f t="shared" si="6"/>
        <v>98</v>
      </c>
      <c r="AI55" s="21"/>
      <c r="AJ55" s="13"/>
      <c r="AK55" s="13"/>
    </row>
    <row r="56" spans="1:37" x14ac:dyDescent="0.35">
      <c r="A56" s="15" t="str">
        <f>VLOOKUP(B56,'[1]Tabla 1 Arsenal'!$B$11:$K$380,10,FALSE)</f>
        <v>P112</v>
      </c>
      <c r="B56" s="15">
        <v>102156</v>
      </c>
      <c r="C56" s="16" t="s">
        <v>107</v>
      </c>
      <c r="D56" s="16" t="s">
        <v>86</v>
      </c>
      <c r="E56" s="17">
        <v>74</v>
      </c>
      <c r="F56" s="18" t="s">
        <v>23</v>
      </c>
      <c r="G56" s="19">
        <v>740</v>
      </c>
      <c r="H56" s="19">
        <v>660</v>
      </c>
      <c r="I56" s="19">
        <v>1091</v>
      </c>
      <c r="J56" s="19">
        <v>564</v>
      </c>
      <c r="K56" s="19">
        <v>530</v>
      </c>
      <c r="L56" s="19">
        <v>732</v>
      </c>
      <c r="M56" s="19">
        <v>1119</v>
      </c>
      <c r="N56" s="19">
        <v>1060</v>
      </c>
      <c r="O56" s="19">
        <v>1165</v>
      </c>
      <c r="P56" s="19">
        <v>1186</v>
      </c>
      <c r="Q56" s="19">
        <v>1173</v>
      </c>
      <c r="R56" s="19">
        <v>1477</v>
      </c>
      <c r="S56" s="19">
        <v>1109</v>
      </c>
      <c r="T56" s="19">
        <v>1692</v>
      </c>
      <c r="U56" s="19">
        <v>1455</v>
      </c>
      <c r="V56" s="19">
        <v>329</v>
      </c>
      <c r="W56" s="19">
        <v>1433</v>
      </c>
      <c r="X56" s="19">
        <v>1442</v>
      </c>
      <c r="Y56" s="19">
        <v>2396</v>
      </c>
      <c r="Z56" s="19">
        <v>2119</v>
      </c>
      <c r="AA56" s="19">
        <v>1634</v>
      </c>
      <c r="AB56" s="19">
        <v>2331</v>
      </c>
      <c r="AC56" s="19">
        <v>1909</v>
      </c>
      <c r="AD56" s="19">
        <v>2567</v>
      </c>
      <c r="AE56" s="19">
        <f t="shared" si="0"/>
        <v>11497</v>
      </c>
      <c r="AF56" s="19">
        <f t="shared" si="1"/>
        <v>20416</v>
      </c>
      <c r="AG56" s="20">
        <f t="shared" si="2"/>
        <v>958.08333333333337</v>
      </c>
      <c r="AH56" s="20">
        <f t="shared" si="6"/>
        <v>1701.3333333333333</v>
      </c>
      <c r="AI56" s="21"/>
      <c r="AJ56" s="13"/>
      <c r="AK56" s="13"/>
    </row>
    <row r="57" spans="1:37" x14ac:dyDescent="0.35">
      <c r="A57" s="15" t="str">
        <f>VLOOKUP(B57,'[1]Tabla 1 Arsenal'!$B$11:$K$380,10,FALSE)</f>
        <v>P194</v>
      </c>
      <c r="B57" s="15">
        <v>201028</v>
      </c>
      <c r="C57" s="16" t="s">
        <v>108</v>
      </c>
      <c r="D57" s="16" t="s">
        <v>39</v>
      </c>
      <c r="E57" s="17">
        <v>32629</v>
      </c>
      <c r="F57" s="18" t="s">
        <v>55</v>
      </c>
      <c r="G57" s="19">
        <v>0</v>
      </c>
      <c r="H57" s="19">
        <v>30</v>
      </c>
      <c r="I57" s="19">
        <v>60</v>
      </c>
      <c r="J57" s="19">
        <v>60</v>
      </c>
      <c r="K57" s="19">
        <v>120</v>
      </c>
      <c r="L57" s="19">
        <v>60</v>
      </c>
      <c r="M57" s="19">
        <v>30</v>
      </c>
      <c r="N57" s="19">
        <v>30</v>
      </c>
      <c r="O57" s="19">
        <v>60</v>
      </c>
      <c r="P57" s="19">
        <v>150</v>
      </c>
      <c r="Q57" s="19">
        <v>120</v>
      </c>
      <c r="R57" s="19">
        <v>30</v>
      </c>
      <c r="S57" s="19">
        <v>120</v>
      </c>
      <c r="T57" s="19">
        <v>0</v>
      </c>
      <c r="U57" s="19">
        <v>120</v>
      </c>
      <c r="V57" s="19">
        <v>120</v>
      </c>
      <c r="W57" s="19">
        <v>120</v>
      </c>
      <c r="X57" s="19">
        <v>90</v>
      </c>
      <c r="Y57" s="19">
        <v>180</v>
      </c>
      <c r="Z57" s="19">
        <v>90</v>
      </c>
      <c r="AA57" s="19">
        <v>90</v>
      </c>
      <c r="AB57" s="19">
        <v>120</v>
      </c>
      <c r="AC57" s="19">
        <v>120</v>
      </c>
      <c r="AD57" s="19">
        <v>150</v>
      </c>
      <c r="AE57" s="19">
        <f t="shared" si="0"/>
        <v>750</v>
      </c>
      <c r="AF57" s="19">
        <f t="shared" si="1"/>
        <v>1320</v>
      </c>
      <c r="AG57" s="20">
        <f t="shared" si="2"/>
        <v>62.5</v>
      </c>
      <c r="AH57" s="20">
        <f t="shared" si="6"/>
        <v>110</v>
      </c>
      <c r="AI57" s="21"/>
      <c r="AJ57" s="13"/>
      <c r="AK57" s="13"/>
    </row>
    <row r="58" spans="1:37" x14ac:dyDescent="0.35">
      <c r="A58" s="15" t="str">
        <f>VLOOKUP(B58,'[1]Tabla 1 Arsenal'!$B$11:$K$380,10,FALSE)</f>
        <v>P217</v>
      </c>
      <c r="B58" s="15">
        <v>209118</v>
      </c>
      <c r="C58" s="16" t="s">
        <v>109</v>
      </c>
      <c r="D58" s="16" t="s">
        <v>32</v>
      </c>
      <c r="E58" s="17">
        <v>1823</v>
      </c>
      <c r="F58" s="18" t="s">
        <v>55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25</v>
      </c>
      <c r="M58" s="19">
        <v>0</v>
      </c>
      <c r="N58" s="19">
        <v>50</v>
      </c>
      <c r="O58" s="19">
        <v>25</v>
      </c>
      <c r="P58" s="19">
        <v>0</v>
      </c>
      <c r="Q58" s="19">
        <v>0</v>
      </c>
      <c r="R58" s="19">
        <v>0</v>
      </c>
      <c r="S58" s="19">
        <v>50</v>
      </c>
      <c r="T58" s="19">
        <v>25</v>
      </c>
      <c r="U58" s="19">
        <v>25</v>
      </c>
      <c r="V58" s="19">
        <v>25</v>
      </c>
      <c r="W58" s="19">
        <v>0</v>
      </c>
      <c r="X58" s="19">
        <v>0</v>
      </c>
      <c r="Y58" s="19">
        <v>0</v>
      </c>
      <c r="Z58" s="19">
        <v>50</v>
      </c>
      <c r="AA58" s="19">
        <v>0</v>
      </c>
      <c r="AB58" s="19">
        <v>0</v>
      </c>
      <c r="AC58" s="19">
        <v>0</v>
      </c>
      <c r="AD58" s="19">
        <v>0</v>
      </c>
      <c r="AE58" s="19">
        <f t="shared" si="0"/>
        <v>100</v>
      </c>
      <c r="AF58" s="19">
        <f t="shared" si="1"/>
        <v>175</v>
      </c>
      <c r="AG58" s="20">
        <f t="shared" si="2"/>
        <v>8.3333333333333339</v>
      </c>
      <c r="AH58" s="20">
        <f t="shared" si="6"/>
        <v>14.583333333333334</v>
      </c>
      <c r="AI58" s="21"/>
      <c r="AJ58" s="13"/>
      <c r="AK58" s="13"/>
    </row>
    <row r="59" spans="1:37" x14ac:dyDescent="0.35">
      <c r="A59" s="15" t="str">
        <f>VLOOKUP(B59,'[1]Tabla 1 Arsenal'!$B$11:$K$380,10,FALSE)</f>
        <v>P363</v>
      </c>
      <c r="B59" s="15">
        <v>101048</v>
      </c>
      <c r="C59" s="16" t="s">
        <v>110</v>
      </c>
      <c r="D59" s="16" t="s">
        <v>22</v>
      </c>
      <c r="E59" s="17">
        <v>105654</v>
      </c>
      <c r="F59" s="18" t="s">
        <v>55</v>
      </c>
      <c r="G59" s="19">
        <v>17</v>
      </c>
      <c r="H59" s="19">
        <v>10</v>
      </c>
      <c r="I59" s="19">
        <v>24</v>
      </c>
      <c r="J59" s="19">
        <v>8</v>
      </c>
      <c r="K59" s="19">
        <v>21</v>
      </c>
      <c r="L59" s="19">
        <v>9</v>
      </c>
      <c r="M59" s="19">
        <v>17</v>
      </c>
      <c r="N59" s="19">
        <v>25</v>
      </c>
      <c r="O59" s="19">
        <v>12</v>
      </c>
      <c r="P59" s="19">
        <v>24</v>
      </c>
      <c r="Q59" s="19">
        <v>36</v>
      </c>
      <c r="R59" s="19">
        <v>26</v>
      </c>
      <c r="S59" s="19">
        <v>14</v>
      </c>
      <c r="T59" s="19">
        <v>37</v>
      </c>
      <c r="U59" s="19">
        <v>39</v>
      </c>
      <c r="V59" s="19">
        <v>49</v>
      </c>
      <c r="W59" s="19">
        <v>22</v>
      </c>
      <c r="X59" s="19">
        <v>52</v>
      </c>
      <c r="Y59" s="19">
        <v>53</v>
      </c>
      <c r="Z59" s="19">
        <v>49</v>
      </c>
      <c r="AA59" s="19">
        <v>11</v>
      </c>
      <c r="AB59" s="19">
        <v>44</v>
      </c>
      <c r="AC59" s="19">
        <v>15</v>
      </c>
      <c r="AD59" s="19">
        <v>15</v>
      </c>
      <c r="AE59" s="19">
        <f t="shared" si="0"/>
        <v>229</v>
      </c>
      <c r="AF59" s="19">
        <f t="shared" si="1"/>
        <v>400</v>
      </c>
      <c r="AG59" s="20">
        <f t="shared" si="2"/>
        <v>19.083333333333332</v>
      </c>
      <c r="AH59" s="20">
        <f t="shared" si="6"/>
        <v>33.333333333333336</v>
      </c>
      <c r="AI59" s="21"/>
      <c r="AJ59" s="13"/>
      <c r="AK59" s="13"/>
    </row>
    <row r="60" spans="1:37" x14ac:dyDescent="0.35">
      <c r="A60" s="15" t="str">
        <f>VLOOKUP(B60,'[1]Tabla 1 Arsenal'!$B$11:$K$380,10,FALSE)</f>
        <v>P288</v>
      </c>
      <c r="B60" s="15">
        <v>102074</v>
      </c>
      <c r="C60" s="16" t="s">
        <v>111</v>
      </c>
      <c r="D60" s="16" t="s">
        <v>23</v>
      </c>
      <c r="E60" s="17">
        <v>1806</v>
      </c>
      <c r="F60" s="18" t="s">
        <v>23</v>
      </c>
      <c r="G60" s="19">
        <v>2</v>
      </c>
      <c r="H60" s="19">
        <v>12</v>
      </c>
      <c r="I60" s="19">
        <v>34</v>
      </c>
      <c r="J60" s="19">
        <v>23</v>
      </c>
      <c r="K60" s="19">
        <v>33</v>
      </c>
      <c r="L60" s="19">
        <v>43</v>
      </c>
      <c r="M60" s="19">
        <v>164</v>
      </c>
      <c r="N60" s="19">
        <v>198</v>
      </c>
      <c r="O60" s="19">
        <v>171</v>
      </c>
      <c r="P60" s="19">
        <v>126</v>
      </c>
      <c r="Q60" s="19">
        <v>279</v>
      </c>
      <c r="R60" s="19">
        <v>224</v>
      </c>
      <c r="S60" s="19">
        <v>169</v>
      </c>
      <c r="T60" s="19">
        <v>5</v>
      </c>
      <c r="U60" s="19">
        <v>0</v>
      </c>
      <c r="V60" s="19">
        <v>0</v>
      </c>
      <c r="W60" s="19">
        <v>0</v>
      </c>
      <c r="X60" s="19">
        <v>102</v>
      </c>
      <c r="Y60" s="19">
        <v>311</v>
      </c>
      <c r="Z60" s="19">
        <v>342</v>
      </c>
      <c r="AA60" s="19">
        <v>276</v>
      </c>
      <c r="AB60" s="19">
        <v>337</v>
      </c>
      <c r="AC60" s="19">
        <v>341</v>
      </c>
      <c r="AD60" s="19">
        <v>360</v>
      </c>
      <c r="AE60" s="19">
        <f t="shared" si="0"/>
        <v>1309</v>
      </c>
      <c r="AF60" s="19">
        <f t="shared" si="1"/>
        <v>2243</v>
      </c>
      <c r="AG60" s="20">
        <f t="shared" si="2"/>
        <v>109.08333333333333</v>
      </c>
      <c r="AH60" s="20">
        <f t="shared" si="6"/>
        <v>186.91666666666666</v>
      </c>
      <c r="AI60" s="21"/>
      <c r="AJ60" s="13"/>
      <c r="AK60" s="13"/>
    </row>
    <row r="61" spans="1:37" x14ac:dyDescent="0.35">
      <c r="A61" s="15" t="str">
        <f>VLOOKUP(B61,'[1]Tabla 1 Arsenal'!$B$11:$K$380,10,FALSE)</f>
        <v>P120</v>
      </c>
      <c r="B61" s="15">
        <v>102153</v>
      </c>
      <c r="C61" s="16" t="s">
        <v>112</v>
      </c>
      <c r="D61" s="16" t="s">
        <v>39</v>
      </c>
      <c r="E61" s="17">
        <v>25</v>
      </c>
      <c r="F61" s="18" t="s">
        <v>23</v>
      </c>
      <c r="G61" s="19">
        <v>729</v>
      </c>
      <c r="H61" s="19">
        <v>1413</v>
      </c>
      <c r="I61" s="19">
        <v>1746</v>
      </c>
      <c r="J61" s="19">
        <v>1388</v>
      </c>
      <c r="K61" s="19">
        <v>1424</v>
      </c>
      <c r="L61" s="19">
        <v>1745</v>
      </c>
      <c r="M61" s="19">
        <v>1755</v>
      </c>
      <c r="N61" s="19">
        <v>2821</v>
      </c>
      <c r="O61" s="19">
        <v>1877</v>
      </c>
      <c r="P61" s="19">
        <v>2538</v>
      </c>
      <c r="Q61" s="19">
        <v>1989</v>
      </c>
      <c r="R61" s="19">
        <v>2015</v>
      </c>
      <c r="S61" s="19">
        <v>2512</v>
      </c>
      <c r="T61" s="19">
        <v>3046</v>
      </c>
      <c r="U61" s="19">
        <v>2030</v>
      </c>
      <c r="V61" s="19">
        <v>1847</v>
      </c>
      <c r="W61" s="19">
        <v>2118</v>
      </c>
      <c r="X61" s="19">
        <v>2715</v>
      </c>
      <c r="Y61" s="19">
        <v>2686</v>
      </c>
      <c r="Z61" s="19">
        <v>3318</v>
      </c>
      <c r="AA61" s="19">
        <v>3605</v>
      </c>
      <c r="AB61" s="19">
        <v>4497</v>
      </c>
      <c r="AC61" s="19">
        <v>3396</v>
      </c>
      <c r="AD61" s="19">
        <v>3920</v>
      </c>
      <c r="AE61" s="19">
        <f t="shared" si="0"/>
        <v>21440</v>
      </c>
      <c r="AF61" s="19">
        <f t="shared" si="1"/>
        <v>35690</v>
      </c>
      <c r="AG61" s="20">
        <f t="shared" si="2"/>
        <v>1786.6666666666667</v>
      </c>
      <c r="AH61" s="20">
        <f t="shared" si="6"/>
        <v>2974.1666666666665</v>
      </c>
      <c r="AI61" s="21"/>
      <c r="AJ61" s="13"/>
      <c r="AK61" s="13"/>
    </row>
    <row r="62" spans="1:37" x14ac:dyDescent="0.35">
      <c r="A62" s="15" t="str">
        <f>VLOOKUP(B62,'[1]Tabla 1 Arsenal'!$B$11:$K$380,10,FALSE)</f>
        <v>P315</v>
      </c>
      <c r="B62" s="15">
        <v>209112</v>
      </c>
      <c r="C62" s="16" t="s">
        <v>113</v>
      </c>
      <c r="D62" s="16" t="s">
        <v>22</v>
      </c>
      <c r="E62" s="17">
        <v>51170</v>
      </c>
      <c r="F62" s="18" t="s">
        <v>55</v>
      </c>
      <c r="G62" s="19">
        <v>45</v>
      </c>
      <c r="H62" s="19">
        <v>44</v>
      </c>
      <c r="I62" s="19">
        <v>66</v>
      </c>
      <c r="J62" s="19">
        <v>48</v>
      </c>
      <c r="K62" s="19">
        <v>71</v>
      </c>
      <c r="L62" s="19">
        <v>62</v>
      </c>
      <c r="M62" s="19">
        <v>71</v>
      </c>
      <c r="N62" s="19">
        <v>64</v>
      </c>
      <c r="O62" s="19">
        <v>59</v>
      </c>
      <c r="P62" s="19">
        <v>63</v>
      </c>
      <c r="Q62" s="19">
        <v>54</v>
      </c>
      <c r="R62" s="19">
        <v>17</v>
      </c>
      <c r="S62" s="19">
        <v>57</v>
      </c>
      <c r="T62" s="19">
        <v>67</v>
      </c>
      <c r="U62" s="19">
        <v>79</v>
      </c>
      <c r="V62" s="19">
        <v>134</v>
      </c>
      <c r="W62" s="19">
        <v>76</v>
      </c>
      <c r="X62" s="19">
        <v>67</v>
      </c>
      <c r="Y62" s="19">
        <v>85</v>
      </c>
      <c r="Z62" s="19">
        <v>56</v>
      </c>
      <c r="AA62" s="19">
        <v>48</v>
      </c>
      <c r="AB62" s="19">
        <v>108</v>
      </c>
      <c r="AC62" s="19">
        <v>193</v>
      </c>
      <c r="AD62" s="19">
        <v>121</v>
      </c>
      <c r="AE62" s="19">
        <f t="shared" si="0"/>
        <v>664</v>
      </c>
      <c r="AF62" s="19">
        <f t="shared" si="1"/>
        <v>1091</v>
      </c>
      <c r="AG62" s="20">
        <f t="shared" si="2"/>
        <v>55.333333333333336</v>
      </c>
      <c r="AH62" s="20">
        <f t="shared" si="6"/>
        <v>90.916666666666671</v>
      </c>
      <c r="AI62" s="21"/>
      <c r="AJ62" s="13"/>
      <c r="AK62" s="13"/>
    </row>
    <row r="63" spans="1:37" x14ac:dyDescent="0.35">
      <c r="A63" s="15" t="str">
        <f>VLOOKUP(B63,'[1]Tabla 1 Arsenal'!$B$11:$K$380,10,FALSE)</f>
        <v>P309</v>
      </c>
      <c r="B63" s="15">
        <v>102155</v>
      </c>
      <c r="C63" s="16" t="s">
        <v>114</v>
      </c>
      <c r="D63" s="16" t="s">
        <v>32</v>
      </c>
      <c r="E63" s="17">
        <v>26</v>
      </c>
      <c r="F63" s="18" t="s">
        <v>23</v>
      </c>
      <c r="G63" s="19">
        <v>412</v>
      </c>
      <c r="H63" s="19">
        <v>57</v>
      </c>
      <c r="I63" s="19">
        <v>108</v>
      </c>
      <c r="J63" s="19">
        <v>152</v>
      </c>
      <c r="K63" s="19">
        <v>232</v>
      </c>
      <c r="L63" s="19">
        <v>321</v>
      </c>
      <c r="M63" s="19">
        <v>290</v>
      </c>
      <c r="N63" s="19">
        <v>344</v>
      </c>
      <c r="O63" s="19">
        <v>214</v>
      </c>
      <c r="P63" s="19">
        <v>346</v>
      </c>
      <c r="Q63" s="19">
        <v>232</v>
      </c>
      <c r="R63" s="19">
        <v>311</v>
      </c>
      <c r="S63" s="19">
        <v>343</v>
      </c>
      <c r="T63" s="19">
        <v>341</v>
      </c>
      <c r="U63" s="19">
        <v>277</v>
      </c>
      <c r="V63" s="19">
        <v>256</v>
      </c>
      <c r="W63" s="19">
        <v>422</v>
      </c>
      <c r="X63" s="19">
        <v>365</v>
      </c>
      <c r="Y63" s="19">
        <v>563</v>
      </c>
      <c r="Z63" s="19">
        <v>468</v>
      </c>
      <c r="AA63" s="19">
        <v>406</v>
      </c>
      <c r="AB63" s="19">
        <v>512</v>
      </c>
      <c r="AC63" s="19">
        <v>348</v>
      </c>
      <c r="AD63" s="19">
        <v>468</v>
      </c>
      <c r="AE63" s="19">
        <f t="shared" si="0"/>
        <v>3019</v>
      </c>
      <c r="AF63" s="19">
        <f t="shared" si="1"/>
        <v>4769</v>
      </c>
      <c r="AG63" s="20">
        <f t="shared" si="2"/>
        <v>251.58333333333334</v>
      </c>
      <c r="AH63" s="20">
        <f t="shared" si="6"/>
        <v>397.41666666666669</v>
      </c>
      <c r="AI63" s="21"/>
      <c r="AJ63" s="13"/>
      <c r="AK63" s="13"/>
    </row>
    <row r="64" spans="1:37" x14ac:dyDescent="0.35">
      <c r="A64" s="15" t="str">
        <f>VLOOKUP(B64,'[1]Tabla 1 Arsenal'!$B$11:$K$380,10,FALSE)</f>
        <v>P262</v>
      </c>
      <c r="B64" s="15">
        <v>106090</v>
      </c>
      <c r="C64" s="16" t="s">
        <v>115</v>
      </c>
      <c r="D64" s="16" t="s">
        <v>22</v>
      </c>
      <c r="E64" s="17">
        <v>791357</v>
      </c>
      <c r="F64" s="18" t="s">
        <v>55</v>
      </c>
      <c r="G64" s="31">
        <v>12</v>
      </c>
      <c r="H64" s="31">
        <v>8</v>
      </c>
      <c r="I64" s="31">
        <v>13</v>
      </c>
      <c r="J64" s="31">
        <v>14</v>
      </c>
      <c r="K64" s="31">
        <v>15</v>
      </c>
      <c r="L64" s="31">
        <v>10</v>
      </c>
      <c r="M64" s="31">
        <v>13</v>
      </c>
      <c r="N64" s="31">
        <v>17</v>
      </c>
      <c r="O64" s="31">
        <v>18</v>
      </c>
      <c r="P64" s="31">
        <v>16</v>
      </c>
      <c r="Q64" s="31">
        <v>20</v>
      </c>
      <c r="R64" s="31">
        <v>19</v>
      </c>
      <c r="S64" s="31">
        <v>20</v>
      </c>
      <c r="T64" s="31">
        <v>21</v>
      </c>
      <c r="U64" s="31">
        <v>17</v>
      </c>
      <c r="V64" s="31">
        <v>22</v>
      </c>
      <c r="W64" s="31">
        <v>21</v>
      </c>
      <c r="X64" s="31">
        <v>22</v>
      </c>
      <c r="Y64" s="31">
        <v>23</v>
      </c>
      <c r="Z64" s="31">
        <v>24</v>
      </c>
      <c r="AA64" s="31">
        <v>24</v>
      </c>
      <c r="AB64" s="31">
        <v>24</v>
      </c>
      <c r="AC64" s="31">
        <v>26</v>
      </c>
      <c r="AD64" s="31">
        <v>30</v>
      </c>
      <c r="AE64" s="19">
        <f t="shared" si="0"/>
        <v>175</v>
      </c>
      <c r="AF64" s="19">
        <f t="shared" si="1"/>
        <v>274</v>
      </c>
      <c r="AG64" s="32">
        <f t="shared" si="2"/>
        <v>14.583333333333334</v>
      </c>
      <c r="AH64" s="32">
        <f t="shared" si="6"/>
        <v>22.833333333333332</v>
      </c>
      <c r="AI64" s="21"/>
      <c r="AJ64" s="13"/>
      <c r="AK64" s="13"/>
    </row>
    <row r="65" spans="1:37" x14ac:dyDescent="0.35">
      <c r="A65" s="15" t="str">
        <f>VLOOKUP(B65,'[1]Tabla 1 Arsenal'!$B$11:$K$380,10,FALSE)</f>
        <v>P148</v>
      </c>
      <c r="B65" s="15">
        <v>209051</v>
      </c>
      <c r="C65" s="16" t="s">
        <v>116</v>
      </c>
      <c r="D65" s="16" t="s">
        <v>22</v>
      </c>
      <c r="E65" s="17">
        <v>22491</v>
      </c>
      <c r="F65" s="18" t="s">
        <v>55</v>
      </c>
      <c r="G65" s="19">
        <v>5</v>
      </c>
      <c r="H65" s="19">
        <v>13</v>
      </c>
      <c r="I65" s="19">
        <v>73</v>
      </c>
      <c r="J65" s="19">
        <v>66</v>
      </c>
      <c r="K65" s="19">
        <v>92</v>
      </c>
      <c r="L65" s="19">
        <v>48</v>
      </c>
      <c r="M65" s="19">
        <v>35</v>
      </c>
      <c r="N65" s="19">
        <v>23</v>
      </c>
      <c r="O65" s="19">
        <v>0</v>
      </c>
      <c r="P65" s="19">
        <v>6</v>
      </c>
      <c r="Q65" s="19">
        <v>79</v>
      </c>
      <c r="R65" s="19">
        <v>86</v>
      </c>
      <c r="S65" s="19">
        <v>74</v>
      </c>
      <c r="T65" s="19">
        <v>57</v>
      </c>
      <c r="U65" s="19">
        <v>89</v>
      </c>
      <c r="V65" s="19">
        <v>122</v>
      </c>
      <c r="W65" s="19">
        <v>22</v>
      </c>
      <c r="X65" s="19">
        <v>60</v>
      </c>
      <c r="Y65" s="19">
        <v>70</v>
      </c>
      <c r="Z65" s="19">
        <v>55</v>
      </c>
      <c r="AA65" s="19">
        <v>66</v>
      </c>
      <c r="AB65" s="19">
        <v>83</v>
      </c>
      <c r="AC65" s="19">
        <v>62</v>
      </c>
      <c r="AD65" s="19">
        <v>60</v>
      </c>
      <c r="AE65" s="19">
        <f t="shared" si="0"/>
        <v>526</v>
      </c>
      <c r="AF65" s="19">
        <f t="shared" si="1"/>
        <v>820</v>
      </c>
      <c r="AG65" s="20">
        <f t="shared" si="2"/>
        <v>43.833333333333336</v>
      </c>
      <c r="AH65" s="20">
        <f t="shared" si="6"/>
        <v>68.333333333333329</v>
      </c>
      <c r="AI65" s="21"/>
      <c r="AJ65" s="13"/>
      <c r="AK65" s="13"/>
    </row>
    <row r="66" spans="1:37" x14ac:dyDescent="0.35">
      <c r="A66" s="15" t="str">
        <f>VLOOKUP(B66,'[1]Tabla 1 Arsenal'!$B$11:$K$380,10,FALSE)</f>
        <v>P009</v>
      </c>
      <c r="B66" s="15">
        <v>101030</v>
      </c>
      <c r="C66" s="16" t="s">
        <v>117</v>
      </c>
      <c r="D66" s="16" t="s">
        <v>32</v>
      </c>
      <c r="E66" s="17">
        <v>899</v>
      </c>
      <c r="F66" s="18" t="s">
        <v>23</v>
      </c>
      <c r="G66" s="19">
        <v>18</v>
      </c>
      <c r="H66" s="19">
        <v>87</v>
      </c>
      <c r="I66" s="19">
        <v>87</v>
      </c>
      <c r="J66" s="19">
        <v>15</v>
      </c>
      <c r="K66" s="19">
        <v>108</v>
      </c>
      <c r="L66" s="19">
        <v>112</v>
      </c>
      <c r="M66" s="19">
        <v>109</v>
      </c>
      <c r="N66" s="19">
        <v>107</v>
      </c>
      <c r="O66" s="19">
        <v>101</v>
      </c>
      <c r="P66" s="19">
        <v>270</v>
      </c>
      <c r="Q66" s="19">
        <v>125</v>
      </c>
      <c r="R66" s="19">
        <v>123</v>
      </c>
      <c r="S66" s="19">
        <v>171</v>
      </c>
      <c r="T66" s="19">
        <v>44</v>
      </c>
      <c r="U66" s="19">
        <v>119</v>
      </c>
      <c r="V66" s="19">
        <v>195</v>
      </c>
      <c r="W66" s="19">
        <v>115</v>
      </c>
      <c r="X66" s="19">
        <v>136</v>
      </c>
      <c r="Y66" s="19">
        <v>172</v>
      </c>
      <c r="Z66" s="19">
        <v>269</v>
      </c>
      <c r="AA66" s="19">
        <v>213</v>
      </c>
      <c r="AB66" s="19">
        <v>201</v>
      </c>
      <c r="AC66" s="19">
        <v>174</v>
      </c>
      <c r="AD66" s="19">
        <v>150</v>
      </c>
      <c r="AE66" s="19">
        <f t="shared" si="0"/>
        <v>1262</v>
      </c>
      <c r="AF66" s="19">
        <f t="shared" si="1"/>
        <v>1959</v>
      </c>
      <c r="AG66" s="20">
        <f t="shared" si="2"/>
        <v>105.16666666666667</v>
      </c>
      <c r="AH66" s="20">
        <f t="shared" si="6"/>
        <v>163.25</v>
      </c>
      <c r="AI66" s="21"/>
      <c r="AJ66" s="13"/>
      <c r="AK66" s="13"/>
    </row>
    <row r="67" spans="1:37" x14ac:dyDescent="0.35">
      <c r="A67" s="15" t="str">
        <f>VLOOKUP(B67,'[1]Tabla 1 Arsenal'!$B$11:$K$380,10,FALSE)</f>
        <v>P357</v>
      </c>
      <c r="B67" s="15">
        <v>101051</v>
      </c>
      <c r="C67" s="16" t="s">
        <v>118</v>
      </c>
      <c r="D67" s="16" t="s">
        <v>22</v>
      </c>
      <c r="E67" s="17">
        <v>1140085</v>
      </c>
      <c r="F67" s="18" t="s">
        <v>55</v>
      </c>
      <c r="G67" s="19">
        <v>10</v>
      </c>
      <c r="H67" s="19">
        <v>11</v>
      </c>
      <c r="I67" s="19">
        <v>6</v>
      </c>
      <c r="J67" s="19">
        <v>12</v>
      </c>
      <c r="K67" s="19">
        <v>18</v>
      </c>
      <c r="L67" s="19">
        <v>6</v>
      </c>
      <c r="M67" s="19">
        <v>0</v>
      </c>
      <c r="N67" s="19">
        <v>0</v>
      </c>
      <c r="O67" s="19">
        <v>4</v>
      </c>
      <c r="P67" s="19">
        <v>6</v>
      </c>
      <c r="Q67" s="19">
        <v>9</v>
      </c>
      <c r="R67" s="19">
        <v>11</v>
      </c>
      <c r="S67" s="19">
        <v>12</v>
      </c>
      <c r="T67" s="19">
        <v>12</v>
      </c>
      <c r="U67" s="19">
        <v>9</v>
      </c>
      <c r="V67" s="19">
        <v>22</v>
      </c>
      <c r="W67" s="19">
        <v>18</v>
      </c>
      <c r="X67" s="19">
        <v>10</v>
      </c>
      <c r="Y67" s="19">
        <v>9</v>
      </c>
      <c r="Z67" s="19">
        <v>13</v>
      </c>
      <c r="AA67" s="19">
        <v>6</v>
      </c>
      <c r="AB67" s="19">
        <v>9</v>
      </c>
      <c r="AC67" s="19">
        <v>13</v>
      </c>
      <c r="AD67" s="19">
        <v>11</v>
      </c>
      <c r="AE67" s="19">
        <f t="shared" si="0"/>
        <v>93</v>
      </c>
      <c r="AF67" s="19">
        <f t="shared" si="1"/>
        <v>144</v>
      </c>
      <c r="AG67" s="20">
        <f t="shared" si="2"/>
        <v>7.75</v>
      </c>
      <c r="AH67" s="20">
        <f t="shared" si="6"/>
        <v>12</v>
      </c>
      <c r="AI67" s="21"/>
      <c r="AJ67" s="13"/>
      <c r="AK67" s="13"/>
    </row>
    <row r="68" spans="1:37" x14ac:dyDescent="0.35">
      <c r="A68" s="15" t="str">
        <f>VLOOKUP(B68,'[1]Tabla 1 Arsenal'!$B$11:$K$380,10,FALSE)</f>
        <v>P210</v>
      </c>
      <c r="B68" s="15">
        <v>102031</v>
      </c>
      <c r="C68" s="16" t="s">
        <v>119</v>
      </c>
      <c r="D68" s="16" t="s">
        <v>37</v>
      </c>
      <c r="E68" s="17">
        <v>470</v>
      </c>
      <c r="F68" s="18" t="s">
        <v>23</v>
      </c>
      <c r="G68" s="19">
        <v>36</v>
      </c>
      <c r="H68" s="19">
        <v>7</v>
      </c>
      <c r="I68" s="19">
        <v>13</v>
      </c>
      <c r="J68" s="19">
        <v>24</v>
      </c>
      <c r="K68" s="19">
        <v>6</v>
      </c>
      <c r="L68" s="19">
        <v>44</v>
      </c>
      <c r="M68" s="19">
        <v>22</v>
      </c>
      <c r="N68" s="19">
        <v>1</v>
      </c>
      <c r="O68" s="19">
        <v>8</v>
      </c>
      <c r="P68" s="19">
        <v>17</v>
      </c>
      <c r="Q68" s="19">
        <v>1</v>
      </c>
      <c r="R68" s="19">
        <v>50</v>
      </c>
      <c r="S68" s="19">
        <v>30</v>
      </c>
      <c r="T68" s="19">
        <v>6</v>
      </c>
      <c r="U68" s="19">
        <v>17</v>
      </c>
      <c r="V68" s="19">
        <v>13</v>
      </c>
      <c r="W68" s="19">
        <v>97</v>
      </c>
      <c r="X68" s="19">
        <v>56</v>
      </c>
      <c r="Y68" s="19">
        <v>6</v>
      </c>
      <c r="Z68" s="19">
        <v>26</v>
      </c>
      <c r="AA68" s="19">
        <v>7</v>
      </c>
      <c r="AB68" s="19">
        <v>52</v>
      </c>
      <c r="AC68" s="19">
        <v>18</v>
      </c>
      <c r="AD68" s="19">
        <v>25</v>
      </c>
      <c r="AE68" s="19">
        <f t="shared" si="0"/>
        <v>229</v>
      </c>
      <c r="AF68" s="19">
        <f t="shared" si="1"/>
        <v>353</v>
      </c>
      <c r="AG68" s="20">
        <f t="shared" si="2"/>
        <v>19.083333333333332</v>
      </c>
      <c r="AH68" s="20">
        <f t="shared" si="6"/>
        <v>29.416666666666668</v>
      </c>
      <c r="AI68" s="21"/>
      <c r="AJ68" s="13"/>
      <c r="AK68" s="13"/>
    </row>
    <row r="69" spans="1:37" x14ac:dyDescent="0.35">
      <c r="A69" s="15" t="str">
        <f>VLOOKUP(B69,'[1]Tabla 1 Arsenal'!$B$11:$K$380,10,FALSE)</f>
        <v>P245</v>
      </c>
      <c r="B69" s="15">
        <v>101023</v>
      </c>
      <c r="C69" s="16" t="s">
        <v>120</v>
      </c>
      <c r="D69" s="16" t="s">
        <v>32</v>
      </c>
      <c r="E69" s="17">
        <v>15374</v>
      </c>
      <c r="F69" s="18" t="s">
        <v>55</v>
      </c>
      <c r="G69" s="19">
        <v>240</v>
      </c>
      <c r="H69" s="19">
        <v>180</v>
      </c>
      <c r="I69" s="19">
        <v>540</v>
      </c>
      <c r="J69" s="19">
        <v>120</v>
      </c>
      <c r="K69" s="19">
        <v>600</v>
      </c>
      <c r="L69" s="19">
        <v>480</v>
      </c>
      <c r="M69" s="19">
        <v>600</v>
      </c>
      <c r="N69" s="19">
        <v>660</v>
      </c>
      <c r="O69" s="19">
        <v>420</v>
      </c>
      <c r="P69" s="19">
        <v>660</v>
      </c>
      <c r="Q69" s="19">
        <v>540</v>
      </c>
      <c r="R69" s="19">
        <v>510</v>
      </c>
      <c r="S69" s="19">
        <v>480</v>
      </c>
      <c r="T69" s="19">
        <v>450</v>
      </c>
      <c r="U69" s="19">
        <v>480</v>
      </c>
      <c r="V69" s="19">
        <v>720</v>
      </c>
      <c r="W69" s="19">
        <v>720</v>
      </c>
      <c r="X69" s="19">
        <v>1072</v>
      </c>
      <c r="Y69" s="19">
        <v>1020</v>
      </c>
      <c r="Z69" s="19">
        <v>600</v>
      </c>
      <c r="AA69" s="19">
        <v>580</v>
      </c>
      <c r="AB69" s="19">
        <v>600</v>
      </c>
      <c r="AC69" s="19">
        <v>720</v>
      </c>
      <c r="AD69" s="19">
        <v>1020</v>
      </c>
      <c r="AE69" s="19">
        <f t="shared" si="0"/>
        <v>5550</v>
      </c>
      <c r="AF69" s="19">
        <f t="shared" si="1"/>
        <v>8462</v>
      </c>
      <c r="AG69" s="20">
        <f t="shared" si="2"/>
        <v>462.5</v>
      </c>
      <c r="AH69" s="20">
        <f t="shared" si="6"/>
        <v>705.16666666666663</v>
      </c>
      <c r="AI69" s="21"/>
      <c r="AJ69" s="13"/>
      <c r="AK69" s="13"/>
    </row>
    <row r="70" spans="1:37" x14ac:dyDescent="0.35">
      <c r="A70" s="15" t="str">
        <f>VLOOKUP(B70,'[1]Tabla 1 Arsenal'!$B$11:$K$380,10,FALSE)</f>
        <v>P220</v>
      </c>
      <c r="B70" s="15">
        <v>102176</v>
      </c>
      <c r="C70" s="16" t="s">
        <v>121</v>
      </c>
      <c r="D70" s="16" t="s">
        <v>39</v>
      </c>
      <c r="E70" s="17">
        <v>975</v>
      </c>
      <c r="F70" s="18" t="s">
        <v>23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112</v>
      </c>
      <c r="P70" s="19">
        <v>105</v>
      </c>
      <c r="Q70" s="19">
        <v>165</v>
      </c>
      <c r="R70" s="19">
        <v>100</v>
      </c>
      <c r="S70" s="19">
        <v>100</v>
      </c>
      <c r="T70" s="19">
        <v>30</v>
      </c>
      <c r="U70" s="19">
        <v>150</v>
      </c>
      <c r="V70" s="19">
        <v>30</v>
      </c>
      <c r="W70" s="19">
        <v>37</v>
      </c>
      <c r="X70" s="19">
        <v>90</v>
      </c>
      <c r="Y70" s="19">
        <v>44</v>
      </c>
      <c r="Z70" s="19">
        <v>110</v>
      </c>
      <c r="AA70" s="19">
        <v>30</v>
      </c>
      <c r="AB70" s="19">
        <v>0</v>
      </c>
      <c r="AC70" s="19">
        <v>50</v>
      </c>
      <c r="AD70" s="19">
        <v>62</v>
      </c>
      <c r="AE70" s="19">
        <f t="shared" ref="AE70:AE133" si="7">SUM(G70:R70)</f>
        <v>482</v>
      </c>
      <c r="AF70" s="19">
        <f t="shared" ref="AF70:AF133" si="8">SUM(S70:AD70)</f>
        <v>733</v>
      </c>
      <c r="AG70" s="20">
        <f t="shared" ref="AG70:AG133" si="9">AVERAGE(G70:R70)</f>
        <v>40.166666666666664</v>
      </c>
      <c r="AH70" s="20">
        <f t="shared" si="6"/>
        <v>61.083333333333336</v>
      </c>
      <c r="AI70" s="21"/>
      <c r="AJ70" s="13"/>
      <c r="AK70" s="13"/>
    </row>
    <row r="71" spans="1:37" x14ac:dyDescent="0.35">
      <c r="A71" s="15" t="str">
        <f>VLOOKUP(B71,'[1]Tabla 1 Arsenal'!$B$11:$K$380,10,FALSE)</f>
        <v>P251</v>
      </c>
      <c r="B71" s="15">
        <v>101074</v>
      </c>
      <c r="C71" s="16" t="s">
        <v>122</v>
      </c>
      <c r="D71" s="16" t="s">
        <v>22</v>
      </c>
      <c r="E71" s="17">
        <v>1010498</v>
      </c>
      <c r="F71" s="18" t="s">
        <v>55</v>
      </c>
      <c r="G71" s="19">
        <v>72</v>
      </c>
      <c r="H71" s="19">
        <v>36</v>
      </c>
      <c r="I71" s="19">
        <v>86</v>
      </c>
      <c r="J71" s="19">
        <v>61</v>
      </c>
      <c r="K71" s="19">
        <v>76</v>
      </c>
      <c r="L71" s="19">
        <v>44</v>
      </c>
      <c r="M71" s="19">
        <v>48</v>
      </c>
      <c r="N71" s="19">
        <v>48</v>
      </c>
      <c r="O71" s="19">
        <v>52</v>
      </c>
      <c r="P71" s="19">
        <v>60</v>
      </c>
      <c r="Q71" s="19">
        <v>40</v>
      </c>
      <c r="R71" s="19">
        <v>40</v>
      </c>
      <c r="S71" s="19">
        <v>56</v>
      </c>
      <c r="T71" s="19">
        <v>56</v>
      </c>
      <c r="U71" s="19">
        <v>57</v>
      </c>
      <c r="V71" s="19">
        <v>88</v>
      </c>
      <c r="W71" s="19">
        <v>92</v>
      </c>
      <c r="X71" s="19">
        <v>92</v>
      </c>
      <c r="Y71" s="19">
        <v>104</v>
      </c>
      <c r="Z71" s="19">
        <v>92</v>
      </c>
      <c r="AA71" s="19">
        <v>76</v>
      </c>
      <c r="AB71" s="19">
        <v>100</v>
      </c>
      <c r="AC71" s="19">
        <v>87</v>
      </c>
      <c r="AD71" s="19">
        <v>105</v>
      </c>
      <c r="AE71" s="19">
        <f t="shared" si="7"/>
        <v>663</v>
      </c>
      <c r="AF71" s="19">
        <f t="shared" si="8"/>
        <v>1005</v>
      </c>
      <c r="AG71" s="20">
        <f t="shared" si="9"/>
        <v>55.25</v>
      </c>
      <c r="AH71" s="20">
        <f t="shared" si="6"/>
        <v>83.75</v>
      </c>
      <c r="AI71" s="21"/>
      <c r="AJ71" s="13"/>
      <c r="AK71" s="13"/>
    </row>
    <row r="72" spans="1:37" x14ac:dyDescent="0.35">
      <c r="A72" s="15" t="str">
        <f>VLOOKUP(B72,'[1]Tabla 1 Arsenal'!$B$11:$K$380,10,FALSE)</f>
        <v>P333</v>
      </c>
      <c r="B72" s="15">
        <v>101075</v>
      </c>
      <c r="C72" s="16" t="s">
        <v>123</v>
      </c>
      <c r="D72" s="16" t="s">
        <v>32</v>
      </c>
      <c r="E72" s="17">
        <v>30975</v>
      </c>
      <c r="F72" s="18" t="s">
        <v>55</v>
      </c>
      <c r="G72" s="19">
        <v>224</v>
      </c>
      <c r="H72" s="19">
        <v>224</v>
      </c>
      <c r="I72" s="19">
        <v>224</v>
      </c>
      <c r="J72" s="19">
        <v>112</v>
      </c>
      <c r="K72" s="19">
        <v>0</v>
      </c>
      <c r="L72" s="19">
        <v>0</v>
      </c>
      <c r="M72" s="19">
        <v>0</v>
      </c>
      <c r="N72" s="19">
        <v>112</v>
      </c>
      <c r="O72" s="19">
        <v>112</v>
      </c>
      <c r="P72" s="19">
        <v>224</v>
      </c>
      <c r="Q72" s="19">
        <v>112</v>
      </c>
      <c r="R72" s="19">
        <v>0</v>
      </c>
      <c r="S72" s="19">
        <v>224</v>
      </c>
      <c r="T72" s="19">
        <v>336</v>
      </c>
      <c r="U72" s="19">
        <v>224</v>
      </c>
      <c r="V72" s="19">
        <v>224</v>
      </c>
      <c r="W72" s="19">
        <v>224</v>
      </c>
      <c r="X72" s="19">
        <v>112</v>
      </c>
      <c r="Y72" s="19">
        <v>0</v>
      </c>
      <c r="Z72" s="19">
        <v>0</v>
      </c>
      <c r="AA72" s="19">
        <v>0</v>
      </c>
      <c r="AB72" s="19">
        <v>224</v>
      </c>
      <c r="AC72" s="19">
        <v>224</v>
      </c>
      <c r="AD72" s="19">
        <v>224</v>
      </c>
      <c r="AE72" s="19">
        <f t="shared" si="7"/>
        <v>1344</v>
      </c>
      <c r="AF72" s="19">
        <f t="shared" si="8"/>
        <v>2016</v>
      </c>
      <c r="AG72" s="20">
        <f t="shared" si="9"/>
        <v>112</v>
      </c>
      <c r="AH72" s="20">
        <f t="shared" si="6"/>
        <v>168</v>
      </c>
      <c r="AI72" s="21"/>
      <c r="AJ72" s="13"/>
      <c r="AK72" s="13"/>
    </row>
    <row r="73" spans="1:37" x14ac:dyDescent="0.35">
      <c r="A73" s="15" t="str">
        <f>VLOOKUP(B73,'[1]Tabla 1 Arsenal'!$B$11:$K$380,10,FALSE)</f>
        <v>P147</v>
      </c>
      <c r="B73" s="15">
        <v>103020</v>
      </c>
      <c r="C73" s="16" t="s">
        <v>124</v>
      </c>
      <c r="D73" s="16" t="s">
        <v>37</v>
      </c>
      <c r="E73" s="17">
        <v>131</v>
      </c>
      <c r="F73" s="18" t="s">
        <v>23</v>
      </c>
      <c r="G73" s="19">
        <v>12</v>
      </c>
      <c r="H73" s="19">
        <v>18</v>
      </c>
      <c r="I73" s="19">
        <v>2</v>
      </c>
      <c r="J73" s="19">
        <v>3</v>
      </c>
      <c r="K73" s="19">
        <v>8</v>
      </c>
      <c r="L73" s="19">
        <v>0</v>
      </c>
      <c r="M73" s="19">
        <v>11</v>
      </c>
      <c r="N73" s="19">
        <v>2</v>
      </c>
      <c r="O73" s="19">
        <v>15</v>
      </c>
      <c r="P73" s="19">
        <v>6</v>
      </c>
      <c r="Q73" s="19">
        <v>9</v>
      </c>
      <c r="R73" s="19">
        <v>31</v>
      </c>
      <c r="S73" s="19">
        <v>28</v>
      </c>
      <c r="T73" s="19">
        <v>24</v>
      </c>
      <c r="U73" s="19">
        <v>36</v>
      </c>
      <c r="V73" s="19">
        <v>18</v>
      </c>
      <c r="W73" s="19">
        <v>13</v>
      </c>
      <c r="X73" s="19">
        <v>20</v>
      </c>
      <c r="Y73" s="19">
        <v>14</v>
      </c>
      <c r="Z73" s="19">
        <v>0</v>
      </c>
      <c r="AA73" s="19">
        <v>9</v>
      </c>
      <c r="AB73" s="19">
        <v>2</v>
      </c>
      <c r="AC73" s="19">
        <v>9</v>
      </c>
      <c r="AD73" s="19">
        <v>2</v>
      </c>
      <c r="AE73" s="19">
        <f t="shared" si="7"/>
        <v>117</v>
      </c>
      <c r="AF73" s="19">
        <f t="shared" si="8"/>
        <v>175</v>
      </c>
      <c r="AG73" s="20">
        <f t="shared" si="9"/>
        <v>9.75</v>
      </c>
      <c r="AH73" s="20">
        <f t="shared" si="6"/>
        <v>14.583333333333334</v>
      </c>
      <c r="AI73" s="21"/>
      <c r="AJ73" s="13"/>
      <c r="AK73" s="13"/>
    </row>
    <row r="74" spans="1:37" x14ac:dyDescent="0.35">
      <c r="A74" s="15" t="str">
        <f>VLOOKUP(B74,'[1]Tabla 1 Arsenal'!$B$11:$K$380,10,FALSE)</f>
        <v>P296</v>
      </c>
      <c r="B74" s="15">
        <v>102167</v>
      </c>
      <c r="C74" s="16" t="s">
        <v>125</v>
      </c>
      <c r="D74" s="16" t="s">
        <v>39</v>
      </c>
      <c r="E74" s="17">
        <v>3771</v>
      </c>
      <c r="F74" s="18" t="s">
        <v>23</v>
      </c>
      <c r="G74" s="19">
        <v>0</v>
      </c>
      <c r="H74" s="19">
        <v>0</v>
      </c>
      <c r="I74" s="19">
        <v>37</v>
      </c>
      <c r="J74" s="19">
        <v>204</v>
      </c>
      <c r="K74" s="19">
        <v>11</v>
      </c>
      <c r="L74" s="19">
        <v>52</v>
      </c>
      <c r="M74" s="19">
        <v>335</v>
      </c>
      <c r="N74" s="19">
        <v>135</v>
      </c>
      <c r="O74" s="19">
        <v>228</v>
      </c>
      <c r="P74" s="19">
        <v>252</v>
      </c>
      <c r="Q74" s="19">
        <v>131</v>
      </c>
      <c r="R74" s="19">
        <v>0</v>
      </c>
      <c r="S74" s="19">
        <v>1</v>
      </c>
      <c r="T74" s="19">
        <v>0</v>
      </c>
      <c r="U74" s="19">
        <v>116</v>
      </c>
      <c r="V74" s="19">
        <v>299</v>
      </c>
      <c r="W74" s="19">
        <v>236</v>
      </c>
      <c r="X74" s="19">
        <v>245</v>
      </c>
      <c r="Y74" s="19">
        <v>305</v>
      </c>
      <c r="Z74" s="19">
        <v>55</v>
      </c>
      <c r="AA74" s="19">
        <v>176</v>
      </c>
      <c r="AB74" s="19">
        <v>191</v>
      </c>
      <c r="AC74" s="19">
        <v>192</v>
      </c>
      <c r="AD74" s="19">
        <v>227</v>
      </c>
      <c r="AE74" s="19">
        <f t="shared" si="7"/>
        <v>1385</v>
      </c>
      <c r="AF74" s="19">
        <f t="shared" si="8"/>
        <v>2043</v>
      </c>
      <c r="AG74" s="20">
        <f t="shared" si="9"/>
        <v>115.41666666666667</v>
      </c>
      <c r="AH74" s="20">
        <f t="shared" si="6"/>
        <v>170.25</v>
      </c>
      <c r="AI74" s="21"/>
      <c r="AJ74" s="13"/>
      <c r="AK74" s="13"/>
    </row>
    <row r="75" spans="1:37" x14ac:dyDescent="0.35">
      <c r="A75" s="15" t="str">
        <f>VLOOKUP(B75,'[1]Tabla 1 Arsenal'!$B$11:$K$380,10,FALSE)</f>
        <v>P123</v>
      </c>
      <c r="B75" s="15">
        <v>101006</v>
      </c>
      <c r="C75" s="16" t="s">
        <v>126</v>
      </c>
      <c r="D75" s="16" t="s">
        <v>37</v>
      </c>
      <c r="E75" s="17">
        <v>2261</v>
      </c>
      <c r="F75" s="18" t="s">
        <v>23</v>
      </c>
      <c r="G75" s="19">
        <v>2</v>
      </c>
      <c r="H75" s="19">
        <v>0</v>
      </c>
      <c r="I75" s="19">
        <v>2</v>
      </c>
      <c r="J75" s="19">
        <v>2</v>
      </c>
      <c r="K75" s="19">
        <v>0</v>
      </c>
      <c r="L75" s="19">
        <v>2</v>
      </c>
      <c r="M75" s="19">
        <v>3</v>
      </c>
      <c r="N75" s="19">
        <v>2</v>
      </c>
      <c r="O75" s="19">
        <v>9</v>
      </c>
      <c r="P75" s="19">
        <v>3</v>
      </c>
      <c r="Q75" s="19">
        <v>6</v>
      </c>
      <c r="R75" s="19">
        <v>5</v>
      </c>
      <c r="S75" s="19">
        <v>1</v>
      </c>
      <c r="T75" s="19">
        <v>10</v>
      </c>
      <c r="U75" s="19">
        <v>2</v>
      </c>
      <c r="V75" s="19">
        <v>10</v>
      </c>
      <c r="W75" s="19">
        <v>2</v>
      </c>
      <c r="X75" s="19">
        <v>4</v>
      </c>
      <c r="Y75" s="19">
        <v>13</v>
      </c>
      <c r="Z75" s="19">
        <v>2</v>
      </c>
      <c r="AA75" s="19">
        <v>3</v>
      </c>
      <c r="AB75" s="19">
        <v>3</v>
      </c>
      <c r="AC75" s="19">
        <v>0</v>
      </c>
      <c r="AD75" s="19">
        <v>3</v>
      </c>
      <c r="AE75" s="19">
        <f t="shared" si="7"/>
        <v>36</v>
      </c>
      <c r="AF75" s="19">
        <f t="shared" si="8"/>
        <v>53</v>
      </c>
      <c r="AG75" s="20">
        <f t="shared" si="9"/>
        <v>3</v>
      </c>
      <c r="AH75" s="20">
        <f t="shared" si="6"/>
        <v>4.416666666666667</v>
      </c>
      <c r="AI75" s="21"/>
      <c r="AJ75" s="13"/>
      <c r="AK75" s="13"/>
    </row>
    <row r="76" spans="1:37" x14ac:dyDescent="0.35">
      <c r="A76" s="15" t="str">
        <f>VLOOKUP(B76,'[1]Tabla 1 Arsenal'!$B$11:$K$380,10,FALSE)</f>
        <v>P004</v>
      </c>
      <c r="B76" s="15">
        <v>103039</v>
      </c>
      <c r="C76" s="16" t="s">
        <v>127</v>
      </c>
      <c r="D76" s="16" t="s">
        <v>64</v>
      </c>
      <c r="E76" s="17">
        <v>1398</v>
      </c>
      <c r="F76" s="18" t="s">
        <v>23</v>
      </c>
      <c r="G76" s="19">
        <v>1</v>
      </c>
      <c r="H76" s="19">
        <v>0</v>
      </c>
      <c r="I76" s="19">
        <v>2</v>
      </c>
      <c r="J76" s="19">
        <v>2</v>
      </c>
      <c r="K76" s="19">
        <v>1</v>
      </c>
      <c r="L76" s="19">
        <v>0</v>
      </c>
      <c r="M76" s="19">
        <v>4</v>
      </c>
      <c r="N76" s="19">
        <v>0</v>
      </c>
      <c r="O76" s="19">
        <v>0</v>
      </c>
      <c r="P76" s="19">
        <v>2</v>
      </c>
      <c r="Q76" s="19">
        <v>2</v>
      </c>
      <c r="R76" s="19">
        <v>1</v>
      </c>
      <c r="S76" s="19">
        <v>1</v>
      </c>
      <c r="T76" s="19">
        <v>0</v>
      </c>
      <c r="U76" s="19">
        <v>4</v>
      </c>
      <c r="V76" s="19">
        <v>1</v>
      </c>
      <c r="W76" s="19">
        <v>2</v>
      </c>
      <c r="X76" s="19">
        <v>1</v>
      </c>
      <c r="Y76" s="19">
        <v>2</v>
      </c>
      <c r="Z76" s="19">
        <v>3</v>
      </c>
      <c r="AA76" s="19">
        <v>2</v>
      </c>
      <c r="AB76" s="19">
        <v>4</v>
      </c>
      <c r="AC76" s="19">
        <v>1</v>
      </c>
      <c r="AD76" s="19">
        <v>1</v>
      </c>
      <c r="AE76" s="19">
        <f t="shared" si="7"/>
        <v>15</v>
      </c>
      <c r="AF76" s="19">
        <f t="shared" si="8"/>
        <v>22</v>
      </c>
      <c r="AG76" s="20">
        <f t="shared" si="9"/>
        <v>1.25</v>
      </c>
      <c r="AH76" s="20">
        <f t="shared" si="6"/>
        <v>1.8333333333333333</v>
      </c>
      <c r="AI76" s="21"/>
      <c r="AJ76" s="13"/>
      <c r="AK76" s="13"/>
    </row>
    <row r="77" spans="1:37" x14ac:dyDescent="0.35">
      <c r="A77" s="15" t="str">
        <f>VLOOKUP(B77,'[1]Tabla 1 Arsenal'!$B$11:$K$380,10,FALSE)</f>
        <v>P162</v>
      </c>
      <c r="B77" s="15">
        <v>106085</v>
      </c>
      <c r="C77" s="16" t="s">
        <v>128</v>
      </c>
      <c r="D77" s="16" t="s">
        <v>78</v>
      </c>
      <c r="E77" s="17">
        <v>4046</v>
      </c>
      <c r="F77" s="18" t="s">
        <v>23</v>
      </c>
      <c r="G77" s="19">
        <v>22</v>
      </c>
      <c r="H77" s="19">
        <v>0</v>
      </c>
      <c r="I77" s="19">
        <v>39</v>
      </c>
      <c r="J77" s="19">
        <v>81</v>
      </c>
      <c r="K77" s="19">
        <v>4</v>
      </c>
      <c r="L77" s="19">
        <v>68</v>
      </c>
      <c r="M77" s="19">
        <v>61</v>
      </c>
      <c r="N77" s="19">
        <v>54</v>
      </c>
      <c r="O77" s="19">
        <v>9</v>
      </c>
      <c r="P77" s="19">
        <v>14</v>
      </c>
      <c r="Q77" s="19">
        <v>41</v>
      </c>
      <c r="R77" s="19">
        <v>74</v>
      </c>
      <c r="S77" s="19">
        <v>120</v>
      </c>
      <c r="T77" s="19">
        <v>67</v>
      </c>
      <c r="U77" s="19">
        <v>38</v>
      </c>
      <c r="V77" s="19">
        <v>44</v>
      </c>
      <c r="W77" s="19">
        <v>5</v>
      </c>
      <c r="X77" s="19">
        <v>0</v>
      </c>
      <c r="Y77" s="19">
        <v>58</v>
      </c>
      <c r="Z77" s="19">
        <v>112</v>
      </c>
      <c r="AA77" s="19">
        <v>26</v>
      </c>
      <c r="AB77" s="19">
        <v>105</v>
      </c>
      <c r="AC77" s="19">
        <v>82</v>
      </c>
      <c r="AD77" s="19">
        <v>22</v>
      </c>
      <c r="AE77" s="19">
        <f t="shared" si="7"/>
        <v>467</v>
      </c>
      <c r="AF77" s="19">
        <f t="shared" si="8"/>
        <v>679</v>
      </c>
      <c r="AG77" s="20">
        <f t="shared" si="9"/>
        <v>38.916666666666664</v>
      </c>
      <c r="AH77" s="20">
        <f t="shared" si="6"/>
        <v>56.583333333333336</v>
      </c>
      <c r="AI77" s="21"/>
      <c r="AJ77" s="13"/>
      <c r="AK77" s="13"/>
    </row>
    <row r="78" spans="1:37" x14ac:dyDescent="0.35">
      <c r="A78" s="15" t="str">
        <f>VLOOKUP(B78,'[1]Tabla 1 Arsenal'!$B$11:$K$380,10,FALSE)</f>
        <v>P102</v>
      </c>
      <c r="B78" s="15">
        <v>106012</v>
      </c>
      <c r="C78" s="16" t="s">
        <v>129</v>
      </c>
      <c r="D78" s="16" t="s">
        <v>37</v>
      </c>
      <c r="E78" s="17">
        <v>827</v>
      </c>
      <c r="F78" s="18" t="s">
        <v>23</v>
      </c>
      <c r="G78" s="19">
        <v>0</v>
      </c>
      <c r="H78" s="19">
        <v>4</v>
      </c>
      <c r="I78" s="19">
        <v>1</v>
      </c>
      <c r="J78" s="19">
        <v>2</v>
      </c>
      <c r="K78" s="19">
        <v>0</v>
      </c>
      <c r="L78" s="19">
        <v>0</v>
      </c>
      <c r="M78" s="19">
        <v>1</v>
      </c>
      <c r="N78" s="19">
        <v>0</v>
      </c>
      <c r="O78" s="19">
        <v>0</v>
      </c>
      <c r="P78" s="19">
        <v>8</v>
      </c>
      <c r="Q78" s="19">
        <v>0</v>
      </c>
      <c r="R78" s="19">
        <v>0</v>
      </c>
      <c r="S78" s="19">
        <v>6</v>
      </c>
      <c r="T78" s="19">
        <v>0</v>
      </c>
      <c r="U78" s="19">
        <v>0</v>
      </c>
      <c r="V78" s="19">
        <v>0</v>
      </c>
      <c r="W78" s="19">
        <v>0</v>
      </c>
      <c r="X78" s="19">
        <v>2</v>
      </c>
      <c r="Y78" s="19">
        <v>4</v>
      </c>
      <c r="Z78" s="19">
        <v>0</v>
      </c>
      <c r="AA78" s="19">
        <v>0</v>
      </c>
      <c r="AB78" s="19">
        <v>0</v>
      </c>
      <c r="AC78" s="19">
        <v>0</v>
      </c>
      <c r="AD78" s="19">
        <v>11</v>
      </c>
      <c r="AE78" s="19">
        <f t="shared" si="7"/>
        <v>16</v>
      </c>
      <c r="AF78" s="19">
        <f t="shared" si="8"/>
        <v>23</v>
      </c>
      <c r="AG78" s="20">
        <f t="shared" si="9"/>
        <v>1.3333333333333333</v>
      </c>
      <c r="AH78" s="20">
        <f t="shared" si="6"/>
        <v>1.9166666666666667</v>
      </c>
      <c r="AI78" s="21"/>
      <c r="AJ78" s="13"/>
      <c r="AK78" s="13"/>
    </row>
    <row r="79" spans="1:37" x14ac:dyDescent="0.35">
      <c r="A79" s="15" t="str">
        <f>VLOOKUP(B79,'[1]Tabla 1 Arsenal'!$B$11:$K$380,10,FALSE)</f>
        <v>P298</v>
      </c>
      <c r="B79" s="15">
        <v>107010</v>
      </c>
      <c r="C79" s="16" t="s">
        <v>130</v>
      </c>
      <c r="D79" s="16" t="s">
        <v>23</v>
      </c>
      <c r="E79" s="17">
        <v>4998</v>
      </c>
      <c r="F79" s="18" t="s">
        <v>23</v>
      </c>
      <c r="G79" s="19">
        <v>1</v>
      </c>
      <c r="H79" s="19">
        <v>7</v>
      </c>
      <c r="I79" s="19">
        <v>14</v>
      </c>
      <c r="J79" s="19">
        <v>6</v>
      </c>
      <c r="K79" s="19">
        <v>3</v>
      </c>
      <c r="L79" s="19">
        <v>7</v>
      </c>
      <c r="M79" s="19">
        <v>19</v>
      </c>
      <c r="N79" s="19">
        <v>5</v>
      </c>
      <c r="O79" s="19">
        <v>1</v>
      </c>
      <c r="P79" s="19">
        <v>9</v>
      </c>
      <c r="Q79" s="19">
        <v>7</v>
      </c>
      <c r="R79" s="19">
        <v>14</v>
      </c>
      <c r="S79" s="19">
        <v>16</v>
      </c>
      <c r="T79" s="19">
        <v>13</v>
      </c>
      <c r="U79" s="19">
        <v>17</v>
      </c>
      <c r="V79" s="19">
        <v>9</v>
      </c>
      <c r="W79" s="19">
        <v>4</v>
      </c>
      <c r="X79" s="19">
        <v>8</v>
      </c>
      <c r="Y79" s="19">
        <v>6</v>
      </c>
      <c r="Z79" s="19">
        <v>2</v>
      </c>
      <c r="AA79" s="19">
        <v>9</v>
      </c>
      <c r="AB79" s="19">
        <v>13</v>
      </c>
      <c r="AC79" s="19">
        <v>13</v>
      </c>
      <c r="AD79" s="19">
        <v>21</v>
      </c>
      <c r="AE79" s="19">
        <f t="shared" si="7"/>
        <v>93</v>
      </c>
      <c r="AF79" s="19">
        <f t="shared" si="8"/>
        <v>131</v>
      </c>
      <c r="AG79" s="20">
        <f t="shared" si="9"/>
        <v>7.75</v>
      </c>
      <c r="AH79" s="20">
        <f t="shared" si="6"/>
        <v>10.916666666666666</v>
      </c>
      <c r="AI79" s="21"/>
      <c r="AJ79" s="13"/>
      <c r="AK79" s="13"/>
    </row>
    <row r="80" spans="1:37" x14ac:dyDescent="0.35">
      <c r="A80" s="15" t="str">
        <f>VLOOKUP(B80,'[1]Tabla 1 Arsenal'!$B$11:$K$380,10,FALSE)</f>
        <v>P300</v>
      </c>
      <c r="B80" s="15">
        <v>104027</v>
      </c>
      <c r="C80" s="16" t="s">
        <v>131</v>
      </c>
      <c r="D80" s="16" t="s">
        <v>32</v>
      </c>
      <c r="E80" s="17">
        <v>14</v>
      </c>
      <c r="F80" s="18" t="s">
        <v>23</v>
      </c>
      <c r="G80" s="19">
        <v>1429</v>
      </c>
      <c r="H80" s="19">
        <v>841</v>
      </c>
      <c r="I80" s="19">
        <v>646</v>
      </c>
      <c r="J80" s="19">
        <v>968</v>
      </c>
      <c r="K80" s="19">
        <v>913</v>
      </c>
      <c r="L80" s="19">
        <v>563</v>
      </c>
      <c r="M80" s="19">
        <v>1123</v>
      </c>
      <c r="N80" s="19">
        <v>1935</v>
      </c>
      <c r="O80" s="19">
        <v>2142</v>
      </c>
      <c r="P80" s="19">
        <v>1835</v>
      </c>
      <c r="Q80" s="19">
        <v>2263</v>
      </c>
      <c r="R80" s="19">
        <v>1932</v>
      </c>
      <c r="S80" s="19">
        <v>2398</v>
      </c>
      <c r="T80" s="19">
        <v>1813</v>
      </c>
      <c r="U80" s="19">
        <v>1400</v>
      </c>
      <c r="V80" s="19">
        <v>1026</v>
      </c>
      <c r="W80" s="19">
        <v>1378</v>
      </c>
      <c r="X80" s="19">
        <v>2417</v>
      </c>
      <c r="Y80" s="19">
        <v>1564</v>
      </c>
      <c r="Z80" s="19">
        <v>2020</v>
      </c>
      <c r="AA80" s="19">
        <v>2042</v>
      </c>
      <c r="AB80" s="19">
        <v>2157</v>
      </c>
      <c r="AC80" s="19">
        <v>2133</v>
      </c>
      <c r="AD80" s="19">
        <v>2713</v>
      </c>
      <c r="AE80" s="19">
        <f t="shared" si="7"/>
        <v>16590</v>
      </c>
      <c r="AF80" s="19">
        <f t="shared" si="8"/>
        <v>23061</v>
      </c>
      <c r="AG80" s="20">
        <f t="shared" si="9"/>
        <v>1382.5</v>
      </c>
      <c r="AH80" s="20">
        <f t="shared" si="6"/>
        <v>1921.75</v>
      </c>
      <c r="AI80" s="21"/>
      <c r="AJ80" s="13"/>
      <c r="AK80" s="13"/>
    </row>
    <row r="81" spans="1:37" x14ac:dyDescent="0.35">
      <c r="A81" s="15" t="str">
        <f>VLOOKUP(B81,'[1]Tabla 1 Arsenal'!$B$11:$K$380,10,FALSE)</f>
        <v>P252</v>
      </c>
      <c r="B81" s="15">
        <v>101073</v>
      </c>
      <c r="C81" s="16" t="s">
        <v>132</v>
      </c>
      <c r="D81" s="16" t="s">
        <v>22</v>
      </c>
      <c r="E81" s="17">
        <v>404198</v>
      </c>
      <c r="F81" s="18" t="s">
        <v>55</v>
      </c>
      <c r="G81" s="19">
        <v>36</v>
      </c>
      <c r="H81" s="19">
        <v>45</v>
      </c>
      <c r="I81" s="19">
        <v>43</v>
      </c>
      <c r="J81" s="19">
        <v>19</v>
      </c>
      <c r="K81" s="19">
        <v>35</v>
      </c>
      <c r="L81" s="19">
        <v>34</v>
      </c>
      <c r="M81" s="19">
        <v>24</v>
      </c>
      <c r="N81" s="19">
        <v>24</v>
      </c>
      <c r="O81" s="19">
        <v>26</v>
      </c>
      <c r="P81" s="19">
        <v>29</v>
      </c>
      <c r="Q81" s="19">
        <v>20</v>
      </c>
      <c r="R81" s="19">
        <v>20</v>
      </c>
      <c r="S81" s="19">
        <v>28</v>
      </c>
      <c r="T81" s="19">
        <v>27</v>
      </c>
      <c r="U81" s="19">
        <v>30</v>
      </c>
      <c r="V81" s="19">
        <v>57</v>
      </c>
      <c r="W81" s="19">
        <v>46</v>
      </c>
      <c r="X81" s="19">
        <v>30</v>
      </c>
      <c r="Y81" s="19">
        <v>52</v>
      </c>
      <c r="Z81" s="19">
        <v>46</v>
      </c>
      <c r="AA81" s="19">
        <v>38</v>
      </c>
      <c r="AB81" s="19">
        <v>50</v>
      </c>
      <c r="AC81" s="19">
        <v>36</v>
      </c>
      <c r="AD81" s="19">
        <v>50</v>
      </c>
      <c r="AE81" s="19">
        <f t="shared" si="7"/>
        <v>355</v>
      </c>
      <c r="AF81" s="19">
        <f t="shared" si="8"/>
        <v>490</v>
      </c>
      <c r="AG81" s="20">
        <f t="shared" si="9"/>
        <v>29.583333333333332</v>
      </c>
      <c r="AH81" s="20">
        <f t="shared" si="6"/>
        <v>40.833333333333336</v>
      </c>
      <c r="AI81" s="21"/>
      <c r="AJ81" s="13"/>
      <c r="AK81" s="13"/>
    </row>
    <row r="82" spans="1:37" x14ac:dyDescent="0.35">
      <c r="A82" s="15" t="str">
        <f>VLOOKUP(B82,'[1]Tabla 1 Arsenal'!$B$11:$K$380,10,FALSE)</f>
        <v>P203</v>
      </c>
      <c r="B82" s="15">
        <v>102164</v>
      </c>
      <c r="C82" s="16" t="s">
        <v>133</v>
      </c>
      <c r="D82" s="16" t="s">
        <v>37</v>
      </c>
      <c r="E82" s="17">
        <v>358</v>
      </c>
      <c r="F82" s="18" t="s">
        <v>23</v>
      </c>
      <c r="G82" s="19">
        <v>0</v>
      </c>
      <c r="H82" s="19">
        <v>0</v>
      </c>
      <c r="I82" s="19">
        <v>10</v>
      </c>
      <c r="J82" s="19">
        <v>184</v>
      </c>
      <c r="K82" s="19">
        <v>113</v>
      </c>
      <c r="L82" s="19">
        <v>110</v>
      </c>
      <c r="M82" s="19">
        <v>216</v>
      </c>
      <c r="N82" s="19">
        <v>83</v>
      </c>
      <c r="O82" s="19">
        <v>123</v>
      </c>
      <c r="P82" s="19">
        <v>59</v>
      </c>
      <c r="Q82" s="19">
        <v>244</v>
      </c>
      <c r="R82" s="19">
        <v>109</v>
      </c>
      <c r="S82" s="19">
        <v>128</v>
      </c>
      <c r="T82" s="19">
        <v>71</v>
      </c>
      <c r="U82" s="19">
        <v>108</v>
      </c>
      <c r="V82" s="19">
        <v>192</v>
      </c>
      <c r="W82" s="19">
        <v>108</v>
      </c>
      <c r="X82" s="19">
        <v>126</v>
      </c>
      <c r="Y82" s="19">
        <v>224</v>
      </c>
      <c r="Z82" s="19">
        <v>244</v>
      </c>
      <c r="AA82" s="19">
        <v>83</v>
      </c>
      <c r="AB82" s="19">
        <v>153</v>
      </c>
      <c r="AC82" s="19">
        <v>127</v>
      </c>
      <c r="AD82" s="19">
        <v>133</v>
      </c>
      <c r="AE82" s="19">
        <f t="shared" si="7"/>
        <v>1251</v>
      </c>
      <c r="AF82" s="19">
        <f t="shared" si="8"/>
        <v>1697</v>
      </c>
      <c r="AG82" s="20">
        <f t="shared" si="9"/>
        <v>104.25</v>
      </c>
      <c r="AH82" s="20">
        <f t="shared" si="6"/>
        <v>141.41666666666666</v>
      </c>
      <c r="AI82" s="21"/>
      <c r="AJ82" s="13"/>
      <c r="AK82" s="13"/>
    </row>
    <row r="83" spans="1:37" x14ac:dyDescent="0.35">
      <c r="A83" s="15" t="str">
        <f>VLOOKUP(B83,'[1]Tabla 1 Arsenal'!$B$11:$K$380,10,FALSE)</f>
        <v>P295</v>
      </c>
      <c r="B83" s="15">
        <v>422005</v>
      </c>
      <c r="C83" s="16" t="s">
        <v>134</v>
      </c>
      <c r="D83" s="16" t="s">
        <v>135</v>
      </c>
      <c r="E83" s="17">
        <v>1666</v>
      </c>
      <c r="F83" s="18" t="s">
        <v>23</v>
      </c>
      <c r="G83" s="19">
        <v>4</v>
      </c>
      <c r="H83" s="19">
        <v>10</v>
      </c>
      <c r="I83" s="19">
        <v>4</v>
      </c>
      <c r="J83" s="19">
        <v>1</v>
      </c>
      <c r="K83" s="19">
        <v>0</v>
      </c>
      <c r="L83" s="19">
        <v>8</v>
      </c>
      <c r="M83" s="19">
        <v>7</v>
      </c>
      <c r="N83" s="19">
        <v>20</v>
      </c>
      <c r="O83" s="19">
        <v>12</v>
      </c>
      <c r="P83" s="19">
        <v>5</v>
      </c>
      <c r="Q83" s="19">
        <v>7</v>
      </c>
      <c r="R83" s="19">
        <v>0</v>
      </c>
      <c r="S83" s="19">
        <v>2</v>
      </c>
      <c r="T83" s="19">
        <v>7</v>
      </c>
      <c r="U83" s="19">
        <v>21</v>
      </c>
      <c r="V83" s="19">
        <v>6</v>
      </c>
      <c r="W83" s="19">
        <v>0</v>
      </c>
      <c r="X83" s="19">
        <v>9</v>
      </c>
      <c r="Y83" s="19">
        <v>12</v>
      </c>
      <c r="Z83" s="19">
        <v>16</v>
      </c>
      <c r="AA83" s="19">
        <v>3</v>
      </c>
      <c r="AB83" s="19">
        <v>4</v>
      </c>
      <c r="AC83" s="19">
        <v>0</v>
      </c>
      <c r="AD83" s="19">
        <v>24</v>
      </c>
      <c r="AE83" s="19">
        <f t="shared" si="7"/>
        <v>78</v>
      </c>
      <c r="AF83" s="19">
        <f t="shared" si="8"/>
        <v>104</v>
      </c>
      <c r="AG83" s="20">
        <f t="shared" si="9"/>
        <v>6.5</v>
      </c>
      <c r="AH83" s="20">
        <f t="shared" si="6"/>
        <v>8.6666666666666661</v>
      </c>
      <c r="AI83" s="21"/>
      <c r="AJ83" s="13"/>
      <c r="AK83" s="13"/>
    </row>
    <row r="84" spans="1:37" x14ac:dyDescent="0.35">
      <c r="A84" s="15" t="str">
        <f>VLOOKUP(B84,'[1]Tabla 1 Arsenal'!$B$11:$K$380,10,FALSE)</f>
        <v>P250</v>
      </c>
      <c r="B84" s="15">
        <v>106077</v>
      </c>
      <c r="C84" s="16" t="s">
        <v>136</v>
      </c>
      <c r="D84" s="16" t="s">
        <v>22</v>
      </c>
      <c r="E84" s="17">
        <v>2618</v>
      </c>
      <c r="F84" s="18" t="s">
        <v>23</v>
      </c>
      <c r="G84" s="19">
        <v>1</v>
      </c>
      <c r="H84" s="19">
        <v>4</v>
      </c>
      <c r="I84" s="19">
        <v>1</v>
      </c>
      <c r="J84" s="19">
        <v>3</v>
      </c>
      <c r="K84" s="19">
        <v>1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1</v>
      </c>
      <c r="R84" s="19">
        <v>1</v>
      </c>
      <c r="S84" s="19">
        <v>3</v>
      </c>
      <c r="T84" s="19">
        <v>0</v>
      </c>
      <c r="U84" s="19">
        <v>0</v>
      </c>
      <c r="V84" s="19">
        <v>2</v>
      </c>
      <c r="W84" s="19">
        <v>2</v>
      </c>
      <c r="X84" s="19">
        <v>0</v>
      </c>
      <c r="Y84" s="19">
        <v>1</v>
      </c>
      <c r="Z84" s="19">
        <v>1</v>
      </c>
      <c r="AA84" s="19">
        <v>2</v>
      </c>
      <c r="AB84" s="19">
        <v>0</v>
      </c>
      <c r="AC84" s="19">
        <v>0</v>
      </c>
      <c r="AD84" s="19">
        <v>5</v>
      </c>
      <c r="AE84" s="19">
        <f t="shared" si="7"/>
        <v>12</v>
      </c>
      <c r="AF84" s="19">
        <f t="shared" si="8"/>
        <v>16</v>
      </c>
      <c r="AG84" s="20">
        <f t="shared" si="9"/>
        <v>1</v>
      </c>
      <c r="AH84" s="20">
        <f t="shared" si="6"/>
        <v>1.3333333333333333</v>
      </c>
      <c r="AI84" s="21"/>
      <c r="AJ84" s="13"/>
      <c r="AK84" s="13"/>
    </row>
    <row r="85" spans="1:37" x14ac:dyDescent="0.35">
      <c r="A85" s="15" t="str">
        <f>VLOOKUP(B85,'[1]Tabla 1 Arsenal'!$B$11:$K$380,10,FALSE)</f>
        <v>P054</v>
      </c>
      <c r="B85" s="15">
        <v>102133</v>
      </c>
      <c r="C85" s="16" t="s">
        <v>137</v>
      </c>
      <c r="D85" s="16" t="s">
        <v>39</v>
      </c>
      <c r="E85" s="17">
        <v>151</v>
      </c>
      <c r="F85" s="18" t="s">
        <v>23</v>
      </c>
      <c r="G85" s="19">
        <v>252</v>
      </c>
      <c r="H85" s="19">
        <v>210</v>
      </c>
      <c r="I85" s="19">
        <v>543</v>
      </c>
      <c r="J85" s="19">
        <v>660</v>
      </c>
      <c r="K85" s="19">
        <v>945</v>
      </c>
      <c r="L85" s="19">
        <v>1020</v>
      </c>
      <c r="M85" s="19">
        <v>630</v>
      </c>
      <c r="N85" s="19">
        <v>300</v>
      </c>
      <c r="O85" s="19">
        <v>159</v>
      </c>
      <c r="P85" s="19">
        <v>1106</v>
      </c>
      <c r="Q85" s="19">
        <v>390</v>
      </c>
      <c r="R85" s="19">
        <v>630</v>
      </c>
      <c r="S85" s="19">
        <v>540</v>
      </c>
      <c r="T85" s="19">
        <v>640</v>
      </c>
      <c r="U85" s="19">
        <v>1129</v>
      </c>
      <c r="V85" s="19">
        <v>482</v>
      </c>
      <c r="W85" s="19">
        <v>902</v>
      </c>
      <c r="X85" s="19">
        <v>570</v>
      </c>
      <c r="Y85" s="19">
        <v>803</v>
      </c>
      <c r="Z85" s="19">
        <v>672</v>
      </c>
      <c r="AA85" s="19">
        <v>645</v>
      </c>
      <c r="AB85" s="19">
        <v>675</v>
      </c>
      <c r="AC85" s="19">
        <v>874</v>
      </c>
      <c r="AD85" s="19">
        <v>1067</v>
      </c>
      <c r="AE85" s="19">
        <f t="shared" si="7"/>
        <v>6845</v>
      </c>
      <c r="AF85" s="19">
        <f t="shared" si="8"/>
        <v>8999</v>
      </c>
      <c r="AG85" s="20">
        <f t="shared" si="9"/>
        <v>570.41666666666663</v>
      </c>
      <c r="AH85" s="20">
        <f t="shared" si="6"/>
        <v>749.91666666666663</v>
      </c>
      <c r="AI85" s="21"/>
      <c r="AJ85" s="13"/>
      <c r="AK85" s="13"/>
    </row>
    <row r="86" spans="1:37" x14ac:dyDescent="0.35">
      <c r="A86" s="15" t="str">
        <f>VLOOKUP(B86,'[1]Tabla 1 Arsenal'!$B$11:$K$380,10,FALSE)</f>
        <v>P058</v>
      </c>
      <c r="B86" s="15">
        <v>104007</v>
      </c>
      <c r="C86" s="16" t="s">
        <v>138</v>
      </c>
      <c r="D86" s="16" t="s">
        <v>32</v>
      </c>
      <c r="E86" s="17">
        <v>34</v>
      </c>
      <c r="F86" s="18" t="s">
        <v>23</v>
      </c>
      <c r="G86" s="19">
        <v>974</v>
      </c>
      <c r="H86" s="19">
        <v>560</v>
      </c>
      <c r="I86" s="19">
        <v>535</v>
      </c>
      <c r="J86" s="19">
        <v>665</v>
      </c>
      <c r="K86" s="19">
        <v>744</v>
      </c>
      <c r="L86" s="19">
        <v>835</v>
      </c>
      <c r="M86" s="19">
        <v>1023</v>
      </c>
      <c r="N86" s="19">
        <v>597</v>
      </c>
      <c r="O86" s="19">
        <v>638</v>
      </c>
      <c r="P86" s="19">
        <v>912</v>
      </c>
      <c r="Q86" s="19">
        <v>736</v>
      </c>
      <c r="R86" s="19">
        <v>609</v>
      </c>
      <c r="S86" s="19">
        <v>499</v>
      </c>
      <c r="T86" s="19">
        <v>726</v>
      </c>
      <c r="U86" s="19">
        <v>1039</v>
      </c>
      <c r="V86" s="19">
        <v>1160</v>
      </c>
      <c r="W86" s="19">
        <v>942</v>
      </c>
      <c r="X86" s="19">
        <v>986</v>
      </c>
      <c r="Y86" s="19">
        <v>990</v>
      </c>
      <c r="Z86" s="19">
        <v>1103</v>
      </c>
      <c r="AA86" s="19">
        <v>631</v>
      </c>
      <c r="AB86" s="19">
        <v>1108</v>
      </c>
      <c r="AC86" s="19">
        <v>1165</v>
      </c>
      <c r="AD86" s="19">
        <v>1086</v>
      </c>
      <c r="AE86" s="19">
        <f t="shared" si="7"/>
        <v>8828</v>
      </c>
      <c r="AF86" s="19">
        <f t="shared" si="8"/>
        <v>11435</v>
      </c>
      <c r="AG86" s="20">
        <f t="shared" si="9"/>
        <v>735.66666666666663</v>
      </c>
      <c r="AH86" s="20">
        <f t="shared" si="6"/>
        <v>952.91666666666663</v>
      </c>
      <c r="AI86" s="21"/>
      <c r="AJ86" s="13"/>
      <c r="AK86" s="13"/>
    </row>
    <row r="87" spans="1:37" x14ac:dyDescent="0.35">
      <c r="A87" s="15" t="str">
        <f>VLOOKUP(B87,'[1]Tabla 1 Arsenal'!$B$11:$K$380,10,FALSE)</f>
        <v>P022</v>
      </c>
      <c r="B87" s="15">
        <v>106003</v>
      </c>
      <c r="C87" s="16" t="s">
        <v>139</v>
      </c>
      <c r="D87" s="16" t="s">
        <v>37</v>
      </c>
      <c r="E87" s="17">
        <v>363</v>
      </c>
      <c r="F87" s="18" t="s">
        <v>23</v>
      </c>
      <c r="G87" s="19">
        <v>14</v>
      </c>
      <c r="H87" s="19">
        <v>11</v>
      </c>
      <c r="I87" s="19">
        <v>9</v>
      </c>
      <c r="J87" s="19">
        <v>41</v>
      </c>
      <c r="K87" s="19">
        <v>6</v>
      </c>
      <c r="L87" s="19">
        <v>19</v>
      </c>
      <c r="M87" s="19">
        <v>5</v>
      </c>
      <c r="N87" s="19">
        <v>12</v>
      </c>
      <c r="O87" s="19">
        <v>11</v>
      </c>
      <c r="P87" s="19">
        <v>7</v>
      </c>
      <c r="Q87" s="19">
        <v>0</v>
      </c>
      <c r="R87" s="19">
        <v>20</v>
      </c>
      <c r="S87" s="19">
        <v>9</v>
      </c>
      <c r="T87" s="19">
        <v>26</v>
      </c>
      <c r="U87" s="19">
        <v>43</v>
      </c>
      <c r="V87" s="19">
        <v>42</v>
      </c>
      <c r="W87" s="19">
        <v>6</v>
      </c>
      <c r="X87" s="19">
        <v>8</v>
      </c>
      <c r="Y87" s="19">
        <v>7</v>
      </c>
      <c r="Z87" s="19">
        <v>6</v>
      </c>
      <c r="AA87" s="19">
        <v>16</v>
      </c>
      <c r="AB87" s="19">
        <v>20</v>
      </c>
      <c r="AC87" s="19">
        <v>0</v>
      </c>
      <c r="AD87" s="19">
        <v>16</v>
      </c>
      <c r="AE87" s="19">
        <f t="shared" si="7"/>
        <v>155</v>
      </c>
      <c r="AF87" s="19">
        <f t="shared" si="8"/>
        <v>199</v>
      </c>
      <c r="AG87" s="20">
        <f t="shared" si="9"/>
        <v>12.916666666666666</v>
      </c>
      <c r="AH87" s="20">
        <f t="shared" si="6"/>
        <v>16.583333333333332</v>
      </c>
      <c r="AI87" s="21"/>
      <c r="AJ87" s="13"/>
      <c r="AK87" s="13"/>
    </row>
    <row r="88" spans="1:37" x14ac:dyDescent="0.35">
      <c r="A88" s="15" t="str">
        <f>VLOOKUP(B88,'[1]Tabla 1 Arsenal'!$B$11:$K$380,10,FALSE)</f>
        <v>P173</v>
      </c>
      <c r="B88" s="15">
        <v>101017</v>
      </c>
      <c r="C88" s="16" t="s">
        <v>140</v>
      </c>
      <c r="D88" s="16" t="s">
        <v>32</v>
      </c>
      <c r="E88" s="17">
        <v>1663</v>
      </c>
      <c r="F88" s="18" t="s">
        <v>55</v>
      </c>
      <c r="G88" s="19">
        <v>0</v>
      </c>
      <c r="H88" s="19">
        <v>390</v>
      </c>
      <c r="I88" s="19">
        <v>300</v>
      </c>
      <c r="J88" s="19">
        <v>0</v>
      </c>
      <c r="K88" s="19">
        <v>180</v>
      </c>
      <c r="L88" s="19">
        <v>180</v>
      </c>
      <c r="M88" s="19">
        <v>180</v>
      </c>
      <c r="N88" s="19">
        <v>180</v>
      </c>
      <c r="O88" s="19">
        <v>120</v>
      </c>
      <c r="P88" s="19">
        <v>180</v>
      </c>
      <c r="Q88" s="19">
        <v>180</v>
      </c>
      <c r="R88" s="19">
        <v>120</v>
      </c>
      <c r="S88" s="19">
        <v>180</v>
      </c>
      <c r="T88" s="19">
        <v>0</v>
      </c>
      <c r="U88" s="19">
        <v>60</v>
      </c>
      <c r="V88" s="19">
        <v>180</v>
      </c>
      <c r="W88" s="19">
        <v>270</v>
      </c>
      <c r="X88" s="19">
        <v>270</v>
      </c>
      <c r="Y88" s="19">
        <v>300</v>
      </c>
      <c r="Z88" s="19">
        <v>330</v>
      </c>
      <c r="AA88" s="19">
        <v>330</v>
      </c>
      <c r="AB88" s="19">
        <v>240</v>
      </c>
      <c r="AC88" s="19">
        <v>180</v>
      </c>
      <c r="AD88" s="19">
        <v>240</v>
      </c>
      <c r="AE88" s="19">
        <f t="shared" si="7"/>
        <v>2010</v>
      </c>
      <c r="AF88" s="19">
        <f t="shared" si="8"/>
        <v>2580</v>
      </c>
      <c r="AG88" s="20">
        <f t="shared" si="9"/>
        <v>167.5</v>
      </c>
      <c r="AH88" s="20">
        <f t="shared" si="6"/>
        <v>215</v>
      </c>
      <c r="AI88" s="21"/>
      <c r="AJ88" s="13"/>
      <c r="AK88" s="13"/>
    </row>
    <row r="89" spans="1:37" x14ac:dyDescent="0.35">
      <c r="A89" s="15" t="str">
        <f>VLOOKUP(B89,'[1]Tabla 1 Arsenal'!$B$11:$K$380,10,FALSE)</f>
        <v>P275</v>
      </c>
      <c r="B89" s="15">
        <v>209072</v>
      </c>
      <c r="C89" s="16" t="s">
        <v>141</v>
      </c>
      <c r="D89" s="16" t="s">
        <v>22</v>
      </c>
      <c r="E89" s="17">
        <v>14816</v>
      </c>
      <c r="F89" s="18" t="s">
        <v>55</v>
      </c>
      <c r="G89" s="19">
        <v>59</v>
      </c>
      <c r="H89" s="19">
        <v>26</v>
      </c>
      <c r="I89" s="19">
        <v>30</v>
      </c>
      <c r="J89" s="19">
        <v>47</v>
      </c>
      <c r="K89" s="19">
        <v>148</v>
      </c>
      <c r="L89" s="19">
        <v>63</v>
      </c>
      <c r="M89" s="19">
        <v>20</v>
      </c>
      <c r="N89" s="19">
        <v>74</v>
      </c>
      <c r="O89" s="19">
        <v>87</v>
      </c>
      <c r="P89" s="19">
        <v>25</v>
      </c>
      <c r="Q89" s="19">
        <v>21</v>
      </c>
      <c r="R89" s="19">
        <v>57</v>
      </c>
      <c r="S89" s="19">
        <v>48</v>
      </c>
      <c r="T89" s="19">
        <v>87</v>
      </c>
      <c r="U89" s="19">
        <v>87</v>
      </c>
      <c r="V89" s="19">
        <v>77</v>
      </c>
      <c r="W89" s="19">
        <v>0</v>
      </c>
      <c r="X89" s="19">
        <v>0</v>
      </c>
      <c r="Y89" s="19">
        <v>62</v>
      </c>
      <c r="Z89" s="19">
        <v>108</v>
      </c>
      <c r="AA89" s="19">
        <v>97</v>
      </c>
      <c r="AB89" s="19">
        <v>140</v>
      </c>
      <c r="AC89" s="19">
        <v>122</v>
      </c>
      <c r="AD89" s="19">
        <v>12</v>
      </c>
      <c r="AE89" s="19">
        <f t="shared" si="7"/>
        <v>657</v>
      </c>
      <c r="AF89" s="19">
        <f t="shared" si="8"/>
        <v>840</v>
      </c>
      <c r="AG89" s="20">
        <f t="shared" si="9"/>
        <v>54.75</v>
      </c>
      <c r="AH89" s="20">
        <f t="shared" si="6"/>
        <v>70</v>
      </c>
      <c r="AI89" s="21"/>
      <c r="AJ89" s="13"/>
      <c r="AK89" s="13"/>
    </row>
    <row r="90" spans="1:37" x14ac:dyDescent="0.35">
      <c r="A90" s="15" t="str">
        <f>VLOOKUP(B90,'[1]Tabla 1 Arsenal'!$B$11:$K$380,10,FALSE)</f>
        <v>P365</v>
      </c>
      <c r="B90" s="15">
        <v>105010</v>
      </c>
      <c r="C90" s="16" t="s">
        <v>142</v>
      </c>
      <c r="D90" s="16" t="s">
        <v>37</v>
      </c>
      <c r="E90" s="17">
        <v>832</v>
      </c>
      <c r="F90" s="18" t="s">
        <v>23</v>
      </c>
      <c r="G90" s="19">
        <v>316</v>
      </c>
      <c r="H90" s="19">
        <v>308</v>
      </c>
      <c r="I90" s="19">
        <v>195</v>
      </c>
      <c r="J90" s="19">
        <v>142</v>
      </c>
      <c r="K90" s="19">
        <v>305</v>
      </c>
      <c r="L90" s="19">
        <v>277</v>
      </c>
      <c r="M90" s="19">
        <v>290</v>
      </c>
      <c r="N90" s="19">
        <v>421</v>
      </c>
      <c r="O90" s="19">
        <v>357</v>
      </c>
      <c r="P90" s="19">
        <v>280</v>
      </c>
      <c r="Q90" s="19">
        <v>146</v>
      </c>
      <c r="R90" s="19">
        <v>242</v>
      </c>
      <c r="S90" s="19">
        <v>694</v>
      </c>
      <c r="T90" s="19">
        <v>252</v>
      </c>
      <c r="U90" s="19">
        <v>324</v>
      </c>
      <c r="V90" s="19">
        <v>388</v>
      </c>
      <c r="W90" s="19">
        <v>475</v>
      </c>
      <c r="X90" s="19">
        <v>210</v>
      </c>
      <c r="Y90" s="19">
        <v>526</v>
      </c>
      <c r="Z90" s="19">
        <v>256</v>
      </c>
      <c r="AA90" s="19">
        <v>212</v>
      </c>
      <c r="AB90" s="19">
        <v>230</v>
      </c>
      <c r="AC90" s="19">
        <v>313</v>
      </c>
      <c r="AD90" s="19">
        <v>312</v>
      </c>
      <c r="AE90" s="19">
        <f t="shared" si="7"/>
        <v>3279</v>
      </c>
      <c r="AF90" s="19">
        <f t="shared" si="8"/>
        <v>4192</v>
      </c>
      <c r="AG90" s="20">
        <f t="shared" si="9"/>
        <v>273.25</v>
      </c>
      <c r="AH90" s="20">
        <f t="shared" si="6"/>
        <v>349.33333333333331</v>
      </c>
      <c r="AI90" s="21"/>
      <c r="AJ90" s="13"/>
      <c r="AK90" s="13"/>
    </row>
    <row r="91" spans="1:37" x14ac:dyDescent="0.35">
      <c r="A91" s="15" t="str">
        <f>VLOOKUP(B91,'[1]Tabla 1 Arsenal'!$B$11:$K$380,10,FALSE)</f>
        <v>P026</v>
      </c>
      <c r="B91" s="15">
        <v>103047</v>
      </c>
      <c r="C91" s="16" t="s">
        <v>143</v>
      </c>
      <c r="D91" s="16" t="s">
        <v>32</v>
      </c>
      <c r="E91" s="17">
        <v>162</v>
      </c>
      <c r="F91" s="18" t="s">
        <v>23</v>
      </c>
      <c r="G91" s="19">
        <v>772</v>
      </c>
      <c r="H91" s="19">
        <v>710</v>
      </c>
      <c r="I91" s="19">
        <v>848</v>
      </c>
      <c r="J91" s="19">
        <v>536</v>
      </c>
      <c r="K91" s="19">
        <v>970</v>
      </c>
      <c r="L91" s="19">
        <v>643</v>
      </c>
      <c r="M91" s="19">
        <v>800</v>
      </c>
      <c r="N91" s="19">
        <v>922</v>
      </c>
      <c r="O91" s="19">
        <v>864</v>
      </c>
      <c r="P91" s="19">
        <v>807</v>
      </c>
      <c r="Q91" s="19">
        <v>765</v>
      </c>
      <c r="R91" s="19">
        <v>581</v>
      </c>
      <c r="S91" s="19">
        <v>1317</v>
      </c>
      <c r="T91" s="19">
        <v>535</v>
      </c>
      <c r="U91" s="19">
        <v>924</v>
      </c>
      <c r="V91" s="19">
        <v>1318</v>
      </c>
      <c r="W91" s="19">
        <v>627</v>
      </c>
      <c r="X91" s="19">
        <v>629</v>
      </c>
      <c r="Y91" s="19">
        <v>1205</v>
      </c>
      <c r="Z91" s="19">
        <v>1027</v>
      </c>
      <c r="AA91" s="19">
        <v>963</v>
      </c>
      <c r="AB91" s="19">
        <v>1228</v>
      </c>
      <c r="AC91" s="19">
        <v>965</v>
      </c>
      <c r="AD91" s="19">
        <v>959</v>
      </c>
      <c r="AE91" s="19">
        <f t="shared" si="7"/>
        <v>9218</v>
      </c>
      <c r="AF91" s="19">
        <f t="shared" si="8"/>
        <v>11697</v>
      </c>
      <c r="AG91" s="20">
        <f t="shared" si="9"/>
        <v>768.16666666666663</v>
      </c>
      <c r="AH91" s="20">
        <f t="shared" si="6"/>
        <v>974.75</v>
      </c>
      <c r="AI91" s="21"/>
      <c r="AJ91" s="13"/>
      <c r="AK91" s="13"/>
    </row>
    <row r="92" spans="1:37" x14ac:dyDescent="0.35">
      <c r="A92" s="15" t="str">
        <f>VLOOKUP(B92,'[1]Tabla 1 Arsenal'!$B$11:$K$380,10,FALSE)</f>
        <v>P244</v>
      </c>
      <c r="B92" s="15">
        <v>101081</v>
      </c>
      <c r="C92" s="16" t="s">
        <v>144</v>
      </c>
      <c r="D92" s="16" t="s">
        <v>86</v>
      </c>
      <c r="E92" s="17">
        <v>70091</v>
      </c>
      <c r="F92" s="18" t="s">
        <v>55</v>
      </c>
      <c r="G92" s="19">
        <v>55</v>
      </c>
      <c r="H92" s="19">
        <v>64</v>
      </c>
      <c r="I92" s="19">
        <v>67</v>
      </c>
      <c r="J92" s="19">
        <v>47</v>
      </c>
      <c r="K92" s="19">
        <v>57</v>
      </c>
      <c r="L92" s="19">
        <v>54</v>
      </c>
      <c r="M92" s="19">
        <v>68</v>
      </c>
      <c r="N92" s="19">
        <v>71</v>
      </c>
      <c r="O92" s="19">
        <v>48</v>
      </c>
      <c r="P92" s="19">
        <v>46</v>
      </c>
      <c r="Q92" s="19">
        <v>55</v>
      </c>
      <c r="R92" s="19">
        <v>50</v>
      </c>
      <c r="S92" s="19">
        <v>73</v>
      </c>
      <c r="T92" s="19">
        <v>65</v>
      </c>
      <c r="U92" s="19">
        <v>42</v>
      </c>
      <c r="V92" s="19">
        <v>58</v>
      </c>
      <c r="W92" s="19">
        <v>59</v>
      </c>
      <c r="X92" s="19">
        <v>48</v>
      </c>
      <c r="Y92" s="19">
        <v>88</v>
      </c>
      <c r="Z92" s="19">
        <v>92</v>
      </c>
      <c r="AA92" s="19">
        <v>85</v>
      </c>
      <c r="AB92" s="19">
        <v>89</v>
      </c>
      <c r="AC92" s="19">
        <v>97</v>
      </c>
      <c r="AD92" s="19">
        <v>66</v>
      </c>
      <c r="AE92" s="19">
        <f t="shared" si="7"/>
        <v>682</v>
      </c>
      <c r="AF92" s="19">
        <f t="shared" si="8"/>
        <v>862</v>
      </c>
      <c r="AG92" s="20">
        <f t="shared" si="9"/>
        <v>56.833333333333336</v>
      </c>
      <c r="AH92" s="20">
        <f t="shared" si="6"/>
        <v>71.833333333333329</v>
      </c>
      <c r="AI92" s="21"/>
      <c r="AJ92" s="13"/>
      <c r="AK92" s="13"/>
    </row>
    <row r="93" spans="1:37" x14ac:dyDescent="0.35">
      <c r="A93" s="15" t="str">
        <f>VLOOKUP(B93,'[1]Tabla 1 Arsenal'!$B$11:$K$380,10,FALSE)</f>
        <v>P183</v>
      </c>
      <c r="B93" s="15">
        <v>209161</v>
      </c>
      <c r="C93" s="16" t="s">
        <v>145</v>
      </c>
      <c r="D93" s="16" t="s">
        <v>22</v>
      </c>
      <c r="E93" s="17">
        <v>24752</v>
      </c>
      <c r="F93" s="18" t="s">
        <v>55</v>
      </c>
      <c r="G93" s="19">
        <v>77</v>
      </c>
      <c r="H93" s="19">
        <v>58</v>
      </c>
      <c r="I93" s="19">
        <v>72</v>
      </c>
      <c r="J93" s="19">
        <v>73</v>
      </c>
      <c r="K93" s="19">
        <v>91</v>
      </c>
      <c r="L93" s="19">
        <v>45</v>
      </c>
      <c r="M93" s="19">
        <v>57</v>
      </c>
      <c r="N93" s="19">
        <v>64</v>
      </c>
      <c r="O93" s="19">
        <v>73</v>
      </c>
      <c r="P93" s="19">
        <v>87</v>
      </c>
      <c r="Q93" s="19">
        <v>91</v>
      </c>
      <c r="R93" s="19">
        <v>79</v>
      </c>
      <c r="S93" s="19">
        <v>61</v>
      </c>
      <c r="T93" s="19">
        <v>84</v>
      </c>
      <c r="U93" s="19">
        <v>68</v>
      </c>
      <c r="V93" s="19">
        <v>101</v>
      </c>
      <c r="W93" s="19">
        <v>90</v>
      </c>
      <c r="X93" s="19">
        <v>94</v>
      </c>
      <c r="Y93" s="19">
        <v>115</v>
      </c>
      <c r="Z93" s="19">
        <v>100</v>
      </c>
      <c r="AA93" s="19">
        <v>88</v>
      </c>
      <c r="AB93" s="19">
        <v>102</v>
      </c>
      <c r="AC93" s="19">
        <v>85</v>
      </c>
      <c r="AD93" s="19">
        <v>96</v>
      </c>
      <c r="AE93" s="19">
        <f t="shared" si="7"/>
        <v>867</v>
      </c>
      <c r="AF93" s="19">
        <f t="shared" si="8"/>
        <v>1084</v>
      </c>
      <c r="AG93" s="20">
        <f t="shared" si="9"/>
        <v>72.25</v>
      </c>
      <c r="AH93" s="20">
        <f t="shared" si="6"/>
        <v>90.333333333333329</v>
      </c>
      <c r="AI93" s="21"/>
      <c r="AJ93" s="13"/>
      <c r="AK93" s="13"/>
    </row>
    <row r="94" spans="1:37" x14ac:dyDescent="0.35">
      <c r="A94" s="15" t="str">
        <f>VLOOKUP(B94,'[1]Tabla 1 Arsenal'!$B$11:$K$380,10,FALSE)</f>
        <v>P168</v>
      </c>
      <c r="B94" s="15">
        <v>106028</v>
      </c>
      <c r="C94" s="16" t="s">
        <v>146</v>
      </c>
      <c r="D94" s="16" t="s">
        <v>22</v>
      </c>
      <c r="E94" s="17">
        <v>417</v>
      </c>
      <c r="F94" s="18" t="s">
        <v>23</v>
      </c>
      <c r="G94" s="19">
        <v>137</v>
      </c>
      <c r="H94" s="19">
        <v>100</v>
      </c>
      <c r="I94" s="19">
        <v>70</v>
      </c>
      <c r="J94" s="19">
        <v>35</v>
      </c>
      <c r="K94" s="19">
        <v>61</v>
      </c>
      <c r="L94" s="19">
        <v>98</v>
      </c>
      <c r="M94" s="19">
        <v>94</v>
      </c>
      <c r="N94" s="19">
        <v>92</v>
      </c>
      <c r="O94" s="19">
        <v>97</v>
      </c>
      <c r="P94" s="19">
        <v>70</v>
      </c>
      <c r="Q94" s="19">
        <v>125</v>
      </c>
      <c r="R94" s="19">
        <v>81</v>
      </c>
      <c r="S94" s="19">
        <v>61</v>
      </c>
      <c r="T94" s="19">
        <v>89</v>
      </c>
      <c r="U94" s="19">
        <v>121</v>
      </c>
      <c r="V94" s="19">
        <v>130</v>
      </c>
      <c r="W94" s="19">
        <v>73</v>
      </c>
      <c r="X94" s="19">
        <v>120</v>
      </c>
      <c r="Y94" s="19">
        <v>115</v>
      </c>
      <c r="Z94" s="19">
        <v>114</v>
      </c>
      <c r="AA94" s="19">
        <v>118</v>
      </c>
      <c r="AB94" s="19">
        <v>196</v>
      </c>
      <c r="AC94" s="19">
        <v>108</v>
      </c>
      <c r="AD94" s="19">
        <v>80</v>
      </c>
      <c r="AE94" s="19">
        <f t="shared" si="7"/>
        <v>1060</v>
      </c>
      <c r="AF94" s="19">
        <f t="shared" si="8"/>
        <v>1325</v>
      </c>
      <c r="AG94" s="20">
        <f t="shared" si="9"/>
        <v>88.333333333333329</v>
      </c>
      <c r="AH94" s="20">
        <f t="shared" si="6"/>
        <v>110.41666666666667</v>
      </c>
      <c r="AI94" s="21"/>
      <c r="AJ94" s="13"/>
      <c r="AK94" s="13"/>
    </row>
    <row r="95" spans="1:37" x14ac:dyDescent="0.35">
      <c r="A95" s="15" t="str">
        <f>VLOOKUP(B95,'[1]Tabla 1 Arsenal'!$B$11:$K$380,10,FALSE)</f>
        <v>P320</v>
      </c>
      <c r="B95" s="15">
        <v>105008</v>
      </c>
      <c r="C95" s="16" t="s">
        <v>147</v>
      </c>
      <c r="D95" s="16" t="s">
        <v>23</v>
      </c>
      <c r="E95" s="17">
        <v>1309</v>
      </c>
      <c r="F95" s="18" t="s">
        <v>23</v>
      </c>
      <c r="G95" s="19">
        <v>4</v>
      </c>
      <c r="H95" s="19">
        <v>2</v>
      </c>
      <c r="I95" s="19">
        <v>11</v>
      </c>
      <c r="J95" s="19">
        <v>8</v>
      </c>
      <c r="K95" s="19">
        <v>8</v>
      </c>
      <c r="L95" s="19">
        <v>7</v>
      </c>
      <c r="M95" s="19">
        <v>4</v>
      </c>
      <c r="N95" s="19">
        <v>0</v>
      </c>
      <c r="O95" s="19">
        <v>2</v>
      </c>
      <c r="P95" s="19">
        <v>11</v>
      </c>
      <c r="Q95" s="19">
        <v>6</v>
      </c>
      <c r="R95" s="19">
        <v>5</v>
      </c>
      <c r="S95" s="19">
        <v>10</v>
      </c>
      <c r="T95" s="19">
        <v>19</v>
      </c>
      <c r="U95" s="19">
        <v>7</v>
      </c>
      <c r="V95" s="19">
        <v>11</v>
      </c>
      <c r="W95" s="19">
        <v>7</v>
      </c>
      <c r="X95" s="19">
        <v>2</v>
      </c>
      <c r="Y95" s="19">
        <v>13</v>
      </c>
      <c r="Z95" s="19">
        <v>3</v>
      </c>
      <c r="AA95" s="19">
        <v>4</v>
      </c>
      <c r="AB95" s="19">
        <v>5</v>
      </c>
      <c r="AC95" s="19">
        <v>1</v>
      </c>
      <c r="AD95" s="19">
        <v>2</v>
      </c>
      <c r="AE95" s="19">
        <f t="shared" si="7"/>
        <v>68</v>
      </c>
      <c r="AF95" s="19">
        <f t="shared" si="8"/>
        <v>84</v>
      </c>
      <c r="AG95" s="20">
        <f t="shared" si="9"/>
        <v>5.666666666666667</v>
      </c>
      <c r="AH95" s="20">
        <f t="shared" si="6"/>
        <v>7</v>
      </c>
      <c r="AI95" s="21"/>
      <c r="AJ95" s="13"/>
      <c r="AK95" s="13"/>
    </row>
    <row r="96" spans="1:37" x14ac:dyDescent="0.35">
      <c r="A96" s="15" t="str">
        <f>VLOOKUP(B96,'[1]Tabla 1 Arsenal'!$B$11:$K$380,10,FALSE)</f>
        <v>P209</v>
      </c>
      <c r="B96" s="15">
        <v>102009</v>
      </c>
      <c r="C96" s="16" t="s">
        <v>148</v>
      </c>
      <c r="D96" s="16" t="s">
        <v>32</v>
      </c>
      <c r="E96" s="17">
        <v>48</v>
      </c>
      <c r="F96" s="18" t="s">
        <v>23</v>
      </c>
      <c r="G96" s="19">
        <v>570</v>
      </c>
      <c r="H96" s="19">
        <v>355</v>
      </c>
      <c r="I96" s="19">
        <v>637</v>
      </c>
      <c r="J96" s="19">
        <v>292</v>
      </c>
      <c r="K96" s="19">
        <v>546</v>
      </c>
      <c r="L96" s="19">
        <v>328</v>
      </c>
      <c r="M96" s="19">
        <v>279</v>
      </c>
      <c r="N96" s="19">
        <v>220</v>
      </c>
      <c r="O96" s="19">
        <v>276</v>
      </c>
      <c r="P96" s="19">
        <v>335</v>
      </c>
      <c r="Q96" s="19">
        <v>333</v>
      </c>
      <c r="R96" s="19">
        <v>355</v>
      </c>
      <c r="S96" s="19">
        <v>641</v>
      </c>
      <c r="T96" s="19">
        <v>336</v>
      </c>
      <c r="U96" s="19">
        <v>409</v>
      </c>
      <c r="V96" s="19">
        <v>339</v>
      </c>
      <c r="W96" s="19">
        <v>536</v>
      </c>
      <c r="X96" s="19">
        <v>289</v>
      </c>
      <c r="Y96" s="19">
        <v>633</v>
      </c>
      <c r="Z96" s="19">
        <v>521</v>
      </c>
      <c r="AA96" s="19">
        <v>496</v>
      </c>
      <c r="AB96" s="19">
        <v>571</v>
      </c>
      <c r="AC96" s="19">
        <v>435</v>
      </c>
      <c r="AD96" s="19">
        <v>376</v>
      </c>
      <c r="AE96" s="19">
        <f t="shared" si="7"/>
        <v>4526</v>
      </c>
      <c r="AF96" s="19">
        <f t="shared" si="8"/>
        <v>5582</v>
      </c>
      <c r="AG96" s="20">
        <f t="shared" si="9"/>
        <v>377.16666666666669</v>
      </c>
      <c r="AH96" s="20">
        <f t="shared" si="6"/>
        <v>465.16666666666669</v>
      </c>
      <c r="AI96" s="21"/>
      <c r="AJ96" s="13"/>
      <c r="AK96" s="13"/>
    </row>
    <row r="97" spans="1:37" x14ac:dyDescent="0.35">
      <c r="A97" s="15" t="str">
        <f>VLOOKUP(B97,'[1]Tabla 1 Arsenal'!$B$11:$K$380,10,FALSE)</f>
        <v>P293</v>
      </c>
      <c r="B97" s="15">
        <v>104026</v>
      </c>
      <c r="C97" s="16" t="s">
        <v>149</v>
      </c>
      <c r="D97" s="16" t="s">
        <v>32</v>
      </c>
      <c r="E97" s="17">
        <v>126</v>
      </c>
      <c r="F97" s="18" t="s">
        <v>23</v>
      </c>
      <c r="G97" s="19">
        <v>730</v>
      </c>
      <c r="H97" s="19">
        <v>3109</v>
      </c>
      <c r="I97" s="19">
        <v>3732</v>
      </c>
      <c r="J97" s="19">
        <v>3369</v>
      </c>
      <c r="K97" s="19">
        <v>3835</v>
      </c>
      <c r="L97" s="19">
        <v>2705</v>
      </c>
      <c r="M97" s="19">
        <v>3115</v>
      </c>
      <c r="N97" s="19">
        <v>3292</v>
      </c>
      <c r="O97" s="19">
        <v>3553</v>
      </c>
      <c r="P97" s="19">
        <v>139</v>
      </c>
      <c r="Q97" s="19">
        <v>206</v>
      </c>
      <c r="R97" s="19">
        <v>2408</v>
      </c>
      <c r="S97" s="19">
        <v>3356</v>
      </c>
      <c r="T97" s="19">
        <v>3869</v>
      </c>
      <c r="U97" s="19">
        <v>2772</v>
      </c>
      <c r="V97" s="19">
        <v>3745</v>
      </c>
      <c r="W97" s="19">
        <v>3485</v>
      </c>
      <c r="X97" s="19">
        <v>2716</v>
      </c>
      <c r="Y97" s="19">
        <v>2919</v>
      </c>
      <c r="Z97" s="19">
        <v>2622</v>
      </c>
      <c r="AA97" s="19">
        <v>1927</v>
      </c>
      <c r="AB97" s="19">
        <v>3922</v>
      </c>
      <c r="AC97" s="19">
        <v>2869</v>
      </c>
      <c r="AD97" s="19">
        <v>2901</v>
      </c>
      <c r="AE97" s="19">
        <f t="shared" si="7"/>
        <v>30193</v>
      </c>
      <c r="AF97" s="19">
        <f t="shared" si="8"/>
        <v>37103</v>
      </c>
      <c r="AG97" s="20">
        <f t="shared" si="9"/>
        <v>2516.0833333333335</v>
      </c>
      <c r="AH97" s="20">
        <f t="shared" si="6"/>
        <v>3091.9166666666665</v>
      </c>
      <c r="AI97" s="21"/>
      <c r="AJ97" s="13"/>
      <c r="AK97" s="13"/>
    </row>
    <row r="98" spans="1:37" x14ac:dyDescent="0.35">
      <c r="A98" s="15" t="str">
        <f>VLOOKUP(B98,'[1]Tabla 1 Arsenal'!$B$11:$K$380,10,FALSE)</f>
        <v>P191</v>
      </c>
      <c r="B98" s="15">
        <v>101079</v>
      </c>
      <c r="C98" s="16" t="s">
        <v>150</v>
      </c>
      <c r="D98" s="16" t="s">
        <v>86</v>
      </c>
      <c r="E98" s="17">
        <v>5831</v>
      </c>
      <c r="F98" s="18" t="s">
        <v>55</v>
      </c>
      <c r="G98" s="19">
        <v>42</v>
      </c>
      <c r="H98" s="19">
        <v>189</v>
      </c>
      <c r="I98" s="19">
        <v>210</v>
      </c>
      <c r="J98" s="19">
        <v>210</v>
      </c>
      <c r="K98" s="19">
        <v>189</v>
      </c>
      <c r="L98" s="19">
        <v>210</v>
      </c>
      <c r="M98" s="19">
        <v>189</v>
      </c>
      <c r="N98" s="19">
        <v>189</v>
      </c>
      <c r="O98" s="19">
        <v>210</v>
      </c>
      <c r="P98" s="19">
        <v>252</v>
      </c>
      <c r="Q98" s="19">
        <v>231</v>
      </c>
      <c r="R98" s="19">
        <v>189</v>
      </c>
      <c r="S98" s="19">
        <v>126</v>
      </c>
      <c r="T98" s="19">
        <v>0</v>
      </c>
      <c r="U98" s="19">
        <v>105</v>
      </c>
      <c r="V98" s="19">
        <v>189</v>
      </c>
      <c r="W98" s="19">
        <v>210</v>
      </c>
      <c r="X98" s="19">
        <v>210</v>
      </c>
      <c r="Y98" s="19">
        <v>168</v>
      </c>
      <c r="Z98" s="19">
        <v>210</v>
      </c>
      <c r="AA98" s="19">
        <v>378</v>
      </c>
      <c r="AB98" s="19">
        <v>420</v>
      </c>
      <c r="AC98" s="19">
        <v>336</v>
      </c>
      <c r="AD98" s="19">
        <v>462</v>
      </c>
      <c r="AE98" s="19">
        <f t="shared" si="7"/>
        <v>2310</v>
      </c>
      <c r="AF98" s="19">
        <f t="shared" si="8"/>
        <v>2814</v>
      </c>
      <c r="AG98" s="20">
        <f t="shared" si="9"/>
        <v>192.5</v>
      </c>
      <c r="AH98" s="20">
        <f t="shared" si="6"/>
        <v>234.5</v>
      </c>
      <c r="AI98" s="21"/>
      <c r="AJ98" s="13"/>
      <c r="AK98" s="13"/>
    </row>
    <row r="99" spans="1:37" x14ac:dyDescent="0.35">
      <c r="A99" s="15" t="str">
        <f>VLOOKUP(B99,'[1]Tabla 1 Arsenal'!$B$11:$K$380,10,FALSE)</f>
        <v>P317</v>
      </c>
      <c r="B99" s="15">
        <v>102058</v>
      </c>
      <c r="C99" s="16" t="s">
        <v>151</v>
      </c>
      <c r="D99" s="16" t="s">
        <v>32</v>
      </c>
      <c r="E99" s="17">
        <v>42</v>
      </c>
      <c r="F99" s="18" t="s">
        <v>23</v>
      </c>
      <c r="G99" s="19">
        <v>50</v>
      </c>
      <c r="H99" s="19">
        <v>14</v>
      </c>
      <c r="I99" s="19">
        <v>251</v>
      </c>
      <c r="J99" s="19">
        <v>42</v>
      </c>
      <c r="K99" s="19">
        <v>115</v>
      </c>
      <c r="L99" s="19">
        <v>57</v>
      </c>
      <c r="M99" s="19">
        <v>73</v>
      </c>
      <c r="N99" s="19">
        <v>53</v>
      </c>
      <c r="O99" s="19">
        <v>30</v>
      </c>
      <c r="P99" s="19">
        <v>194</v>
      </c>
      <c r="Q99" s="19">
        <v>158</v>
      </c>
      <c r="R99" s="19">
        <v>176</v>
      </c>
      <c r="S99" s="19">
        <v>269</v>
      </c>
      <c r="T99" s="19">
        <v>115</v>
      </c>
      <c r="U99" s="19">
        <v>122</v>
      </c>
      <c r="V99" s="19">
        <v>91</v>
      </c>
      <c r="W99" s="19">
        <v>69</v>
      </c>
      <c r="X99" s="19">
        <v>70</v>
      </c>
      <c r="Y99" s="19">
        <v>141</v>
      </c>
      <c r="Z99" s="19">
        <v>88</v>
      </c>
      <c r="AA99" s="19">
        <v>228</v>
      </c>
      <c r="AB99" s="19">
        <v>180</v>
      </c>
      <c r="AC99" s="19">
        <v>88</v>
      </c>
      <c r="AD99" s="19">
        <v>14</v>
      </c>
      <c r="AE99" s="19">
        <f t="shared" si="7"/>
        <v>1213</v>
      </c>
      <c r="AF99" s="19">
        <f t="shared" si="8"/>
        <v>1475</v>
      </c>
      <c r="AG99" s="20">
        <f t="shared" si="9"/>
        <v>101.08333333333333</v>
      </c>
      <c r="AH99" s="20">
        <f t="shared" ref="AH99:AH162" si="10">AVERAGE(S99:AD99)</f>
        <v>122.91666666666667</v>
      </c>
      <c r="AI99" s="21"/>
      <c r="AJ99" s="13"/>
      <c r="AK99" s="13"/>
    </row>
    <row r="100" spans="1:37" x14ac:dyDescent="0.35">
      <c r="A100" s="15" t="str">
        <f>VLOOKUP(B100,'[1]Tabla 1 Arsenal'!$B$11:$K$380,10,FALSE)</f>
        <v>P282</v>
      </c>
      <c r="B100" s="15">
        <v>422001</v>
      </c>
      <c r="C100" s="16" t="s">
        <v>152</v>
      </c>
      <c r="D100" s="16" t="s">
        <v>78</v>
      </c>
      <c r="E100" s="17">
        <v>392700</v>
      </c>
      <c r="F100" s="18" t="s">
        <v>55</v>
      </c>
      <c r="G100" s="19">
        <v>36</v>
      </c>
      <c r="H100" s="19">
        <v>32</v>
      </c>
      <c r="I100" s="19">
        <v>25</v>
      </c>
      <c r="J100" s="19">
        <v>27</v>
      </c>
      <c r="K100" s="19">
        <v>25</v>
      </c>
      <c r="L100" s="19">
        <v>28</v>
      </c>
      <c r="M100" s="19">
        <v>41</v>
      </c>
      <c r="N100" s="19">
        <v>39</v>
      </c>
      <c r="O100" s="19">
        <v>26</v>
      </c>
      <c r="P100" s="19">
        <v>26</v>
      </c>
      <c r="Q100" s="19">
        <v>32</v>
      </c>
      <c r="R100" s="19">
        <v>30</v>
      </c>
      <c r="S100" s="19">
        <v>47</v>
      </c>
      <c r="T100" s="19">
        <v>37</v>
      </c>
      <c r="U100" s="19">
        <v>40</v>
      </c>
      <c r="V100" s="19">
        <v>40</v>
      </c>
      <c r="W100" s="19">
        <v>43</v>
      </c>
      <c r="X100" s="19">
        <v>30</v>
      </c>
      <c r="Y100" s="19">
        <v>48</v>
      </c>
      <c r="Z100" s="19">
        <v>38</v>
      </c>
      <c r="AA100" s="19">
        <v>30</v>
      </c>
      <c r="AB100" s="19">
        <v>30</v>
      </c>
      <c r="AC100" s="19">
        <v>33</v>
      </c>
      <c r="AD100" s="19">
        <v>30</v>
      </c>
      <c r="AE100" s="19">
        <f t="shared" si="7"/>
        <v>367</v>
      </c>
      <c r="AF100" s="19">
        <f t="shared" si="8"/>
        <v>446</v>
      </c>
      <c r="AG100" s="20">
        <f t="shared" si="9"/>
        <v>30.583333333333332</v>
      </c>
      <c r="AH100" s="20">
        <f t="shared" si="10"/>
        <v>37.166666666666664</v>
      </c>
      <c r="AI100" s="21"/>
      <c r="AJ100" s="13"/>
      <c r="AK100" s="13"/>
    </row>
    <row r="101" spans="1:37" x14ac:dyDescent="0.35">
      <c r="A101" s="15" t="str">
        <f>VLOOKUP(B101,'[1]Tabla 1 Arsenal'!$B$11:$K$380,10,FALSE)</f>
        <v>P039</v>
      </c>
      <c r="B101" s="15">
        <v>101072</v>
      </c>
      <c r="C101" s="16" t="s">
        <v>153</v>
      </c>
      <c r="D101" s="16" t="s">
        <v>22</v>
      </c>
      <c r="E101" s="17">
        <v>128520</v>
      </c>
      <c r="F101" s="18" t="s">
        <v>55</v>
      </c>
      <c r="G101" s="19">
        <v>20</v>
      </c>
      <c r="H101" s="19">
        <v>16</v>
      </c>
      <c r="I101" s="19">
        <v>14</v>
      </c>
      <c r="J101" s="19">
        <v>12</v>
      </c>
      <c r="K101" s="19">
        <v>12</v>
      </c>
      <c r="L101" s="19">
        <v>8</v>
      </c>
      <c r="M101" s="19">
        <v>10</v>
      </c>
      <c r="N101" s="19">
        <v>8</v>
      </c>
      <c r="O101" s="19">
        <v>16</v>
      </c>
      <c r="P101" s="19">
        <v>24</v>
      </c>
      <c r="Q101" s="19">
        <v>12</v>
      </c>
      <c r="R101" s="19">
        <v>12</v>
      </c>
      <c r="S101" s="19">
        <v>16</v>
      </c>
      <c r="T101" s="19">
        <v>9</v>
      </c>
      <c r="U101" s="19">
        <v>15</v>
      </c>
      <c r="V101" s="19">
        <v>16</v>
      </c>
      <c r="W101" s="19">
        <v>20</v>
      </c>
      <c r="X101" s="19">
        <v>22</v>
      </c>
      <c r="Y101" s="19">
        <v>25</v>
      </c>
      <c r="Z101" s="19">
        <v>24</v>
      </c>
      <c r="AA101" s="19">
        <v>18</v>
      </c>
      <c r="AB101" s="19">
        <v>10</v>
      </c>
      <c r="AC101" s="19">
        <v>12</v>
      </c>
      <c r="AD101" s="19">
        <v>12</v>
      </c>
      <c r="AE101" s="19">
        <f t="shared" si="7"/>
        <v>164</v>
      </c>
      <c r="AF101" s="19">
        <f t="shared" si="8"/>
        <v>199</v>
      </c>
      <c r="AG101" s="20">
        <f t="shared" si="9"/>
        <v>13.666666666666666</v>
      </c>
      <c r="AH101" s="20">
        <f t="shared" si="10"/>
        <v>16.583333333333332</v>
      </c>
      <c r="AI101" s="21"/>
      <c r="AJ101" s="13"/>
      <c r="AK101" s="13"/>
    </row>
    <row r="102" spans="1:37" x14ac:dyDescent="0.35">
      <c r="A102" s="15" t="str">
        <f>VLOOKUP(B102,'[1]Tabla 1 Arsenal'!$B$11:$K$380,10,FALSE)</f>
        <v>P193</v>
      </c>
      <c r="B102" s="15">
        <v>101099</v>
      </c>
      <c r="C102" s="16" t="s">
        <v>154</v>
      </c>
      <c r="D102" s="16" t="s">
        <v>39</v>
      </c>
      <c r="E102" s="17">
        <v>36315</v>
      </c>
      <c r="F102" s="18" t="s">
        <v>55</v>
      </c>
      <c r="G102" s="19">
        <v>0</v>
      </c>
      <c r="H102" s="19">
        <v>60</v>
      </c>
      <c r="I102" s="19">
        <v>120</v>
      </c>
      <c r="J102" s="19">
        <v>120</v>
      </c>
      <c r="K102" s="19">
        <v>300</v>
      </c>
      <c r="L102" s="19">
        <v>240</v>
      </c>
      <c r="M102" s="19">
        <v>180</v>
      </c>
      <c r="N102" s="19">
        <v>180</v>
      </c>
      <c r="O102" s="19">
        <v>270</v>
      </c>
      <c r="P102" s="19">
        <v>210</v>
      </c>
      <c r="Q102" s="19">
        <v>300</v>
      </c>
      <c r="R102" s="19">
        <v>180</v>
      </c>
      <c r="S102" s="19">
        <v>0</v>
      </c>
      <c r="T102" s="19">
        <v>0</v>
      </c>
      <c r="U102" s="19">
        <v>240</v>
      </c>
      <c r="V102" s="19">
        <v>240</v>
      </c>
      <c r="W102" s="19">
        <v>390</v>
      </c>
      <c r="X102" s="19">
        <v>180</v>
      </c>
      <c r="Y102" s="19">
        <v>240</v>
      </c>
      <c r="Z102" s="19">
        <v>210</v>
      </c>
      <c r="AA102" s="19">
        <v>240</v>
      </c>
      <c r="AB102" s="19">
        <v>240</v>
      </c>
      <c r="AC102" s="19">
        <v>270</v>
      </c>
      <c r="AD102" s="19">
        <v>360</v>
      </c>
      <c r="AE102" s="19">
        <f t="shared" si="7"/>
        <v>2160</v>
      </c>
      <c r="AF102" s="19">
        <f t="shared" si="8"/>
        <v>2610</v>
      </c>
      <c r="AG102" s="20">
        <f t="shared" si="9"/>
        <v>180</v>
      </c>
      <c r="AH102" s="20">
        <f t="shared" si="10"/>
        <v>217.5</v>
      </c>
      <c r="AI102" s="21"/>
      <c r="AJ102" s="13"/>
      <c r="AK102" s="13"/>
    </row>
    <row r="103" spans="1:37" x14ac:dyDescent="0.35">
      <c r="A103" s="15" t="str">
        <f>VLOOKUP(B103,'[1]Tabla 1 Arsenal'!$B$11:$K$380,10,FALSE)</f>
        <v>P343</v>
      </c>
      <c r="B103" s="15">
        <v>209067</v>
      </c>
      <c r="C103" s="16" t="s">
        <v>155</v>
      </c>
      <c r="D103" s="16" t="s">
        <v>86</v>
      </c>
      <c r="E103" s="17">
        <v>11287</v>
      </c>
      <c r="F103" s="18" t="s">
        <v>55</v>
      </c>
      <c r="G103" s="19">
        <v>40</v>
      </c>
      <c r="H103" s="19">
        <v>40</v>
      </c>
      <c r="I103" s="19">
        <v>70</v>
      </c>
      <c r="J103" s="19">
        <v>130</v>
      </c>
      <c r="K103" s="19">
        <v>0</v>
      </c>
      <c r="L103" s="19">
        <v>0</v>
      </c>
      <c r="M103" s="19">
        <v>0</v>
      </c>
      <c r="N103" s="19">
        <v>45</v>
      </c>
      <c r="O103" s="19">
        <v>50</v>
      </c>
      <c r="P103" s="19">
        <v>45</v>
      </c>
      <c r="Q103" s="19">
        <v>60</v>
      </c>
      <c r="R103" s="19">
        <v>25</v>
      </c>
      <c r="S103" s="19">
        <v>80</v>
      </c>
      <c r="T103" s="19">
        <v>85</v>
      </c>
      <c r="U103" s="19">
        <v>50</v>
      </c>
      <c r="V103" s="19">
        <v>40</v>
      </c>
      <c r="W103" s="19">
        <v>30</v>
      </c>
      <c r="X103" s="19">
        <v>25</v>
      </c>
      <c r="Y103" s="19">
        <v>60</v>
      </c>
      <c r="Z103" s="19">
        <v>50</v>
      </c>
      <c r="AA103" s="19">
        <v>30</v>
      </c>
      <c r="AB103" s="19">
        <v>45</v>
      </c>
      <c r="AC103" s="19">
        <v>65</v>
      </c>
      <c r="AD103" s="19">
        <v>50</v>
      </c>
      <c r="AE103" s="19">
        <f t="shared" si="7"/>
        <v>505</v>
      </c>
      <c r="AF103" s="19">
        <f t="shared" si="8"/>
        <v>610</v>
      </c>
      <c r="AG103" s="20">
        <f t="shared" si="9"/>
        <v>42.083333333333336</v>
      </c>
      <c r="AH103" s="20">
        <f t="shared" si="10"/>
        <v>50.833333333333336</v>
      </c>
      <c r="AI103" s="21"/>
      <c r="AJ103" s="13"/>
      <c r="AK103" s="13"/>
    </row>
    <row r="104" spans="1:37" x14ac:dyDescent="0.35">
      <c r="A104" s="15" t="str">
        <f>VLOOKUP(B104,'[1]Tabla 1 Arsenal'!$B$11:$K$380,10,FALSE)</f>
        <v>P007</v>
      </c>
      <c r="B104" s="15">
        <v>104055</v>
      </c>
      <c r="C104" s="16" t="s">
        <v>156</v>
      </c>
      <c r="D104" s="16" t="s">
        <v>32</v>
      </c>
      <c r="E104" s="17">
        <v>17</v>
      </c>
      <c r="F104" s="18" t="s">
        <v>23</v>
      </c>
      <c r="G104" s="19">
        <v>266</v>
      </c>
      <c r="H104" s="19">
        <v>403</v>
      </c>
      <c r="I104" s="19">
        <v>465</v>
      </c>
      <c r="J104" s="19">
        <v>74</v>
      </c>
      <c r="K104" s="19">
        <v>540</v>
      </c>
      <c r="L104" s="19">
        <v>413</v>
      </c>
      <c r="M104" s="19">
        <v>338</v>
      </c>
      <c r="N104" s="19">
        <v>198</v>
      </c>
      <c r="O104" s="19">
        <v>379</v>
      </c>
      <c r="P104" s="19">
        <v>284</v>
      </c>
      <c r="Q104" s="19">
        <v>273</v>
      </c>
      <c r="R104" s="19">
        <v>210</v>
      </c>
      <c r="S104" s="19">
        <v>312</v>
      </c>
      <c r="T104" s="19">
        <v>346</v>
      </c>
      <c r="U104" s="19">
        <v>472</v>
      </c>
      <c r="V104" s="19">
        <v>537</v>
      </c>
      <c r="W104" s="19">
        <v>394</v>
      </c>
      <c r="X104" s="19">
        <v>380</v>
      </c>
      <c r="Y104" s="19">
        <v>261</v>
      </c>
      <c r="Z104" s="19">
        <v>395</v>
      </c>
      <c r="AA104" s="19">
        <v>391</v>
      </c>
      <c r="AB104" s="19">
        <v>405</v>
      </c>
      <c r="AC104" s="19">
        <v>480</v>
      </c>
      <c r="AD104" s="19">
        <v>248</v>
      </c>
      <c r="AE104" s="19">
        <f t="shared" si="7"/>
        <v>3843</v>
      </c>
      <c r="AF104" s="19">
        <f t="shared" si="8"/>
        <v>4621</v>
      </c>
      <c r="AG104" s="20">
        <f t="shared" si="9"/>
        <v>320.25</v>
      </c>
      <c r="AH104" s="20">
        <f t="shared" si="10"/>
        <v>385.08333333333331</v>
      </c>
      <c r="AI104" s="21"/>
      <c r="AJ104" s="13"/>
      <c r="AK104" s="13"/>
    </row>
    <row r="105" spans="1:37" x14ac:dyDescent="0.35">
      <c r="A105" s="15" t="str">
        <f>VLOOKUP(B105,'[1]Tabla 1 Arsenal'!$B$11:$K$380,10,FALSE)</f>
        <v>P221</v>
      </c>
      <c r="B105" s="15">
        <v>209125</v>
      </c>
      <c r="C105" s="16" t="s">
        <v>157</v>
      </c>
      <c r="D105" s="16" t="s">
        <v>37</v>
      </c>
      <c r="E105" s="17">
        <v>2023</v>
      </c>
      <c r="F105" s="18" t="s">
        <v>23</v>
      </c>
      <c r="G105" s="19">
        <v>740</v>
      </c>
      <c r="H105" s="19">
        <v>413</v>
      </c>
      <c r="I105" s="19">
        <v>439</v>
      </c>
      <c r="J105" s="19">
        <v>319</v>
      </c>
      <c r="K105" s="19">
        <v>454</v>
      </c>
      <c r="L105" s="19">
        <v>400</v>
      </c>
      <c r="M105" s="19">
        <v>653</v>
      </c>
      <c r="N105" s="19">
        <v>740</v>
      </c>
      <c r="O105" s="19">
        <v>283</v>
      </c>
      <c r="P105" s="19">
        <v>446</v>
      </c>
      <c r="Q105" s="19">
        <v>646</v>
      </c>
      <c r="R105" s="19">
        <v>697</v>
      </c>
      <c r="S105" s="19">
        <v>792</v>
      </c>
      <c r="T105" s="19">
        <v>735</v>
      </c>
      <c r="U105" s="19">
        <v>479</v>
      </c>
      <c r="V105" s="19">
        <v>656</v>
      </c>
      <c r="W105" s="19">
        <v>774</v>
      </c>
      <c r="X105" s="19">
        <v>570</v>
      </c>
      <c r="Y105" s="19">
        <v>877</v>
      </c>
      <c r="Z105" s="19">
        <v>614</v>
      </c>
      <c r="AA105" s="19">
        <v>493</v>
      </c>
      <c r="AB105" s="19">
        <v>370</v>
      </c>
      <c r="AC105" s="19">
        <v>684</v>
      </c>
      <c r="AD105" s="19">
        <v>443</v>
      </c>
      <c r="AE105" s="19">
        <f t="shared" si="7"/>
        <v>6230</v>
      </c>
      <c r="AF105" s="19">
        <f t="shared" si="8"/>
        <v>7487</v>
      </c>
      <c r="AG105" s="20">
        <f t="shared" si="9"/>
        <v>519.16666666666663</v>
      </c>
      <c r="AH105" s="20">
        <f t="shared" si="10"/>
        <v>623.91666666666663</v>
      </c>
      <c r="AI105" s="21"/>
      <c r="AJ105" s="13"/>
      <c r="AK105" s="13"/>
    </row>
    <row r="106" spans="1:37" x14ac:dyDescent="0.35">
      <c r="A106" s="15" t="str">
        <f>VLOOKUP(B106,'[1]Tabla 1 Arsenal'!$B$11:$K$380,10,FALSE)</f>
        <v>P314</v>
      </c>
      <c r="B106" s="15">
        <v>102157</v>
      </c>
      <c r="C106" s="16" t="s">
        <v>158</v>
      </c>
      <c r="D106" s="16" t="s">
        <v>23</v>
      </c>
      <c r="E106" s="17">
        <v>2785</v>
      </c>
      <c r="F106" s="18" t="s">
        <v>23</v>
      </c>
      <c r="G106" s="19">
        <v>6</v>
      </c>
      <c r="H106" s="19">
        <v>4</v>
      </c>
      <c r="I106" s="19">
        <v>8</v>
      </c>
      <c r="J106" s="19">
        <v>2</v>
      </c>
      <c r="K106" s="19">
        <v>9</v>
      </c>
      <c r="L106" s="19">
        <v>13</v>
      </c>
      <c r="M106" s="19">
        <v>8</v>
      </c>
      <c r="N106" s="19">
        <v>8</v>
      </c>
      <c r="O106" s="19">
        <v>12</v>
      </c>
      <c r="P106" s="19">
        <v>13</v>
      </c>
      <c r="Q106" s="19">
        <v>8</v>
      </c>
      <c r="R106" s="19">
        <v>4</v>
      </c>
      <c r="S106" s="19">
        <v>16</v>
      </c>
      <c r="T106" s="19">
        <v>4</v>
      </c>
      <c r="U106" s="19">
        <v>6</v>
      </c>
      <c r="V106" s="19">
        <v>8</v>
      </c>
      <c r="W106" s="19">
        <v>7</v>
      </c>
      <c r="X106" s="19">
        <v>8</v>
      </c>
      <c r="Y106" s="19">
        <v>11</v>
      </c>
      <c r="Z106" s="19">
        <v>6</v>
      </c>
      <c r="AA106" s="19">
        <v>8</v>
      </c>
      <c r="AB106" s="19">
        <v>13</v>
      </c>
      <c r="AC106" s="19">
        <v>13</v>
      </c>
      <c r="AD106" s="19">
        <v>14</v>
      </c>
      <c r="AE106" s="19">
        <f t="shared" si="7"/>
        <v>95</v>
      </c>
      <c r="AF106" s="19">
        <f t="shared" si="8"/>
        <v>114</v>
      </c>
      <c r="AG106" s="20">
        <f t="shared" si="9"/>
        <v>7.916666666666667</v>
      </c>
      <c r="AH106" s="20">
        <f t="shared" si="10"/>
        <v>9.5</v>
      </c>
      <c r="AI106" s="21"/>
      <c r="AJ106" s="13"/>
      <c r="AK106" s="13"/>
    </row>
    <row r="107" spans="1:37" x14ac:dyDescent="0.35">
      <c r="A107" s="15" t="str">
        <f>VLOOKUP(B107,'[1]Tabla 1 Arsenal'!$B$11:$K$380,10,FALSE)</f>
        <v>P001</v>
      </c>
      <c r="B107" s="15">
        <v>101047</v>
      </c>
      <c r="C107" s="16" t="s">
        <v>159</v>
      </c>
      <c r="D107" s="16" t="s">
        <v>32</v>
      </c>
      <c r="E107" s="17">
        <v>845</v>
      </c>
      <c r="F107" s="18" t="s">
        <v>55</v>
      </c>
      <c r="G107" s="19">
        <v>3000</v>
      </c>
      <c r="H107" s="19">
        <v>2400</v>
      </c>
      <c r="I107" s="19">
        <v>2760</v>
      </c>
      <c r="J107" s="19">
        <v>2640</v>
      </c>
      <c r="K107" s="19">
        <v>3240</v>
      </c>
      <c r="L107" s="19">
        <v>2760</v>
      </c>
      <c r="M107" s="19">
        <v>3480</v>
      </c>
      <c r="N107" s="19">
        <v>3600</v>
      </c>
      <c r="O107" s="19">
        <v>3360</v>
      </c>
      <c r="P107" s="19">
        <v>3120</v>
      </c>
      <c r="Q107" s="19">
        <v>3480</v>
      </c>
      <c r="R107" s="19">
        <v>3120</v>
      </c>
      <c r="S107" s="19">
        <v>4320</v>
      </c>
      <c r="T107" s="19">
        <v>3120</v>
      </c>
      <c r="U107" s="19">
        <v>3120</v>
      </c>
      <c r="V107" s="19">
        <v>3600</v>
      </c>
      <c r="W107" s="19">
        <v>4080</v>
      </c>
      <c r="X107" s="19">
        <v>3840</v>
      </c>
      <c r="Y107" s="19">
        <v>3840</v>
      </c>
      <c r="Z107" s="19">
        <v>4080</v>
      </c>
      <c r="AA107" s="19">
        <v>3720</v>
      </c>
      <c r="AB107" s="19">
        <v>3720</v>
      </c>
      <c r="AC107" s="19">
        <v>3120</v>
      </c>
      <c r="AD107" s="19">
        <v>3720</v>
      </c>
      <c r="AE107" s="19">
        <f t="shared" si="7"/>
        <v>36960</v>
      </c>
      <c r="AF107" s="19">
        <f t="shared" si="8"/>
        <v>44280</v>
      </c>
      <c r="AG107" s="20">
        <f t="shared" si="9"/>
        <v>3080</v>
      </c>
      <c r="AH107" s="20">
        <f t="shared" si="10"/>
        <v>3690</v>
      </c>
      <c r="AI107" s="21"/>
      <c r="AJ107" s="13"/>
      <c r="AK107" s="13"/>
    </row>
    <row r="108" spans="1:37" x14ac:dyDescent="0.35">
      <c r="A108" s="15" t="str">
        <f>VLOOKUP(B108,'[1]Tabla 1 Arsenal'!$B$11:$K$380,10,FALSE)</f>
        <v>P046</v>
      </c>
      <c r="B108" s="15">
        <v>107002</v>
      </c>
      <c r="C108" s="16" t="s">
        <v>160</v>
      </c>
      <c r="D108" s="16" t="s">
        <v>23</v>
      </c>
      <c r="E108" s="17">
        <v>660</v>
      </c>
      <c r="F108" s="18" t="s">
        <v>23</v>
      </c>
      <c r="G108" s="19">
        <v>0</v>
      </c>
      <c r="H108" s="19">
        <v>0</v>
      </c>
      <c r="I108" s="19">
        <v>4</v>
      </c>
      <c r="J108" s="19">
        <v>3</v>
      </c>
      <c r="K108" s="19">
        <v>7</v>
      </c>
      <c r="L108" s="19">
        <v>10</v>
      </c>
      <c r="M108" s="19">
        <v>4</v>
      </c>
      <c r="N108" s="19">
        <v>7</v>
      </c>
      <c r="O108" s="19">
        <v>14</v>
      </c>
      <c r="P108" s="19">
        <v>8</v>
      </c>
      <c r="Q108" s="19">
        <v>15</v>
      </c>
      <c r="R108" s="19">
        <v>11</v>
      </c>
      <c r="S108" s="19">
        <v>14</v>
      </c>
      <c r="T108" s="19">
        <v>0</v>
      </c>
      <c r="U108" s="19">
        <v>6</v>
      </c>
      <c r="V108" s="19">
        <v>14</v>
      </c>
      <c r="W108" s="19">
        <v>5</v>
      </c>
      <c r="X108" s="19">
        <v>5</v>
      </c>
      <c r="Y108" s="19">
        <v>19</v>
      </c>
      <c r="Z108" s="19">
        <v>8</v>
      </c>
      <c r="AA108" s="19">
        <v>6</v>
      </c>
      <c r="AB108" s="19">
        <v>12</v>
      </c>
      <c r="AC108" s="19">
        <v>2</v>
      </c>
      <c r="AD108" s="19">
        <v>8</v>
      </c>
      <c r="AE108" s="19">
        <f t="shared" si="7"/>
        <v>83</v>
      </c>
      <c r="AF108" s="19">
        <f t="shared" si="8"/>
        <v>99</v>
      </c>
      <c r="AG108" s="20">
        <f t="shared" si="9"/>
        <v>6.916666666666667</v>
      </c>
      <c r="AH108" s="20">
        <f t="shared" si="10"/>
        <v>8.25</v>
      </c>
      <c r="AI108" s="21"/>
      <c r="AJ108" s="13"/>
      <c r="AK108" s="13"/>
    </row>
    <row r="109" spans="1:37" x14ac:dyDescent="0.35">
      <c r="A109" s="15" t="str">
        <f>VLOOKUP(B109,'[1]Tabla 1 Arsenal'!$B$11:$K$380,10,FALSE)</f>
        <v>P082</v>
      </c>
      <c r="B109" s="15">
        <v>103013</v>
      </c>
      <c r="C109" s="16" t="s">
        <v>161</v>
      </c>
      <c r="D109" s="16" t="s">
        <v>64</v>
      </c>
      <c r="E109" s="17">
        <v>343</v>
      </c>
      <c r="F109" s="18" t="s">
        <v>23</v>
      </c>
      <c r="G109" s="19">
        <v>2</v>
      </c>
      <c r="H109" s="19">
        <v>2</v>
      </c>
      <c r="I109" s="19">
        <v>8</v>
      </c>
      <c r="J109" s="19">
        <v>3</v>
      </c>
      <c r="K109" s="19">
        <v>3</v>
      </c>
      <c r="L109" s="19">
        <v>18</v>
      </c>
      <c r="M109" s="19">
        <v>9</v>
      </c>
      <c r="N109" s="19">
        <v>14</v>
      </c>
      <c r="O109" s="19">
        <v>5</v>
      </c>
      <c r="P109" s="19">
        <v>10</v>
      </c>
      <c r="Q109" s="19">
        <v>10</v>
      </c>
      <c r="R109" s="19">
        <v>5</v>
      </c>
      <c r="S109" s="19">
        <v>4</v>
      </c>
      <c r="T109" s="19">
        <v>4</v>
      </c>
      <c r="U109" s="19">
        <v>4</v>
      </c>
      <c r="V109" s="19">
        <v>9</v>
      </c>
      <c r="W109" s="19">
        <v>15</v>
      </c>
      <c r="X109" s="19">
        <v>12</v>
      </c>
      <c r="Y109" s="19">
        <v>13</v>
      </c>
      <c r="Z109" s="19">
        <v>10</v>
      </c>
      <c r="AA109" s="19">
        <v>7</v>
      </c>
      <c r="AB109" s="19">
        <v>6</v>
      </c>
      <c r="AC109" s="19">
        <v>11</v>
      </c>
      <c r="AD109" s="19">
        <v>11</v>
      </c>
      <c r="AE109" s="19">
        <f t="shared" si="7"/>
        <v>89</v>
      </c>
      <c r="AF109" s="19">
        <f t="shared" si="8"/>
        <v>106</v>
      </c>
      <c r="AG109" s="20">
        <f t="shared" si="9"/>
        <v>7.416666666666667</v>
      </c>
      <c r="AH109" s="20">
        <f t="shared" si="10"/>
        <v>8.8333333333333339</v>
      </c>
      <c r="AI109" s="21"/>
      <c r="AJ109" s="13"/>
      <c r="AK109" s="13"/>
    </row>
    <row r="110" spans="1:37" x14ac:dyDescent="0.35">
      <c r="A110" s="15" t="str">
        <f>VLOOKUP(B110,'[1]Tabla 1 Arsenal'!$B$11:$K$380,10,FALSE)</f>
        <v>P215</v>
      </c>
      <c r="B110" s="15">
        <v>109046</v>
      </c>
      <c r="C110" s="16" t="s">
        <v>162</v>
      </c>
      <c r="D110" s="16" t="s">
        <v>23</v>
      </c>
      <c r="E110" s="17">
        <v>22134</v>
      </c>
      <c r="F110" s="18" t="s">
        <v>23</v>
      </c>
      <c r="G110" s="19">
        <v>69</v>
      </c>
      <c r="H110" s="19">
        <v>0</v>
      </c>
      <c r="I110" s="19">
        <v>0</v>
      </c>
      <c r="J110" s="19">
        <v>149</v>
      </c>
      <c r="K110" s="19">
        <v>251</v>
      </c>
      <c r="L110" s="19">
        <v>0</v>
      </c>
      <c r="M110" s="19">
        <v>0</v>
      </c>
      <c r="N110" s="19">
        <v>0</v>
      </c>
      <c r="O110" s="19">
        <v>0</v>
      </c>
      <c r="P110" s="19">
        <v>210</v>
      </c>
      <c r="Q110" s="19">
        <v>744</v>
      </c>
      <c r="R110" s="19">
        <v>736</v>
      </c>
      <c r="S110" s="19">
        <v>379</v>
      </c>
      <c r="T110" s="19">
        <v>408</v>
      </c>
      <c r="U110" s="19">
        <v>565</v>
      </c>
      <c r="V110" s="19">
        <v>139</v>
      </c>
      <c r="W110" s="19">
        <v>0</v>
      </c>
      <c r="X110" s="19">
        <v>6</v>
      </c>
      <c r="Y110" s="19">
        <v>0</v>
      </c>
      <c r="Z110" s="19">
        <v>0</v>
      </c>
      <c r="AA110" s="19">
        <v>128</v>
      </c>
      <c r="AB110" s="19">
        <v>426</v>
      </c>
      <c r="AC110" s="19">
        <v>321</v>
      </c>
      <c r="AD110" s="19">
        <v>189</v>
      </c>
      <c r="AE110" s="19">
        <f t="shared" si="7"/>
        <v>2159</v>
      </c>
      <c r="AF110" s="19">
        <f t="shared" si="8"/>
        <v>2561</v>
      </c>
      <c r="AG110" s="20">
        <f t="shared" si="9"/>
        <v>179.91666666666666</v>
      </c>
      <c r="AH110" s="20">
        <f t="shared" si="10"/>
        <v>213.41666666666666</v>
      </c>
      <c r="AI110" s="21"/>
      <c r="AJ110" s="13"/>
      <c r="AK110" s="13"/>
    </row>
    <row r="111" spans="1:37" x14ac:dyDescent="0.35">
      <c r="A111" s="15" t="str">
        <f>VLOOKUP(B111,'[1]Tabla 1 Arsenal'!$B$11:$K$380,10,FALSE)</f>
        <v>P271</v>
      </c>
      <c r="B111" s="15">
        <v>101082</v>
      </c>
      <c r="C111" s="16" t="s">
        <v>163</v>
      </c>
      <c r="D111" s="16" t="s">
        <v>32</v>
      </c>
      <c r="E111" s="17">
        <v>134866</v>
      </c>
      <c r="F111" s="18" t="s">
        <v>55</v>
      </c>
      <c r="G111" s="19">
        <v>30</v>
      </c>
      <c r="H111" s="19">
        <v>30</v>
      </c>
      <c r="I111" s="19">
        <v>30</v>
      </c>
      <c r="J111" s="19">
        <v>30</v>
      </c>
      <c r="K111" s="19">
        <v>0</v>
      </c>
      <c r="L111" s="19">
        <v>0</v>
      </c>
      <c r="M111" s="19">
        <v>30</v>
      </c>
      <c r="N111" s="19">
        <v>30</v>
      </c>
      <c r="O111" s="19">
        <v>30</v>
      </c>
      <c r="P111" s="19">
        <v>30</v>
      </c>
      <c r="Q111" s="19">
        <v>30</v>
      </c>
      <c r="R111" s="19">
        <v>60</v>
      </c>
      <c r="S111" s="19">
        <v>30</v>
      </c>
      <c r="T111" s="19">
        <v>30</v>
      </c>
      <c r="U111" s="19">
        <v>60</v>
      </c>
      <c r="V111" s="19">
        <v>60</v>
      </c>
      <c r="W111" s="19">
        <v>30</v>
      </c>
      <c r="X111" s="19">
        <v>0</v>
      </c>
      <c r="Y111" s="19">
        <v>30</v>
      </c>
      <c r="Z111" s="19">
        <v>30</v>
      </c>
      <c r="AA111" s="19">
        <v>30</v>
      </c>
      <c r="AB111" s="19">
        <v>30</v>
      </c>
      <c r="AC111" s="19">
        <v>30</v>
      </c>
      <c r="AD111" s="19">
        <v>30</v>
      </c>
      <c r="AE111" s="19">
        <f t="shared" si="7"/>
        <v>330</v>
      </c>
      <c r="AF111" s="19">
        <f t="shared" si="8"/>
        <v>390</v>
      </c>
      <c r="AG111" s="20">
        <f t="shared" si="9"/>
        <v>27.5</v>
      </c>
      <c r="AH111" s="20">
        <f t="shared" si="10"/>
        <v>32.5</v>
      </c>
      <c r="AI111" s="21"/>
      <c r="AJ111" s="13"/>
      <c r="AK111" s="13"/>
    </row>
    <row r="112" spans="1:37" x14ac:dyDescent="0.35">
      <c r="A112" s="15" t="str">
        <f>VLOOKUP(B112,'[1]Tabla 1 Arsenal'!$B$11:$K$380,10,FALSE)</f>
        <v>P045</v>
      </c>
      <c r="B112" s="15">
        <v>101039</v>
      </c>
      <c r="C112" s="16" t="s">
        <v>164</v>
      </c>
      <c r="D112" s="16" t="s">
        <v>22</v>
      </c>
      <c r="E112" s="17">
        <v>10520</v>
      </c>
      <c r="F112" s="18" t="s">
        <v>55</v>
      </c>
      <c r="G112" s="19">
        <v>96</v>
      </c>
      <c r="H112" s="19">
        <v>87</v>
      </c>
      <c r="I112" s="19">
        <v>115</v>
      </c>
      <c r="J112" s="19">
        <v>91</v>
      </c>
      <c r="K112" s="19">
        <v>97</v>
      </c>
      <c r="L112" s="19">
        <v>84</v>
      </c>
      <c r="M112" s="19">
        <v>93</v>
      </c>
      <c r="N112" s="19">
        <v>123</v>
      </c>
      <c r="O112" s="19">
        <v>109</v>
      </c>
      <c r="P112" s="19">
        <v>118</v>
      </c>
      <c r="Q112" s="19">
        <v>106</v>
      </c>
      <c r="R112" s="19">
        <v>101</v>
      </c>
      <c r="S112" s="19">
        <v>111</v>
      </c>
      <c r="T112" s="19">
        <v>118</v>
      </c>
      <c r="U112" s="19">
        <v>108</v>
      </c>
      <c r="V112" s="19">
        <v>120</v>
      </c>
      <c r="W112" s="19">
        <v>116</v>
      </c>
      <c r="X112" s="19">
        <v>106</v>
      </c>
      <c r="Y112" s="19">
        <v>123</v>
      </c>
      <c r="Z112" s="19">
        <v>130</v>
      </c>
      <c r="AA112" s="19">
        <v>101</v>
      </c>
      <c r="AB112" s="19">
        <v>132</v>
      </c>
      <c r="AC112" s="19">
        <v>133</v>
      </c>
      <c r="AD112" s="19">
        <v>132</v>
      </c>
      <c r="AE112" s="19">
        <f t="shared" si="7"/>
        <v>1220</v>
      </c>
      <c r="AF112" s="19">
        <f t="shared" si="8"/>
        <v>1430</v>
      </c>
      <c r="AG112" s="20">
        <f t="shared" si="9"/>
        <v>101.66666666666667</v>
      </c>
      <c r="AH112" s="20">
        <f t="shared" si="10"/>
        <v>119.16666666666667</v>
      </c>
      <c r="AI112" s="21"/>
      <c r="AJ112" s="13"/>
      <c r="AK112" s="13"/>
    </row>
    <row r="113" spans="1:37" x14ac:dyDescent="0.35">
      <c r="A113" s="15" t="str">
        <f>VLOOKUP(B113,'[1]Tabla 1 Arsenal'!$B$11:$K$380,10,FALSE)</f>
        <v>P339</v>
      </c>
      <c r="B113" s="15">
        <v>209147</v>
      </c>
      <c r="C113" s="16" t="s">
        <v>165</v>
      </c>
      <c r="D113" s="16" t="s">
        <v>32</v>
      </c>
      <c r="E113" s="17">
        <v>720</v>
      </c>
      <c r="F113" s="18" t="s">
        <v>55</v>
      </c>
      <c r="G113" s="19">
        <v>653</v>
      </c>
      <c r="H113" s="19">
        <v>518</v>
      </c>
      <c r="I113" s="19">
        <v>560</v>
      </c>
      <c r="J113" s="19">
        <v>605</v>
      </c>
      <c r="K113" s="19">
        <v>562</v>
      </c>
      <c r="L113" s="19">
        <v>623</v>
      </c>
      <c r="M113" s="19">
        <v>505</v>
      </c>
      <c r="N113" s="19">
        <v>589</v>
      </c>
      <c r="O113" s="19">
        <v>567</v>
      </c>
      <c r="P113" s="19">
        <v>489</v>
      </c>
      <c r="Q113" s="19">
        <v>517</v>
      </c>
      <c r="R113" s="19">
        <v>490</v>
      </c>
      <c r="S113" s="19">
        <v>592</v>
      </c>
      <c r="T113" s="19">
        <v>444</v>
      </c>
      <c r="U113" s="19">
        <v>610</v>
      </c>
      <c r="V113" s="19">
        <v>773</v>
      </c>
      <c r="W113" s="19">
        <v>908</v>
      </c>
      <c r="X113" s="19">
        <v>790</v>
      </c>
      <c r="Y113" s="19">
        <v>820</v>
      </c>
      <c r="Z113" s="19">
        <v>639</v>
      </c>
      <c r="AA113" s="19">
        <v>640</v>
      </c>
      <c r="AB113" s="19">
        <v>634</v>
      </c>
      <c r="AC113" s="19">
        <v>498</v>
      </c>
      <c r="AD113" s="19">
        <v>473</v>
      </c>
      <c r="AE113" s="19">
        <f t="shared" si="7"/>
        <v>6678</v>
      </c>
      <c r="AF113" s="19">
        <f t="shared" si="8"/>
        <v>7821</v>
      </c>
      <c r="AG113" s="20">
        <f t="shared" si="9"/>
        <v>556.5</v>
      </c>
      <c r="AH113" s="20">
        <f t="shared" si="10"/>
        <v>651.75</v>
      </c>
      <c r="AI113" s="21"/>
      <c r="AJ113" s="13"/>
      <c r="AK113" s="13"/>
    </row>
    <row r="114" spans="1:37" x14ac:dyDescent="0.35">
      <c r="A114" s="15" t="str">
        <f>VLOOKUP(B114,'[1]Tabla 1 Arsenal'!$B$11:$K$380,10,FALSE)</f>
        <v>P196</v>
      </c>
      <c r="B114" s="15">
        <v>209160</v>
      </c>
      <c r="C114" s="16" t="s">
        <v>166</v>
      </c>
      <c r="D114" s="16" t="s">
        <v>22</v>
      </c>
      <c r="E114" s="17">
        <v>6426</v>
      </c>
      <c r="F114" s="18" t="s">
        <v>55</v>
      </c>
      <c r="G114" s="19">
        <v>229</v>
      </c>
      <c r="H114" s="19">
        <v>222</v>
      </c>
      <c r="I114" s="19">
        <v>306</v>
      </c>
      <c r="J114" s="19">
        <v>233</v>
      </c>
      <c r="K114" s="19">
        <v>291</v>
      </c>
      <c r="L114" s="19">
        <v>272</v>
      </c>
      <c r="M114" s="19">
        <v>311</v>
      </c>
      <c r="N114" s="19">
        <v>291</v>
      </c>
      <c r="O114" s="19">
        <v>290</v>
      </c>
      <c r="P114" s="19">
        <v>303</v>
      </c>
      <c r="Q114" s="19">
        <v>287</v>
      </c>
      <c r="R114" s="19">
        <v>239</v>
      </c>
      <c r="S114" s="19">
        <v>330</v>
      </c>
      <c r="T114" s="19">
        <v>284</v>
      </c>
      <c r="U114" s="19">
        <v>314</v>
      </c>
      <c r="V114" s="19">
        <v>468</v>
      </c>
      <c r="W114" s="19">
        <v>377</v>
      </c>
      <c r="X114" s="19">
        <v>345</v>
      </c>
      <c r="Y114" s="19">
        <v>415</v>
      </c>
      <c r="Z114" s="19">
        <v>347</v>
      </c>
      <c r="AA114" s="19">
        <v>262</v>
      </c>
      <c r="AB114" s="19">
        <v>288</v>
      </c>
      <c r="AC114" s="19">
        <v>202</v>
      </c>
      <c r="AD114" s="19">
        <v>202</v>
      </c>
      <c r="AE114" s="19">
        <f t="shared" si="7"/>
        <v>3274</v>
      </c>
      <c r="AF114" s="19">
        <f t="shared" si="8"/>
        <v>3834</v>
      </c>
      <c r="AG114" s="20">
        <f t="shared" si="9"/>
        <v>272.83333333333331</v>
      </c>
      <c r="AH114" s="20">
        <f t="shared" si="10"/>
        <v>319.5</v>
      </c>
      <c r="AI114" s="21"/>
      <c r="AJ114" s="13"/>
      <c r="AK114" s="13"/>
    </row>
    <row r="115" spans="1:37" x14ac:dyDescent="0.35">
      <c r="A115" s="15" t="str">
        <f>VLOOKUP(B115,'[1]Tabla 1 Arsenal'!$B$11:$K$380,10,FALSE)</f>
        <v>P118</v>
      </c>
      <c r="B115" s="15">
        <v>101020</v>
      </c>
      <c r="C115" s="16" t="s">
        <v>167</v>
      </c>
      <c r="D115" s="16" t="s">
        <v>32</v>
      </c>
      <c r="E115" s="17">
        <v>8531</v>
      </c>
      <c r="F115" s="18" t="s">
        <v>55</v>
      </c>
      <c r="G115" s="19">
        <v>120</v>
      </c>
      <c r="H115" s="19">
        <v>90</v>
      </c>
      <c r="I115" s="19">
        <v>90</v>
      </c>
      <c r="J115" s="19">
        <v>150</v>
      </c>
      <c r="K115" s="19">
        <v>210</v>
      </c>
      <c r="L115" s="19">
        <v>150</v>
      </c>
      <c r="M115" s="19">
        <v>150</v>
      </c>
      <c r="N115" s="19">
        <v>120</v>
      </c>
      <c r="O115" s="19">
        <v>60</v>
      </c>
      <c r="P115" s="19">
        <v>30</v>
      </c>
      <c r="Q115" s="19">
        <v>120</v>
      </c>
      <c r="R115" s="19">
        <v>120</v>
      </c>
      <c r="S115" s="19">
        <v>120</v>
      </c>
      <c r="T115" s="19">
        <v>180</v>
      </c>
      <c r="U115" s="19">
        <v>120</v>
      </c>
      <c r="V115" s="19">
        <v>120</v>
      </c>
      <c r="W115" s="19">
        <v>150</v>
      </c>
      <c r="X115" s="19">
        <v>120</v>
      </c>
      <c r="Y115" s="19">
        <v>150</v>
      </c>
      <c r="Z115" s="19">
        <v>150</v>
      </c>
      <c r="AA115" s="19">
        <v>150</v>
      </c>
      <c r="AB115" s="19">
        <v>150</v>
      </c>
      <c r="AC115" s="19">
        <v>150</v>
      </c>
      <c r="AD115" s="19">
        <v>90</v>
      </c>
      <c r="AE115" s="19">
        <f t="shared" si="7"/>
        <v>1410</v>
      </c>
      <c r="AF115" s="19">
        <f t="shared" si="8"/>
        <v>1650</v>
      </c>
      <c r="AG115" s="20">
        <f t="shared" si="9"/>
        <v>117.5</v>
      </c>
      <c r="AH115" s="20">
        <f t="shared" si="10"/>
        <v>137.5</v>
      </c>
      <c r="AI115" s="21"/>
      <c r="AJ115" s="13"/>
      <c r="AK115" s="13"/>
    </row>
    <row r="116" spans="1:37" x14ac:dyDescent="0.35">
      <c r="A116" s="15" t="str">
        <f>VLOOKUP(B116,'[1]Tabla 1 Arsenal'!$B$11:$K$380,10,FALSE)</f>
        <v>P117</v>
      </c>
      <c r="B116" s="15">
        <v>102124</v>
      </c>
      <c r="C116" s="16" t="s">
        <v>168</v>
      </c>
      <c r="D116" s="16" t="s">
        <v>78</v>
      </c>
      <c r="E116" s="17">
        <v>1348</v>
      </c>
      <c r="F116" s="18" t="s">
        <v>23</v>
      </c>
      <c r="G116" s="19">
        <v>100</v>
      </c>
      <c r="H116" s="19">
        <v>82</v>
      </c>
      <c r="I116" s="19">
        <v>110</v>
      </c>
      <c r="J116" s="19">
        <v>20</v>
      </c>
      <c r="K116" s="19">
        <v>260</v>
      </c>
      <c r="L116" s="19">
        <v>86</v>
      </c>
      <c r="M116" s="19">
        <v>102</v>
      </c>
      <c r="N116" s="19">
        <v>190</v>
      </c>
      <c r="O116" s="19">
        <v>177</v>
      </c>
      <c r="P116" s="19">
        <v>164</v>
      </c>
      <c r="Q116" s="19">
        <v>274</v>
      </c>
      <c r="R116" s="19">
        <v>77</v>
      </c>
      <c r="S116" s="19">
        <v>160</v>
      </c>
      <c r="T116" s="19">
        <v>109</v>
      </c>
      <c r="U116" s="19">
        <v>135</v>
      </c>
      <c r="V116" s="19">
        <v>171</v>
      </c>
      <c r="W116" s="19">
        <v>214</v>
      </c>
      <c r="X116" s="19">
        <v>142</v>
      </c>
      <c r="Y116" s="19">
        <v>129</v>
      </c>
      <c r="Z116" s="19">
        <v>205</v>
      </c>
      <c r="AA116" s="19">
        <v>152</v>
      </c>
      <c r="AB116" s="19">
        <v>182</v>
      </c>
      <c r="AC116" s="19">
        <v>152</v>
      </c>
      <c r="AD116" s="19">
        <v>169</v>
      </c>
      <c r="AE116" s="19">
        <f t="shared" si="7"/>
        <v>1642</v>
      </c>
      <c r="AF116" s="19">
        <f t="shared" si="8"/>
        <v>1920</v>
      </c>
      <c r="AG116" s="20">
        <f t="shared" si="9"/>
        <v>136.83333333333334</v>
      </c>
      <c r="AH116" s="20">
        <f t="shared" si="10"/>
        <v>160</v>
      </c>
      <c r="AI116" s="21"/>
      <c r="AJ116" s="13"/>
      <c r="AK116" s="13"/>
    </row>
    <row r="117" spans="1:37" x14ac:dyDescent="0.35">
      <c r="A117" s="15" t="str">
        <f>VLOOKUP(B117,'[1]Tabla 1 Arsenal'!$B$11:$K$380,10,FALSE)</f>
        <v>P226</v>
      </c>
      <c r="B117" s="15">
        <v>106074</v>
      </c>
      <c r="C117" s="16" t="s">
        <v>169</v>
      </c>
      <c r="D117" s="16" t="s">
        <v>22</v>
      </c>
      <c r="E117" s="17">
        <v>3784</v>
      </c>
      <c r="F117" s="18" t="s">
        <v>23</v>
      </c>
      <c r="G117" s="19">
        <v>10</v>
      </c>
      <c r="H117" s="19">
        <v>5</v>
      </c>
      <c r="I117" s="19">
        <v>10</v>
      </c>
      <c r="J117" s="19">
        <v>5</v>
      </c>
      <c r="K117" s="19">
        <v>5</v>
      </c>
      <c r="L117" s="19">
        <v>5</v>
      </c>
      <c r="M117" s="19">
        <v>23</v>
      </c>
      <c r="N117" s="19">
        <v>11</v>
      </c>
      <c r="O117" s="19">
        <v>5</v>
      </c>
      <c r="P117" s="19">
        <v>0</v>
      </c>
      <c r="Q117" s="19">
        <v>5</v>
      </c>
      <c r="R117" s="19">
        <v>11</v>
      </c>
      <c r="S117" s="19">
        <v>6</v>
      </c>
      <c r="T117" s="19">
        <v>10</v>
      </c>
      <c r="U117" s="19">
        <v>21</v>
      </c>
      <c r="V117" s="19">
        <v>25</v>
      </c>
      <c r="W117" s="19">
        <v>11</v>
      </c>
      <c r="X117" s="19">
        <v>2</v>
      </c>
      <c r="Y117" s="19">
        <v>4</v>
      </c>
      <c r="Z117" s="19">
        <v>23</v>
      </c>
      <c r="AA117" s="19">
        <v>9</v>
      </c>
      <c r="AB117" s="19">
        <v>0</v>
      </c>
      <c r="AC117" s="19">
        <v>0</v>
      </c>
      <c r="AD117" s="19">
        <v>0</v>
      </c>
      <c r="AE117" s="19">
        <f t="shared" si="7"/>
        <v>95</v>
      </c>
      <c r="AF117" s="19">
        <f t="shared" si="8"/>
        <v>111</v>
      </c>
      <c r="AG117" s="20">
        <f t="shared" si="9"/>
        <v>7.916666666666667</v>
      </c>
      <c r="AH117" s="20">
        <f t="shared" si="10"/>
        <v>9.25</v>
      </c>
      <c r="AI117" s="21"/>
      <c r="AJ117" s="13"/>
      <c r="AK117" s="13"/>
    </row>
    <row r="118" spans="1:37" x14ac:dyDescent="0.35">
      <c r="A118" s="15" t="str">
        <f>VLOOKUP(B118,'[1]Tabla 1 Arsenal'!$B$11:$K$380,10,FALSE)</f>
        <v>P109</v>
      </c>
      <c r="B118" s="15">
        <v>209151</v>
      </c>
      <c r="C118" s="16" t="s">
        <v>170</v>
      </c>
      <c r="D118" s="16" t="s">
        <v>22</v>
      </c>
      <c r="E118" s="17">
        <v>102222</v>
      </c>
      <c r="F118" s="18" t="s">
        <v>55</v>
      </c>
      <c r="G118" s="19">
        <v>3</v>
      </c>
      <c r="H118" s="19">
        <v>7</v>
      </c>
      <c r="I118" s="19">
        <v>9</v>
      </c>
      <c r="J118" s="19">
        <v>13</v>
      </c>
      <c r="K118" s="19">
        <v>22</v>
      </c>
      <c r="L118" s="19">
        <v>19</v>
      </c>
      <c r="M118" s="19">
        <v>18</v>
      </c>
      <c r="N118" s="19">
        <v>50</v>
      </c>
      <c r="O118" s="19">
        <v>32</v>
      </c>
      <c r="P118" s="19">
        <v>47</v>
      </c>
      <c r="Q118" s="19">
        <v>31</v>
      </c>
      <c r="R118" s="19">
        <v>25</v>
      </c>
      <c r="S118" s="19">
        <v>31</v>
      </c>
      <c r="T118" s="19">
        <v>29</v>
      </c>
      <c r="U118" s="19">
        <v>32</v>
      </c>
      <c r="V118" s="19">
        <v>18</v>
      </c>
      <c r="W118" s="19">
        <v>23</v>
      </c>
      <c r="X118" s="19">
        <v>15</v>
      </c>
      <c r="Y118" s="19">
        <v>38</v>
      </c>
      <c r="Z118" s="19">
        <v>30</v>
      </c>
      <c r="AA118" s="19">
        <v>27</v>
      </c>
      <c r="AB118" s="19">
        <v>27</v>
      </c>
      <c r="AC118" s="19">
        <v>27</v>
      </c>
      <c r="AD118" s="19">
        <v>25</v>
      </c>
      <c r="AE118" s="19">
        <f t="shared" si="7"/>
        <v>276</v>
      </c>
      <c r="AF118" s="19">
        <f t="shared" si="8"/>
        <v>322</v>
      </c>
      <c r="AG118" s="20">
        <f t="shared" si="9"/>
        <v>23</v>
      </c>
      <c r="AH118" s="20">
        <f t="shared" si="10"/>
        <v>26.833333333333332</v>
      </c>
      <c r="AI118" s="21"/>
      <c r="AJ118" s="13"/>
      <c r="AK118" s="13"/>
    </row>
    <row r="119" spans="1:37" x14ac:dyDescent="0.35">
      <c r="A119" s="15" t="str">
        <f>VLOOKUP(B119,'[1]Tabla 1 Arsenal'!$B$11:$K$380,10,FALSE)</f>
        <v>P272</v>
      </c>
      <c r="B119" s="15">
        <v>209041</v>
      </c>
      <c r="C119" s="16" t="s">
        <v>171</v>
      </c>
      <c r="D119" s="16" t="s">
        <v>22</v>
      </c>
      <c r="E119" s="17">
        <v>22015</v>
      </c>
      <c r="F119" s="18" t="s">
        <v>55</v>
      </c>
      <c r="G119" s="19">
        <v>14</v>
      </c>
      <c r="H119" s="19">
        <v>0</v>
      </c>
      <c r="I119" s="19">
        <v>0</v>
      </c>
      <c r="J119" s="19">
        <v>0</v>
      </c>
      <c r="K119" s="19">
        <v>166</v>
      </c>
      <c r="L119" s="19">
        <v>178</v>
      </c>
      <c r="M119" s="19">
        <v>135</v>
      </c>
      <c r="N119" s="19">
        <v>0</v>
      </c>
      <c r="O119" s="19">
        <v>0</v>
      </c>
      <c r="P119" s="19">
        <v>33</v>
      </c>
      <c r="Q119" s="19">
        <v>37</v>
      </c>
      <c r="R119" s="19">
        <v>2</v>
      </c>
      <c r="S119" s="19">
        <v>0</v>
      </c>
      <c r="T119" s="19">
        <v>23</v>
      </c>
      <c r="U119" s="19">
        <v>0</v>
      </c>
      <c r="V119" s="19">
        <v>8</v>
      </c>
      <c r="W119" s="19">
        <v>5</v>
      </c>
      <c r="X119" s="19">
        <v>5</v>
      </c>
      <c r="Y119" s="19">
        <v>64</v>
      </c>
      <c r="Z119" s="19">
        <v>126</v>
      </c>
      <c r="AA119" s="19">
        <v>120</v>
      </c>
      <c r="AB119" s="19">
        <v>112</v>
      </c>
      <c r="AC119" s="19">
        <v>88</v>
      </c>
      <c r="AD119" s="19">
        <v>106</v>
      </c>
      <c r="AE119" s="19">
        <f t="shared" si="7"/>
        <v>565</v>
      </c>
      <c r="AF119" s="19">
        <f t="shared" si="8"/>
        <v>657</v>
      </c>
      <c r="AG119" s="20">
        <f t="shared" si="9"/>
        <v>47.083333333333336</v>
      </c>
      <c r="AH119" s="20">
        <f t="shared" si="10"/>
        <v>54.75</v>
      </c>
      <c r="AI119" s="21"/>
      <c r="AJ119" s="13"/>
      <c r="AK119" s="13"/>
    </row>
    <row r="120" spans="1:37" x14ac:dyDescent="0.35">
      <c r="A120" s="15" t="str">
        <f>VLOOKUP(B120,'[1]Tabla 1 Arsenal'!$B$11:$K$380,10,FALSE)</f>
        <v>P172</v>
      </c>
      <c r="B120" s="15">
        <v>209059</v>
      </c>
      <c r="C120" s="16" t="s">
        <v>172</v>
      </c>
      <c r="D120" s="16" t="s">
        <v>22</v>
      </c>
      <c r="E120" s="17">
        <v>55066</v>
      </c>
      <c r="F120" s="18" t="s">
        <v>55</v>
      </c>
      <c r="G120" s="19">
        <v>212</v>
      </c>
      <c r="H120" s="19">
        <v>123</v>
      </c>
      <c r="I120" s="19">
        <v>130</v>
      </c>
      <c r="J120" s="19">
        <v>90</v>
      </c>
      <c r="K120" s="19">
        <v>134</v>
      </c>
      <c r="L120" s="19">
        <v>124</v>
      </c>
      <c r="M120" s="19">
        <v>198</v>
      </c>
      <c r="N120" s="19">
        <v>238</v>
      </c>
      <c r="O120" s="19">
        <v>82</v>
      </c>
      <c r="P120" s="19">
        <v>158</v>
      </c>
      <c r="Q120" s="19">
        <v>181</v>
      </c>
      <c r="R120" s="19">
        <v>232</v>
      </c>
      <c r="S120" s="19">
        <v>240</v>
      </c>
      <c r="T120" s="19">
        <v>193</v>
      </c>
      <c r="U120" s="19">
        <v>145</v>
      </c>
      <c r="V120" s="19">
        <v>179</v>
      </c>
      <c r="W120" s="19">
        <v>218</v>
      </c>
      <c r="X120" s="19">
        <v>176</v>
      </c>
      <c r="Y120" s="19">
        <v>263</v>
      </c>
      <c r="Z120" s="19">
        <v>201</v>
      </c>
      <c r="AA120" s="19">
        <v>154</v>
      </c>
      <c r="AB120" s="19">
        <v>115</v>
      </c>
      <c r="AC120" s="19">
        <v>200</v>
      </c>
      <c r="AD120" s="19">
        <v>121</v>
      </c>
      <c r="AE120" s="19">
        <f t="shared" si="7"/>
        <v>1902</v>
      </c>
      <c r="AF120" s="19">
        <f t="shared" si="8"/>
        <v>2205</v>
      </c>
      <c r="AG120" s="20">
        <f t="shared" si="9"/>
        <v>158.5</v>
      </c>
      <c r="AH120" s="20">
        <f t="shared" si="10"/>
        <v>183.75</v>
      </c>
      <c r="AI120" s="21"/>
      <c r="AJ120" s="13"/>
      <c r="AK120" s="13"/>
    </row>
    <row r="121" spans="1:37" x14ac:dyDescent="0.35">
      <c r="A121" s="15" t="str">
        <f>VLOOKUP(B121,'[1]Tabla 1 Arsenal'!$B$11:$K$380,10,FALSE)</f>
        <v>P014</v>
      </c>
      <c r="B121" s="15">
        <v>108017</v>
      </c>
      <c r="C121" s="16" t="s">
        <v>173</v>
      </c>
      <c r="D121" s="16" t="s">
        <v>135</v>
      </c>
      <c r="E121" s="17">
        <v>643</v>
      </c>
      <c r="F121" s="18" t="s">
        <v>23</v>
      </c>
      <c r="G121" s="19">
        <v>125</v>
      </c>
      <c r="H121" s="19">
        <v>184</v>
      </c>
      <c r="I121" s="19">
        <v>165</v>
      </c>
      <c r="J121" s="19">
        <v>113</v>
      </c>
      <c r="K121" s="19">
        <v>71</v>
      </c>
      <c r="L121" s="19">
        <v>114</v>
      </c>
      <c r="M121" s="19">
        <v>257</v>
      </c>
      <c r="N121" s="19">
        <v>241</v>
      </c>
      <c r="O121" s="19">
        <v>108</v>
      </c>
      <c r="P121" s="19">
        <v>117</v>
      </c>
      <c r="Q121" s="19">
        <v>115</v>
      </c>
      <c r="R121" s="19">
        <v>121</v>
      </c>
      <c r="S121" s="19">
        <v>131</v>
      </c>
      <c r="T121" s="19">
        <v>145</v>
      </c>
      <c r="U121" s="19">
        <v>225</v>
      </c>
      <c r="V121" s="19">
        <v>290</v>
      </c>
      <c r="W121" s="19">
        <v>209</v>
      </c>
      <c r="X121" s="19">
        <v>97</v>
      </c>
      <c r="Y121" s="19">
        <v>141</v>
      </c>
      <c r="Z121" s="19">
        <v>210</v>
      </c>
      <c r="AA121" s="19">
        <v>83</v>
      </c>
      <c r="AB121" s="19">
        <v>214</v>
      </c>
      <c r="AC121" s="19">
        <v>122</v>
      </c>
      <c r="AD121" s="19">
        <v>130</v>
      </c>
      <c r="AE121" s="19">
        <f t="shared" si="7"/>
        <v>1731</v>
      </c>
      <c r="AF121" s="19">
        <f t="shared" si="8"/>
        <v>1997</v>
      </c>
      <c r="AG121" s="20">
        <f t="shared" si="9"/>
        <v>144.25</v>
      </c>
      <c r="AH121" s="20">
        <f t="shared" si="10"/>
        <v>166.41666666666666</v>
      </c>
      <c r="AI121" s="21"/>
      <c r="AJ121" s="13"/>
      <c r="AK121" s="13"/>
    </row>
    <row r="122" spans="1:37" x14ac:dyDescent="0.35">
      <c r="A122" s="15" t="str">
        <f>VLOOKUP(B122,'[1]Tabla 1 Arsenal'!$B$11:$K$380,10,FALSE)</f>
        <v>P255</v>
      </c>
      <c r="B122" s="15">
        <v>102104</v>
      </c>
      <c r="C122" s="16" t="s">
        <v>174</v>
      </c>
      <c r="D122" s="16" t="s">
        <v>39</v>
      </c>
      <c r="E122" s="17">
        <v>51230</v>
      </c>
      <c r="F122" s="18" t="s">
        <v>23</v>
      </c>
      <c r="G122" s="19">
        <v>12</v>
      </c>
      <c r="H122" s="19">
        <v>0</v>
      </c>
      <c r="I122" s="19">
        <v>19</v>
      </c>
      <c r="J122" s="19">
        <v>11</v>
      </c>
      <c r="K122" s="19">
        <v>0</v>
      </c>
      <c r="L122" s="19">
        <v>4</v>
      </c>
      <c r="M122" s="19">
        <v>4</v>
      </c>
      <c r="N122" s="19">
        <v>0</v>
      </c>
      <c r="O122" s="19">
        <v>7</v>
      </c>
      <c r="P122" s="19">
        <v>1</v>
      </c>
      <c r="Q122" s="19">
        <v>0</v>
      </c>
      <c r="R122" s="19">
        <v>3</v>
      </c>
      <c r="S122" s="19">
        <v>10</v>
      </c>
      <c r="T122" s="19">
        <v>13</v>
      </c>
      <c r="U122" s="19">
        <v>3</v>
      </c>
      <c r="V122" s="19">
        <v>30</v>
      </c>
      <c r="W122" s="19">
        <v>0</v>
      </c>
      <c r="X122" s="19">
        <v>0</v>
      </c>
      <c r="Y122" s="19">
        <v>12</v>
      </c>
      <c r="Z122" s="19">
        <v>2</v>
      </c>
      <c r="AA122" s="19">
        <v>0</v>
      </c>
      <c r="AB122" s="19">
        <v>0</v>
      </c>
      <c r="AC122" s="19">
        <v>0</v>
      </c>
      <c r="AD122" s="19">
        <v>0</v>
      </c>
      <c r="AE122" s="19">
        <f t="shared" si="7"/>
        <v>61</v>
      </c>
      <c r="AF122" s="19">
        <f t="shared" si="8"/>
        <v>70</v>
      </c>
      <c r="AG122" s="20">
        <f t="shared" si="9"/>
        <v>5.083333333333333</v>
      </c>
      <c r="AH122" s="20">
        <f t="shared" si="10"/>
        <v>5.833333333333333</v>
      </c>
      <c r="AI122" s="21"/>
      <c r="AJ122" s="13"/>
      <c r="AK122" s="13"/>
    </row>
    <row r="123" spans="1:37" x14ac:dyDescent="0.35">
      <c r="A123" s="15" t="str">
        <f>VLOOKUP(B123,'[1]Tabla 1 Arsenal'!$B$11:$K$380,10,FALSE)</f>
        <v>P090</v>
      </c>
      <c r="B123" s="15">
        <v>103016</v>
      </c>
      <c r="C123" s="16" t="s">
        <v>175</v>
      </c>
      <c r="D123" s="16" t="s">
        <v>32</v>
      </c>
      <c r="E123" s="17">
        <v>157</v>
      </c>
      <c r="F123" s="18" t="s">
        <v>23</v>
      </c>
      <c r="G123" s="19">
        <v>843</v>
      </c>
      <c r="H123" s="19">
        <v>560</v>
      </c>
      <c r="I123" s="19">
        <v>810</v>
      </c>
      <c r="J123" s="19">
        <v>841</v>
      </c>
      <c r="K123" s="19">
        <v>695</v>
      </c>
      <c r="L123" s="19">
        <v>749</v>
      </c>
      <c r="M123" s="19">
        <v>950</v>
      </c>
      <c r="N123" s="19">
        <v>838</v>
      </c>
      <c r="O123" s="19">
        <v>885</v>
      </c>
      <c r="P123" s="19">
        <v>718</v>
      </c>
      <c r="Q123" s="19">
        <v>644</v>
      </c>
      <c r="R123" s="19">
        <v>665</v>
      </c>
      <c r="S123" s="19">
        <v>875</v>
      </c>
      <c r="T123" s="19">
        <v>877</v>
      </c>
      <c r="U123" s="19">
        <v>711</v>
      </c>
      <c r="V123" s="19">
        <v>1048</v>
      </c>
      <c r="W123" s="19">
        <v>1024</v>
      </c>
      <c r="X123" s="19">
        <v>867</v>
      </c>
      <c r="Y123" s="19">
        <v>925</v>
      </c>
      <c r="Z123" s="19">
        <v>924</v>
      </c>
      <c r="AA123" s="19">
        <v>714</v>
      </c>
      <c r="AB123" s="19">
        <v>953</v>
      </c>
      <c r="AC123" s="19">
        <v>741</v>
      </c>
      <c r="AD123" s="19">
        <v>821</v>
      </c>
      <c r="AE123" s="19">
        <f t="shared" si="7"/>
        <v>9198</v>
      </c>
      <c r="AF123" s="19">
        <f t="shared" si="8"/>
        <v>10480</v>
      </c>
      <c r="AG123" s="20">
        <f t="shared" si="9"/>
        <v>766.5</v>
      </c>
      <c r="AH123" s="20">
        <f t="shared" si="10"/>
        <v>873.33333333333337</v>
      </c>
      <c r="AI123" s="21"/>
      <c r="AJ123" s="13"/>
      <c r="AK123" s="13"/>
    </row>
    <row r="124" spans="1:37" x14ac:dyDescent="0.35">
      <c r="A124" s="15" t="str">
        <f>VLOOKUP(B124,'[1]Tabla 1 Arsenal'!$B$11:$K$380,10,FALSE)</f>
        <v>P008</v>
      </c>
      <c r="B124" s="15">
        <v>106019</v>
      </c>
      <c r="C124" s="16" t="s">
        <v>176</v>
      </c>
      <c r="D124" s="16" t="s">
        <v>37</v>
      </c>
      <c r="E124" s="17">
        <v>583</v>
      </c>
      <c r="F124" s="18" t="s">
        <v>23</v>
      </c>
      <c r="G124" s="19">
        <v>127</v>
      </c>
      <c r="H124" s="19">
        <v>308</v>
      </c>
      <c r="I124" s="19">
        <v>306</v>
      </c>
      <c r="J124" s="19">
        <v>153</v>
      </c>
      <c r="K124" s="19">
        <v>177</v>
      </c>
      <c r="L124" s="19">
        <v>231</v>
      </c>
      <c r="M124" s="19">
        <v>200</v>
      </c>
      <c r="N124" s="19">
        <v>114</v>
      </c>
      <c r="O124" s="19">
        <v>192</v>
      </c>
      <c r="P124" s="19">
        <v>228</v>
      </c>
      <c r="Q124" s="19">
        <v>77</v>
      </c>
      <c r="R124" s="19">
        <v>198</v>
      </c>
      <c r="S124" s="19">
        <v>103</v>
      </c>
      <c r="T124" s="19">
        <v>69</v>
      </c>
      <c r="U124" s="19">
        <v>216</v>
      </c>
      <c r="V124" s="19">
        <v>279</v>
      </c>
      <c r="W124" s="19">
        <v>217</v>
      </c>
      <c r="X124" s="19">
        <v>161</v>
      </c>
      <c r="Y124" s="19">
        <v>422</v>
      </c>
      <c r="Z124" s="19">
        <v>314</v>
      </c>
      <c r="AA124" s="19">
        <v>227</v>
      </c>
      <c r="AB124" s="19">
        <v>197</v>
      </c>
      <c r="AC124" s="19">
        <v>167</v>
      </c>
      <c r="AD124" s="19">
        <v>260</v>
      </c>
      <c r="AE124" s="19">
        <f t="shared" si="7"/>
        <v>2311</v>
      </c>
      <c r="AF124" s="19">
        <f t="shared" si="8"/>
        <v>2632</v>
      </c>
      <c r="AG124" s="20">
        <f t="shared" si="9"/>
        <v>192.58333333333334</v>
      </c>
      <c r="AH124" s="20">
        <f t="shared" si="10"/>
        <v>219.33333333333334</v>
      </c>
      <c r="AI124" s="21"/>
      <c r="AJ124" s="13"/>
      <c r="AK124" s="13"/>
    </row>
    <row r="125" spans="1:37" x14ac:dyDescent="0.35">
      <c r="A125" s="15" t="str">
        <f>VLOOKUP(B125,'[1]Tabla 1 Arsenal'!$B$11:$K$380,10,FALSE)</f>
        <v>P218</v>
      </c>
      <c r="B125" s="15">
        <v>102134</v>
      </c>
      <c r="C125" s="16" t="s">
        <v>177</v>
      </c>
      <c r="D125" s="16" t="s">
        <v>39</v>
      </c>
      <c r="E125" s="17">
        <v>130</v>
      </c>
      <c r="F125" s="18" t="s">
        <v>23</v>
      </c>
      <c r="G125" s="19">
        <v>120</v>
      </c>
      <c r="H125" s="19">
        <v>60</v>
      </c>
      <c r="I125" s="19">
        <v>60</v>
      </c>
      <c r="J125" s="19">
        <v>0</v>
      </c>
      <c r="K125" s="19">
        <v>171</v>
      </c>
      <c r="L125" s="19">
        <v>240</v>
      </c>
      <c r="M125" s="19">
        <v>247</v>
      </c>
      <c r="N125" s="19">
        <v>226</v>
      </c>
      <c r="O125" s="19">
        <v>137</v>
      </c>
      <c r="P125" s="19">
        <v>117</v>
      </c>
      <c r="Q125" s="19">
        <v>220</v>
      </c>
      <c r="R125" s="19">
        <v>150</v>
      </c>
      <c r="S125" s="19">
        <v>285</v>
      </c>
      <c r="T125" s="19">
        <v>155</v>
      </c>
      <c r="U125" s="19">
        <v>365</v>
      </c>
      <c r="V125" s="19">
        <v>185</v>
      </c>
      <c r="W125" s="19">
        <v>210</v>
      </c>
      <c r="X125" s="19">
        <v>79</v>
      </c>
      <c r="Y125" s="19">
        <v>302</v>
      </c>
      <c r="Z125" s="19">
        <v>28</v>
      </c>
      <c r="AA125" s="19">
        <v>60</v>
      </c>
      <c r="AB125" s="19">
        <v>150</v>
      </c>
      <c r="AC125" s="19">
        <v>111</v>
      </c>
      <c r="AD125" s="19">
        <v>60</v>
      </c>
      <c r="AE125" s="19">
        <f t="shared" si="7"/>
        <v>1748</v>
      </c>
      <c r="AF125" s="19">
        <f t="shared" si="8"/>
        <v>1990</v>
      </c>
      <c r="AG125" s="20">
        <f t="shared" si="9"/>
        <v>145.66666666666666</v>
      </c>
      <c r="AH125" s="20">
        <f t="shared" si="10"/>
        <v>165.83333333333334</v>
      </c>
      <c r="AI125" s="21"/>
      <c r="AJ125" s="13"/>
      <c r="AK125" s="13"/>
    </row>
    <row r="126" spans="1:37" x14ac:dyDescent="0.35">
      <c r="A126" s="15" t="str">
        <f>VLOOKUP(B126,'[1]Tabla 1 Arsenal'!$B$11:$K$380,10,FALSE)</f>
        <v>P233</v>
      </c>
      <c r="B126" s="15">
        <v>104032</v>
      </c>
      <c r="C126" s="16" t="s">
        <v>178</v>
      </c>
      <c r="D126" s="16" t="s">
        <v>37</v>
      </c>
      <c r="E126" s="17">
        <v>300</v>
      </c>
      <c r="F126" s="18" t="s">
        <v>23</v>
      </c>
      <c r="G126" s="19">
        <v>467</v>
      </c>
      <c r="H126" s="19">
        <v>452</v>
      </c>
      <c r="I126" s="19">
        <v>505</v>
      </c>
      <c r="J126" s="19">
        <v>405</v>
      </c>
      <c r="K126" s="19">
        <v>700</v>
      </c>
      <c r="L126" s="19">
        <v>718</v>
      </c>
      <c r="M126" s="19">
        <v>805</v>
      </c>
      <c r="N126" s="19">
        <v>689</v>
      </c>
      <c r="O126" s="19">
        <v>546</v>
      </c>
      <c r="P126" s="19">
        <v>514</v>
      </c>
      <c r="Q126" s="19">
        <v>614</v>
      </c>
      <c r="R126" s="19">
        <v>611</v>
      </c>
      <c r="S126" s="19">
        <v>859</v>
      </c>
      <c r="T126" s="19">
        <v>503</v>
      </c>
      <c r="U126" s="19">
        <v>584</v>
      </c>
      <c r="V126" s="19">
        <v>559</v>
      </c>
      <c r="W126" s="19">
        <v>518</v>
      </c>
      <c r="X126" s="19">
        <v>487</v>
      </c>
      <c r="Y126" s="19">
        <v>713</v>
      </c>
      <c r="Z126" s="19">
        <v>760</v>
      </c>
      <c r="AA126" s="19">
        <v>851</v>
      </c>
      <c r="AB126" s="19">
        <v>820</v>
      </c>
      <c r="AC126" s="19">
        <v>759</v>
      </c>
      <c r="AD126" s="19">
        <v>582</v>
      </c>
      <c r="AE126" s="19">
        <f t="shared" si="7"/>
        <v>7026</v>
      </c>
      <c r="AF126" s="19">
        <f t="shared" si="8"/>
        <v>7995</v>
      </c>
      <c r="AG126" s="20">
        <f t="shared" si="9"/>
        <v>585.5</v>
      </c>
      <c r="AH126" s="20">
        <f t="shared" si="10"/>
        <v>666.25</v>
      </c>
      <c r="AI126" s="21"/>
      <c r="AJ126" s="13"/>
      <c r="AK126" s="13"/>
    </row>
    <row r="127" spans="1:37" x14ac:dyDescent="0.35">
      <c r="A127" s="15" t="str">
        <f>VLOOKUP(B127,'[1]Tabla 1 Arsenal'!$B$11:$K$380,10,FALSE)</f>
        <v>P310</v>
      </c>
      <c r="B127" s="15">
        <v>102075</v>
      </c>
      <c r="C127" s="16" t="s">
        <v>179</v>
      </c>
      <c r="D127" s="16" t="s">
        <v>32</v>
      </c>
      <c r="E127" s="17">
        <v>10</v>
      </c>
      <c r="F127" s="18" t="s">
        <v>23</v>
      </c>
      <c r="G127" s="19">
        <v>3345</v>
      </c>
      <c r="H127" s="19">
        <v>4107</v>
      </c>
      <c r="I127" s="19">
        <v>4738</v>
      </c>
      <c r="J127" s="19">
        <v>3975</v>
      </c>
      <c r="K127" s="19">
        <v>4738</v>
      </c>
      <c r="L127" s="19">
        <v>4193</v>
      </c>
      <c r="M127" s="19">
        <v>3838</v>
      </c>
      <c r="N127" s="19">
        <v>5154</v>
      </c>
      <c r="O127" s="19">
        <v>4054</v>
      </c>
      <c r="P127" s="19">
        <v>5148</v>
      </c>
      <c r="Q127" s="19">
        <v>4646</v>
      </c>
      <c r="R127" s="19">
        <v>4405</v>
      </c>
      <c r="S127" s="19">
        <v>5053</v>
      </c>
      <c r="T127" s="19">
        <v>4910</v>
      </c>
      <c r="U127" s="19">
        <v>4458</v>
      </c>
      <c r="V127" s="19">
        <v>5250</v>
      </c>
      <c r="W127" s="19">
        <v>5002</v>
      </c>
      <c r="X127" s="19">
        <v>4184</v>
      </c>
      <c r="Y127" s="19">
        <v>5418</v>
      </c>
      <c r="Z127" s="19">
        <v>5447</v>
      </c>
      <c r="AA127" s="19">
        <v>4793</v>
      </c>
      <c r="AB127" s="19">
        <v>5235</v>
      </c>
      <c r="AC127" s="19">
        <v>4829</v>
      </c>
      <c r="AD127" s="19">
        <v>4686</v>
      </c>
      <c r="AE127" s="19">
        <f t="shared" si="7"/>
        <v>52341</v>
      </c>
      <c r="AF127" s="19">
        <f t="shared" si="8"/>
        <v>59265</v>
      </c>
      <c r="AG127" s="20">
        <f t="shared" si="9"/>
        <v>4361.75</v>
      </c>
      <c r="AH127" s="20">
        <f t="shared" si="10"/>
        <v>4938.75</v>
      </c>
      <c r="AI127" s="21"/>
      <c r="AJ127" s="13"/>
      <c r="AK127" s="13"/>
    </row>
    <row r="128" spans="1:37" x14ac:dyDescent="0.35">
      <c r="A128" s="15" t="str">
        <f>VLOOKUP(B128,'[1]Tabla 1 Arsenal'!$B$11:$K$380,10,FALSE)</f>
        <v>P138</v>
      </c>
      <c r="B128" s="15">
        <v>106021</v>
      </c>
      <c r="C128" s="16" t="s">
        <v>180</v>
      </c>
      <c r="D128" s="16" t="s">
        <v>37</v>
      </c>
      <c r="E128" s="17">
        <v>500</v>
      </c>
      <c r="F128" s="18" t="s">
        <v>23</v>
      </c>
      <c r="G128" s="19">
        <v>164</v>
      </c>
      <c r="H128" s="19">
        <v>163</v>
      </c>
      <c r="I128" s="19">
        <v>135</v>
      </c>
      <c r="J128" s="19">
        <v>87</v>
      </c>
      <c r="K128" s="19">
        <v>74</v>
      </c>
      <c r="L128" s="19">
        <v>101</v>
      </c>
      <c r="M128" s="19">
        <v>153</v>
      </c>
      <c r="N128" s="19">
        <v>61</v>
      </c>
      <c r="O128" s="19">
        <v>109</v>
      </c>
      <c r="P128" s="19">
        <v>91</v>
      </c>
      <c r="Q128" s="19">
        <v>122</v>
      </c>
      <c r="R128" s="19">
        <v>84</v>
      </c>
      <c r="S128" s="19">
        <v>34</v>
      </c>
      <c r="T128" s="19">
        <v>172</v>
      </c>
      <c r="U128" s="19">
        <v>236</v>
      </c>
      <c r="V128" s="19">
        <v>102</v>
      </c>
      <c r="W128" s="19">
        <v>98</v>
      </c>
      <c r="X128" s="19">
        <v>85</v>
      </c>
      <c r="Y128" s="19">
        <v>85</v>
      </c>
      <c r="Z128" s="19">
        <v>206</v>
      </c>
      <c r="AA128" s="19">
        <v>72</v>
      </c>
      <c r="AB128" s="19">
        <v>216</v>
      </c>
      <c r="AC128" s="19">
        <v>121</v>
      </c>
      <c r="AD128" s="19">
        <v>94</v>
      </c>
      <c r="AE128" s="19">
        <f t="shared" si="7"/>
        <v>1344</v>
      </c>
      <c r="AF128" s="19">
        <f t="shared" si="8"/>
        <v>1521</v>
      </c>
      <c r="AG128" s="20">
        <f t="shared" si="9"/>
        <v>112</v>
      </c>
      <c r="AH128" s="20">
        <f t="shared" si="10"/>
        <v>126.75</v>
      </c>
      <c r="AI128" s="21"/>
      <c r="AJ128" s="13"/>
      <c r="AK128" s="13"/>
    </row>
    <row r="129" spans="1:37" x14ac:dyDescent="0.35">
      <c r="A129" s="15" t="str">
        <f>VLOOKUP(B129,'[1]Tabla 1 Arsenal'!$B$11:$K$380,10,FALSE)</f>
        <v>P188</v>
      </c>
      <c r="B129" s="15">
        <v>106096</v>
      </c>
      <c r="C129" s="16" t="s">
        <v>181</v>
      </c>
      <c r="D129" s="16" t="s">
        <v>37</v>
      </c>
      <c r="E129" s="17">
        <v>1940</v>
      </c>
      <c r="F129" s="18" t="s">
        <v>23</v>
      </c>
      <c r="G129" s="19">
        <v>2</v>
      </c>
      <c r="H129" s="19">
        <v>6</v>
      </c>
      <c r="I129" s="19">
        <v>3</v>
      </c>
      <c r="J129" s="19">
        <v>8</v>
      </c>
      <c r="K129" s="19">
        <v>0</v>
      </c>
      <c r="L129" s="19">
        <v>3</v>
      </c>
      <c r="M129" s="19">
        <v>7</v>
      </c>
      <c r="N129" s="19">
        <v>9</v>
      </c>
      <c r="O129" s="19">
        <v>4</v>
      </c>
      <c r="P129" s="19">
        <v>5</v>
      </c>
      <c r="Q129" s="19">
        <v>0</v>
      </c>
      <c r="R129" s="19">
        <v>0</v>
      </c>
      <c r="S129" s="19">
        <v>12</v>
      </c>
      <c r="T129" s="19">
        <v>7</v>
      </c>
      <c r="U129" s="19">
        <v>6</v>
      </c>
      <c r="V129" s="19">
        <v>6</v>
      </c>
      <c r="W129" s="19">
        <v>1</v>
      </c>
      <c r="X129" s="19">
        <v>0</v>
      </c>
      <c r="Y129" s="19">
        <v>1</v>
      </c>
      <c r="Z129" s="19">
        <v>6</v>
      </c>
      <c r="AA129" s="19">
        <v>2</v>
      </c>
      <c r="AB129" s="19">
        <v>3</v>
      </c>
      <c r="AC129" s="19">
        <v>3</v>
      </c>
      <c r="AD129" s="19">
        <v>6</v>
      </c>
      <c r="AE129" s="19">
        <f t="shared" si="7"/>
        <v>47</v>
      </c>
      <c r="AF129" s="19">
        <f t="shared" si="8"/>
        <v>53</v>
      </c>
      <c r="AG129" s="20">
        <f t="shared" si="9"/>
        <v>3.9166666666666665</v>
      </c>
      <c r="AH129" s="20">
        <f t="shared" si="10"/>
        <v>4.416666666666667</v>
      </c>
      <c r="AI129" s="21"/>
      <c r="AJ129" s="13"/>
      <c r="AK129" s="13"/>
    </row>
    <row r="130" spans="1:37" x14ac:dyDescent="0.35">
      <c r="A130" s="15" t="str">
        <f>VLOOKUP(B130,'[1]Tabla 1 Arsenal'!$B$11:$K$380,10,FALSE)</f>
        <v>P213</v>
      </c>
      <c r="B130" s="15">
        <v>102105</v>
      </c>
      <c r="C130" s="16" t="s">
        <v>182</v>
      </c>
      <c r="D130" s="16" t="s">
        <v>39</v>
      </c>
      <c r="E130" s="17">
        <v>30345</v>
      </c>
      <c r="F130" s="18" t="s">
        <v>23</v>
      </c>
      <c r="G130" s="19">
        <v>458</v>
      </c>
      <c r="H130" s="19">
        <v>401</v>
      </c>
      <c r="I130" s="19">
        <v>132</v>
      </c>
      <c r="J130" s="19">
        <v>0</v>
      </c>
      <c r="K130" s="19">
        <v>141</v>
      </c>
      <c r="L130" s="19">
        <v>77</v>
      </c>
      <c r="M130" s="19">
        <v>0</v>
      </c>
      <c r="N130" s="19">
        <v>367</v>
      </c>
      <c r="O130" s="19">
        <v>427</v>
      </c>
      <c r="P130" s="19">
        <v>62</v>
      </c>
      <c r="Q130" s="19">
        <v>0</v>
      </c>
      <c r="R130" s="19">
        <v>4</v>
      </c>
      <c r="S130" s="19">
        <v>0</v>
      </c>
      <c r="T130" s="19">
        <v>0</v>
      </c>
      <c r="U130" s="19">
        <v>0</v>
      </c>
      <c r="V130" s="19">
        <v>5</v>
      </c>
      <c r="W130" s="19">
        <v>391</v>
      </c>
      <c r="X130" s="19">
        <v>207</v>
      </c>
      <c r="Y130" s="19">
        <v>295</v>
      </c>
      <c r="Z130" s="19">
        <v>475</v>
      </c>
      <c r="AA130" s="19">
        <v>396</v>
      </c>
      <c r="AB130" s="19">
        <v>121</v>
      </c>
      <c r="AC130" s="19">
        <v>172</v>
      </c>
      <c r="AD130" s="19">
        <v>271</v>
      </c>
      <c r="AE130" s="19">
        <f t="shared" si="7"/>
        <v>2069</v>
      </c>
      <c r="AF130" s="19">
        <f t="shared" si="8"/>
        <v>2333</v>
      </c>
      <c r="AG130" s="20">
        <f t="shared" si="9"/>
        <v>172.41666666666666</v>
      </c>
      <c r="AH130" s="20">
        <f t="shared" si="10"/>
        <v>194.41666666666666</v>
      </c>
      <c r="AI130" s="21"/>
      <c r="AJ130" s="13"/>
      <c r="AK130" s="13"/>
    </row>
    <row r="131" spans="1:37" x14ac:dyDescent="0.35">
      <c r="A131" s="15" t="str">
        <f>VLOOKUP(B131,'[1]Tabla 1 Arsenal'!$B$11:$K$380,10,FALSE)</f>
        <v>P005</v>
      </c>
      <c r="B131" s="15">
        <v>102037</v>
      </c>
      <c r="C131" s="16" t="s">
        <v>183</v>
      </c>
      <c r="D131" s="16" t="s">
        <v>32</v>
      </c>
      <c r="E131" s="17">
        <v>8</v>
      </c>
      <c r="F131" s="18" t="s">
        <v>23</v>
      </c>
      <c r="G131" s="19">
        <v>2334</v>
      </c>
      <c r="H131" s="19">
        <v>1921</v>
      </c>
      <c r="I131" s="19">
        <v>1981</v>
      </c>
      <c r="J131" s="19">
        <v>2082</v>
      </c>
      <c r="K131" s="19">
        <v>2515</v>
      </c>
      <c r="L131" s="19">
        <v>2029</v>
      </c>
      <c r="M131" s="19">
        <v>2200</v>
      </c>
      <c r="N131" s="19">
        <v>2422</v>
      </c>
      <c r="O131" s="19">
        <v>2523</v>
      </c>
      <c r="P131" s="19">
        <v>2036</v>
      </c>
      <c r="Q131" s="19">
        <v>2063</v>
      </c>
      <c r="R131" s="19">
        <v>2030</v>
      </c>
      <c r="S131" s="19">
        <v>2420</v>
      </c>
      <c r="T131" s="19">
        <v>1949</v>
      </c>
      <c r="U131" s="19">
        <v>2436</v>
      </c>
      <c r="V131" s="19">
        <v>2569</v>
      </c>
      <c r="W131" s="19">
        <v>2814</v>
      </c>
      <c r="X131" s="19">
        <v>2526</v>
      </c>
      <c r="Y131" s="19">
        <v>2576</v>
      </c>
      <c r="Z131" s="19">
        <v>2588</v>
      </c>
      <c r="AA131" s="19">
        <v>2289</v>
      </c>
      <c r="AB131" s="19">
        <v>2738</v>
      </c>
      <c r="AC131" s="19">
        <v>2137</v>
      </c>
      <c r="AD131" s="19">
        <v>2427</v>
      </c>
      <c r="AE131" s="19">
        <f t="shared" si="7"/>
        <v>26136</v>
      </c>
      <c r="AF131" s="19">
        <f t="shared" si="8"/>
        <v>29469</v>
      </c>
      <c r="AG131" s="20">
        <f t="shared" si="9"/>
        <v>2178</v>
      </c>
      <c r="AH131" s="20">
        <f t="shared" si="10"/>
        <v>2455.75</v>
      </c>
      <c r="AI131" s="21"/>
      <c r="AJ131" s="13"/>
      <c r="AK131" s="13"/>
    </row>
    <row r="132" spans="1:37" x14ac:dyDescent="0.35">
      <c r="A132" s="15" t="str">
        <f>VLOOKUP(B132,'[1]Tabla 1 Arsenal'!$B$11:$K$380,10,FALSE)</f>
        <v>P290</v>
      </c>
      <c r="B132" s="15">
        <v>106036</v>
      </c>
      <c r="C132" s="16" t="s">
        <v>184</v>
      </c>
      <c r="D132" s="16" t="s">
        <v>37</v>
      </c>
      <c r="E132" s="17">
        <v>90</v>
      </c>
      <c r="F132" s="18" t="s">
        <v>23</v>
      </c>
      <c r="G132" s="19">
        <v>22</v>
      </c>
      <c r="H132" s="19">
        <v>14</v>
      </c>
      <c r="I132" s="19">
        <v>21</v>
      </c>
      <c r="J132" s="19">
        <v>24</v>
      </c>
      <c r="K132" s="19">
        <v>30</v>
      </c>
      <c r="L132" s="19">
        <v>31</v>
      </c>
      <c r="M132" s="19">
        <v>18</v>
      </c>
      <c r="N132" s="19">
        <v>16</v>
      </c>
      <c r="O132" s="19">
        <v>45</v>
      </c>
      <c r="P132" s="19">
        <v>17</v>
      </c>
      <c r="Q132" s="19">
        <v>11</v>
      </c>
      <c r="R132" s="19">
        <v>20</v>
      </c>
      <c r="S132" s="19">
        <v>37</v>
      </c>
      <c r="T132" s="19">
        <v>14</v>
      </c>
      <c r="U132" s="19">
        <v>33</v>
      </c>
      <c r="V132" s="19">
        <v>36</v>
      </c>
      <c r="W132" s="19">
        <v>38</v>
      </c>
      <c r="X132" s="19">
        <v>5</v>
      </c>
      <c r="Y132" s="19">
        <v>36</v>
      </c>
      <c r="Z132" s="19">
        <v>33</v>
      </c>
      <c r="AA132" s="19">
        <v>22</v>
      </c>
      <c r="AB132" s="19">
        <v>41</v>
      </c>
      <c r="AC132" s="19">
        <v>8</v>
      </c>
      <c r="AD132" s="19">
        <v>0</v>
      </c>
      <c r="AE132" s="19">
        <f t="shared" si="7"/>
        <v>269</v>
      </c>
      <c r="AF132" s="19">
        <f t="shared" si="8"/>
        <v>303</v>
      </c>
      <c r="AG132" s="20">
        <f t="shared" si="9"/>
        <v>22.416666666666668</v>
      </c>
      <c r="AH132" s="20">
        <f t="shared" si="10"/>
        <v>25.25</v>
      </c>
      <c r="AI132" s="21"/>
      <c r="AJ132" s="13"/>
      <c r="AK132" s="13"/>
    </row>
    <row r="133" spans="1:37" x14ac:dyDescent="0.35">
      <c r="A133" s="15" t="str">
        <f>VLOOKUP(B133,'[1]Tabla 1 Arsenal'!$B$11:$K$380,10,FALSE)</f>
        <v>P311</v>
      </c>
      <c r="B133" s="15">
        <v>102026</v>
      </c>
      <c r="C133" s="16" t="s">
        <v>185</v>
      </c>
      <c r="D133" s="16" t="s">
        <v>37</v>
      </c>
      <c r="E133" s="17">
        <v>3213</v>
      </c>
      <c r="F133" s="18" t="s">
        <v>23</v>
      </c>
      <c r="G133" s="19">
        <v>26</v>
      </c>
      <c r="H133" s="19">
        <v>28</v>
      </c>
      <c r="I133" s="19">
        <v>40</v>
      </c>
      <c r="J133" s="19">
        <v>23</v>
      </c>
      <c r="K133" s="19">
        <v>28</v>
      </c>
      <c r="L133" s="19">
        <v>12</v>
      </c>
      <c r="M133" s="19">
        <v>34</v>
      </c>
      <c r="N133" s="19">
        <v>40</v>
      </c>
      <c r="O133" s="19">
        <v>17</v>
      </c>
      <c r="P133" s="19">
        <v>26</v>
      </c>
      <c r="Q133" s="19">
        <v>23</v>
      </c>
      <c r="R133" s="19">
        <v>26</v>
      </c>
      <c r="S133" s="19">
        <v>21</v>
      </c>
      <c r="T133" s="19">
        <v>17</v>
      </c>
      <c r="U133" s="19">
        <v>18</v>
      </c>
      <c r="V133" s="19">
        <v>30</v>
      </c>
      <c r="W133" s="19">
        <v>36</v>
      </c>
      <c r="X133" s="19">
        <v>37</v>
      </c>
      <c r="Y133" s="19">
        <v>45</v>
      </c>
      <c r="Z133" s="19">
        <v>52</v>
      </c>
      <c r="AA133" s="19">
        <v>19</v>
      </c>
      <c r="AB133" s="19">
        <v>34</v>
      </c>
      <c r="AC133" s="19">
        <v>26</v>
      </c>
      <c r="AD133" s="19">
        <v>28</v>
      </c>
      <c r="AE133" s="19">
        <f t="shared" si="7"/>
        <v>323</v>
      </c>
      <c r="AF133" s="19">
        <f t="shared" si="8"/>
        <v>363</v>
      </c>
      <c r="AG133" s="20">
        <f t="shared" si="9"/>
        <v>26.916666666666668</v>
      </c>
      <c r="AH133" s="20">
        <f t="shared" si="10"/>
        <v>30.25</v>
      </c>
      <c r="AI133" s="21"/>
      <c r="AJ133" s="13"/>
      <c r="AK133" s="13"/>
    </row>
    <row r="134" spans="1:37" x14ac:dyDescent="0.35">
      <c r="A134" s="15" t="str">
        <f>VLOOKUP(B134,'[1]Tabla 1 Arsenal'!$B$11:$K$380,10,FALSE)</f>
        <v>P081</v>
      </c>
      <c r="B134" s="15">
        <v>103011</v>
      </c>
      <c r="C134" s="16" t="s">
        <v>186</v>
      </c>
      <c r="D134" s="16" t="s">
        <v>23</v>
      </c>
      <c r="E134" s="17">
        <v>512</v>
      </c>
      <c r="F134" s="18" t="s">
        <v>23</v>
      </c>
      <c r="G134" s="19">
        <v>1</v>
      </c>
      <c r="H134" s="19">
        <v>4</v>
      </c>
      <c r="I134" s="19">
        <v>2</v>
      </c>
      <c r="J134" s="19">
        <v>8</v>
      </c>
      <c r="K134" s="19">
        <v>4</v>
      </c>
      <c r="L134" s="19">
        <v>2</v>
      </c>
      <c r="M134" s="19">
        <v>3</v>
      </c>
      <c r="N134" s="19">
        <v>0</v>
      </c>
      <c r="O134" s="19">
        <v>0</v>
      </c>
      <c r="P134" s="19">
        <v>4</v>
      </c>
      <c r="Q134" s="19">
        <v>2</v>
      </c>
      <c r="R134" s="19">
        <v>3</v>
      </c>
      <c r="S134" s="19">
        <v>3</v>
      </c>
      <c r="T134" s="19">
        <v>2</v>
      </c>
      <c r="U134" s="19">
        <v>5</v>
      </c>
      <c r="V134" s="19">
        <v>6</v>
      </c>
      <c r="W134" s="19">
        <v>1</v>
      </c>
      <c r="X134" s="19">
        <v>3</v>
      </c>
      <c r="Y134" s="19">
        <v>7</v>
      </c>
      <c r="Z134" s="19">
        <v>2</v>
      </c>
      <c r="AA134" s="19">
        <v>4</v>
      </c>
      <c r="AB134" s="19">
        <v>1</v>
      </c>
      <c r="AC134" s="19">
        <v>1</v>
      </c>
      <c r="AD134" s="19">
        <v>2</v>
      </c>
      <c r="AE134" s="19">
        <f t="shared" ref="AE134:AE197" si="11">SUM(G134:R134)</f>
        <v>33</v>
      </c>
      <c r="AF134" s="19">
        <f t="shared" ref="AF134:AF197" si="12">SUM(S134:AD134)</f>
        <v>37</v>
      </c>
      <c r="AG134" s="20">
        <f t="shared" ref="AG134:AG197" si="13">AVERAGE(G134:R134)</f>
        <v>2.75</v>
      </c>
      <c r="AH134" s="20">
        <f t="shared" si="10"/>
        <v>3.0833333333333335</v>
      </c>
      <c r="AI134" s="21"/>
      <c r="AJ134" s="13"/>
      <c r="AK134" s="13"/>
    </row>
    <row r="135" spans="1:37" x14ac:dyDescent="0.35">
      <c r="A135" s="15" t="str">
        <f>VLOOKUP(B135,'[1]Tabla 1 Arsenal'!$B$11:$K$380,10,FALSE)</f>
        <v>P111</v>
      </c>
      <c r="B135" s="15">
        <v>101060</v>
      </c>
      <c r="C135" s="16" t="s">
        <v>187</v>
      </c>
      <c r="D135" s="16" t="s">
        <v>86</v>
      </c>
      <c r="E135" s="17">
        <v>67</v>
      </c>
      <c r="F135" s="18" t="s">
        <v>23</v>
      </c>
      <c r="G135" s="19">
        <v>1505</v>
      </c>
      <c r="H135" s="19">
        <v>2112</v>
      </c>
      <c r="I135" s="19">
        <v>2465</v>
      </c>
      <c r="J135" s="19">
        <v>1725</v>
      </c>
      <c r="K135" s="19">
        <v>2798</v>
      </c>
      <c r="L135" s="19">
        <v>2540</v>
      </c>
      <c r="M135" s="19">
        <v>1251</v>
      </c>
      <c r="N135" s="19">
        <v>1885</v>
      </c>
      <c r="O135" s="19">
        <v>1493</v>
      </c>
      <c r="P135" s="19">
        <v>1683</v>
      </c>
      <c r="Q135" s="19">
        <v>1365</v>
      </c>
      <c r="R135" s="19">
        <v>1916</v>
      </c>
      <c r="S135" s="19">
        <v>2355</v>
      </c>
      <c r="T135" s="19">
        <v>2040</v>
      </c>
      <c r="U135" s="19">
        <v>1816</v>
      </c>
      <c r="V135" s="19">
        <v>3339</v>
      </c>
      <c r="W135" s="19">
        <v>2293</v>
      </c>
      <c r="X135" s="19">
        <v>1489</v>
      </c>
      <c r="Y135" s="19">
        <v>1908</v>
      </c>
      <c r="Z135" s="19">
        <v>2222</v>
      </c>
      <c r="AA135" s="19">
        <v>1353</v>
      </c>
      <c r="AB135" s="19">
        <v>2152</v>
      </c>
      <c r="AC135" s="19">
        <v>2370</v>
      </c>
      <c r="AD135" s="19">
        <v>2104</v>
      </c>
      <c r="AE135" s="19">
        <f t="shared" si="11"/>
        <v>22738</v>
      </c>
      <c r="AF135" s="19">
        <f t="shared" si="12"/>
        <v>25441</v>
      </c>
      <c r="AG135" s="20">
        <f t="shared" si="13"/>
        <v>1894.8333333333333</v>
      </c>
      <c r="AH135" s="20">
        <f t="shared" si="10"/>
        <v>2120.0833333333335</v>
      </c>
      <c r="AI135" s="21"/>
      <c r="AJ135" s="13"/>
      <c r="AK135" s="13"/>
    </row>
    <row r="136" spans="1:37" x14ac:dyDescent="0.35">
      <c r="A136" s="15" t="str">
        <f>VLOOKUP(B136,'[1]Tabla 1 Arsenal'!$B$11:$K$380,10,FALSE)</f>
        <v>P084</v>
      </c>
      <c r="B136" s="15">
        <v>104009</v>
      </c>
      <c r="C136" s="16" t="s">
        <v>188</v>
      </c>
      <c r="D136" s="16" t="s">
        <v>32</v>
      </c>
      <c r="E136" s="17">
        <v>7</v>
      </c>
      <c r="F136" s="18" t="s">
        <v>23</v>
      </c>
      <c r="G136" s="19">
        <v>1189</v>
      </c>
      <c r="H136" s="19">
        <v>1158</v>
      </c>
      <c r="I136" s="19">
        <v>1199</v>
      </c>
      <c r="J136" s="19">
        <v>1052</v>
      </c>
      <c r="K136" s="19">
        <v>1220</v>
      </c>
      <c r="L136" s="19">
        <v>861</v>
      </c>
      <c r="M136" s="19">
        <v>1058</v>
      </c>
      <c r="N136" s="19">
        <v>1361</v>
      </c>
      <c r="O136" s="19">
        <v>1202</v>
      </c>
      <c r="P136" s="19">
        <v>863</v>
      </c>
      <c r="Q136" s="19">
        <v>1374</v>
      </c>
      <c r="R136" s="19">
        <v>1179</v>
      </c>
      <c r="S136" s="19">
        <v>1117</v>
      </c>
      <c r="T136" s="19">
        <v>537</v>
      </c>
      <c r="U136" s="19">
        <v>1250</v>
      </c>
      <c r="V136" s="19">
        <v>1570</v>
      </c>
      <c r="W136" s="19">
        <v>1817</v>
      </c>
      <c r="X136" s="19">
        <v>1153</v>
      </c>
      <c r="Y136" s="19">
        <v>1441</v>
      </c>
      <c r="Z136" s="19">
        <v>1618</v>
      </c>
      <c r="AA136" s="19">
        <v>1222</v>
      </c>
      <c r="AB136" s="19">
        <v>1041</v>
      </c>
      <c r="AC136" s="19">
        <v>1099</v>
      </c>
      <c r="AD136" s="19">
        <v>1470</v>
      </c>
      <c r="AE136" s="19">
        <f t="shared" si="11"/>
        <v>13716</v>
      </c>
      <c r="AF136" s="19">
        <f t="shared" si="12"/>
        <v>15335</v>
      </c>
      <c r="AG136" s="20">
        <f t="shared" si="13"/>
        <v>1143</v>
      </c>
      <c r="AH136" s="20">
        <f t="shared" si="10"/>
        <v>1277.9166666666667</v>
      </c>
      <c r="AI136" s="21"/>
      <c r="AJ136" s="13"/>
      <c r="AK136" s="13"/>
    </row>
    <row r="137" spans="1:37" x14ac:dyDescent="0.35">
      <c r="A137" s="15" t="str">
        <f>VLOOKUP(B137,'[1]Tabla 1 Arsenal'!$B$11:$K$380,10,FALSE)</f>
        <v>P243</v>
      </c>
      <c r="B137" s="15">
        <v>106053</v>
      </c>
      <c r="C137" s="16" t="s">
        <v>189</v>
      </c>
      <c r="D137" s="16" t="s">
        <v>37</v>
      </c>
      <c r="E137" s="17">
        <v>225</v>
      </c>
      <c r="F137" s="18" t="s">
        <v>23</v>
      </c>
      <c r="G137" s="19">
        <v>5</v>
      </c>
      <c r="H137" s="19">
        <v>32</v>
      </c>
      <c r="I137" s="19">
        <v>41</v>
      </c>
      <c r="J137" s="19">
        <v>3</v>
      </c>
      <c r="K137" s="19">
        <v>0</v>
      </c>
      <c r="L137" s="19">
        <v>2</v>
      </c>
      <c r="M137" s="19">
        <v>13</v>
      </c>
      <c r="N137" s="19">
        <v>14</v>
      </c>
      <c r="O137" s="19">
        <v>6</v>
      </c>
      <c r="P137" s="19">
        <v>15</v>
      </c>
      <c r="Q137" s="19">
        <v>21</v>
      </c>
      <c r="R137" s="19">
        <v>27</v>
      </c>
      <c r="S137" s="19">
        <v>6</v>
      </c>
      <c r="T137" s="19">
        <v>55</v>
      </c>
      <c r="U137" s="19">
        <v>46</v>
      </c>
      <c r="V137" s="19">
        <v>34</v>
      </c>
      <c r="W137" s="19">
        <v>31</v>
      </c>
      <c r="X137" s="19">
        <v>0</v>
      </c>
      <c r="Y137" s="19">
        <v>10</v>
      </c>
      <c r="Z137" s="19">
        <v>17</v>
      </c>
      <c r="AA137" s="19">
        <v>0</v>
      </c>
      <c r="AB137" s="19">
        <v>1</v>
      </c>
      <c r="AC137" s="19">
        <v>0</v>
      </c>
      <c r="AD137" s="19">
        <v>0</v>
      </c>
      <c r="AE137" s="19">
        <f t="shared" si="11"/>
        <v>179</v>
      </c>
      <c r="AF137" s="19">
        <f t="shared" si="12"/>
        <v>200</v>
      </c>
      <c r="AG137" s="20">
        <f t="shared" si="13"/>
        <v>14.916666666666666</v>
      </c>
      <c r="AH137" s="20">
        <f t="shared" si="10"/>
        <v>16.666666666666668</v>
      </c>
      <c r="AI137" s="21"/>
      <c r="AJ137" s="13"/>
      <c r="AK137" s="13"/>
    </row>
    <row r="138" spans="1:37" x14ac:dyDescent="0.35">
      <c r="A138" s="15" t="str">
        <f>VLOOKUP(B138,'[1]Tabla 1 Arsenal'!$B$11:$K$380,10,FALSE)</f>
        <v>P285</v>
      </c>
      <c r="B138" s="15">
        <v>101076</v>
      </c>
      <c r="C138" s="16" t="s">
        <v>190</v>
      </c>
      <c r="D138" s="16" t="s">
        <v>22</v>
      </c>
      <c r="E138" s="17">
        <v>1628998</v>
      </c>
      <c r="F138" s="18" t="s">
        <v>55</v>
      </c>
      <c r="G138" s="19">
        <v>17</v>
      </c>
      <c r="H138" s="19">
        <v>16</v>
      </c>
      <c r="I138" s="19">
        <v>27</v>
      </c>
      <c r="J138" s="19">
        <v>14</v>
      </c>
      <c r="K138" s="19">
        <v>21</v>
      </c>
      <c r="L138" s="19">
        <v>20</v>
      </c>
      <c r="M138" s="19">
        <v>18</v>
      </c>
      <c r="N138" s="19">
        <v>29</v>
      </c>
      <c r="O138" s="19">
        <v>20</v>
      </c>
      <c r="P138" s="19">
        <v>23</v>
      </c>
      <c r="Q138" s="19">
        <v>22</v>
      </c>
      <c r="R138" s="19">
        <v>22</v>
      </c>
      <c r="S138" s="19">
        <v>24</v>
      </c>
      <c r="T138" s="19">
        <v>20</v>
      </c>
      <c r="U138" s="19">
        <v>20</v>
      </c>
      <c r="V138" s="19">
        <v>21</v>
      </c>
      <c r="W138" s="19">
        <v>26</v>
      </c>
      <c r="X138" s="19">
        <v>17</v>
      </c>
      <c r="Y138" s="19">
        <v>30</v>
      </c>
      <c r="Z138" s="19">
        <v>28</v>
      </c>
      <c r="AA138" s="19">
        <v>23</v>
      </c>
      <c r="AB138" s="19">
        <v>25</v>
      </c>
      <c r="AC138" s="19">
        <v>20</v>
      </c>
      <c r="AD138" s="19">
        <v>24</v>
      </c>
      <c r="AE138" s="19">
        <f t="shared" si="11"/>
        <v>249</v>
      </c>
      <c r="AF138" s="19">
        <f t="shared" si="12"/>
        <v>278</v>
      </c>
      <c r="AG138" s="20">
        <f t="shared" si="13"/>
        <v>20.75</v>
      </c>
      <c r="AH138" s="20">
        <f t="shared" si="10"/>
        <v>23.166666666666668</v>
      </c>
      <c r="AI138" s="21"/>
      <c r="AJ138" s="13"/>
      <c r="AK138" s="13"/>
    </row>
    <row r="139" spans="1:37" x14ac:dyDescent="0.35">
      <c r="A139" s="15" t="str">
        <f>VLOOKUP(B139,'[1]Tabla 1 Arsenal'!$B$11:$K$380,10,FALSE)</f>
        <v>P064</v>
      </c>
      <c r="B139" s="15">
        <v>101093</v>
      </c>
      <c r="C139" s="16" t="s">
        <v>191</v>
      </c>
      <c r="D139" s="16" t="s">
        <v>39</v>
      </c>
      <c r="E139" s="17">
        <v>98854</v>
      </c>
      <c r="F139" s="18" t="s">
        <v>23</v>
      </c>
      <c r="G139" s="19">
        <v>0</v>
      </c>
      <c r="H139" s="19">
        <v>25</v>
      </c>
      <c r="I139" s="19">
        <v>2</v>
      </c>
      <c r="J139" s="19">
        <v>24</v>
      </c>
      <c r="K139" s="19">
        <v>0</v>
      </c>
      <c r="L139" s="19">
        <v>24</v>
      </c>
      <c r="M139" s="19">
        <v>6</v>
      </c>
      <c r="N139" s="19">
        <v>0</v>
      </c>
      <c r="O139" s="19">
        <v>0</v>
      </c>
      <c r="P139" s="19">
        <v>0</v>
      </c>
      <c r="Q139" s="19">
        <v>34</v>
      </c>
      <c r="R139" s="19">
        <v>36</v>
      </c>
      <c r="S139" s="19">
        <v>49</v>
      </c>
      <c r="T139" s="19">
        <v>0</v>
      </c>
      <c r="U139" s="19">
        <v>0</v>
      </c>
      <c r="V139" s="19">
        <v>45</v>
      </c>
      <c r="W139" s="19">
        <v>24</v>
      </c>
      <c r="X139" s="19">
        <v>0</v>
      </c>
      <c r="Y139" s="19">
        <v>0</v>
      </c>
      <c r="Z139" s="19">
        <v>6</v>
      </c>
      <c r="AA139" s="19">
        <v>0</v>
      </c>
      <c r="AB139" s="19">
        <v>17</v>
      </c>
      <c r="AC139" s="19">
        <v>0</v>
      </c>
      <c r="AD139" s="19">
        <v>27</v>
      </c>
      <c r="AE139" s="19">
        <f t="shared" si="11"/>
        <v>151</v>
      </c>
      <c r="AF139" s="19">
        <f t="shared" si="12"/>
        <v>168</v>
      </c>
      <c r="AG139" s="20">
        <f t="shared" si="13"/>
        <v>12.583333333333334</v>
      </c>
      <c r="AH139" s="20">
        <f t="shared" si="10"/>
        <v>14</v>
      </c>
      <c r="AI139" s="21"/>
      <c r="AJ139" s="13"/>
      <c r="AK139" s="13"/>
    </row>
    <row r="140" spans="1:37" x14ac:dyDescent="0.35">
      <c r="A140" s="15" t="str">
        <f>VLOOKUP(B140,'[1]Tabla 1 Arsenal'!$B$11:$K$380,10,FALSE)</f>
        <v>P010</v>
      </c>
      <c r="B140" s="15">
        <v>209052</v>
      </c>
      <c r="C140" s="16" t="s">
        <v>192</v>
      </c>
      <c r="D140" s="16" t="s">
        <v>22</v>
      </c>
      <c r="E140" s="17">
        <v>7878</v>
      </c>
      <c r="F140" s="18" t="s">
        <v>55</v>
      </c>
      <c r="G140" s="19">
        <v>75</v>
      </c>
      <c r="H140" s="19">
        <v>65</v>
      </c>
      <c r="I140" s="19">
        <v>79</v>
      </c>
      <c r="J140" s="19">
        <v>77</v>
      </c>
      <c r="K140" s="19">
        <v>71</v>
      </c>
      <c r="L140" s="19">
        <v>74</v>
      </c>
      <c r="M140" s="19">
        <v>76</v>
      </c>
      <c r="N140" s="19">
        <v>71</v>
      </c>
      <c r="O140" s="19">
        <v>73</v>
      </c>
      <c r="P140" s="19">
        <v>82</v>
      </c>
      <c r="Q140" s="19">
        <v>85</v>
      </c>
      <c r="R140" s="19">
        <v>62</v>
      </c>
      <c r="S140" s="19">
        <v>64</v>
      </c>
      <c r="T140" s="19">
        <v>78</v>
      </c>
      <c r="U140" s="19">
        <v>83</v>
      </c>
      <c r="V140" s="19">
        <v>83</v>
      </c>
      <c r="W140" s="19">
        <v>83</v>
      </c>
      <c r="X140" s="19">
        <v>76</v>
      </c>
      <c r="Y140" s="19">
        <v>92</v>
      </c>
      <c r="Z140" s="19">
        <v>79</v>
      </c>
      <c r="AA140" s="19">
        <v>77</v>
      </c>
      <c r="AB140" s="19">
        <v>106</v>
      </c>
      <c r="AC140" s="19">
        <v>84</v>
      </c>
      <c r="AD140" s="19">
        <v>83</v>
      </c>
      <c r="AE140" s="19">
        <f t="shared" si="11"/>
        <v>890</v>
      </c>
      <c r="AF140" s="19">
        <f t="shared" si="12"/>
        <v>988</v>
      </c>
      <c r="AG140" s="20">
        <f t="shared" si="13"/>
        <v>74.166666666666671</v>
      </c>
      <c r="AH140" s="20">
        <f t="shared" si="10"/>
        <v>82.333333333333329</v>
      </c>
      <c r="AI140" s="21"/>
      <c r="AJ140" s="13"/>
      <c r="AK140" s="13"/>
    </row>
    <row r="141" spans="1:37" x14ac:dyDescent="0.35">
      <c r="A141" s="15" t="str">
        <f>VLOOKUP(B141,'[1]Tabla 1 Arsenal'!$B$11:$K$380,10,FALSE)</f>
        <v>P122</v>
      </c>
      <c r="B141" s="15">
        <v>104045</v>
      </c>
      <c r="C141" s="16" t="s">
        <v>193</v>
      </c>
      <c r="D141" s="16" t="s">
        <v>32</v>
      </c>
      <c r="E141" s="17">
        <v>20</v>
      </c>
      <c r="F141" s="18" t="s">
        <v>23</v>
      </c>
      <c r="G141" s="19">
        <v>806</v>
      </c>
      <c r="H141" s="19">
        <v>540</v>
      </c>
      <c r="I141" s="19">
        <v>686</v>
      </c>
      <c r="J141" s="19">
        <v>640</v>
      </c>
      <c r="K141" s="19">
        <v>600</v>
      </c>
      <c r="L141" s="19">
        <v>599</v>
      </c>
      <c r="M141" s="19">
        <v>428</v>
      </c>
      <c r="N141" s="19">
        <v>1116</v>
      </c>
      <c r="O141" s="19">
        <v>604</v>
      </c>
      <c r="P141" s="19">
        <v>646</v>
      </c>
      <c r="Q141" s="19">
        <v>747</v>
      </c>
      <c r="R141" s="19">
        <v>747</v>
      </c>
      <c r="S141" s="19">
        <v>390</v>
      </c>
      <c r="T141" s="19">
        <v>1431</v>
      </c>
      <c r="U141" s="19">
        <v>559</v>
      </c>
      <c r="V141" s="19">
        <v>736</v>
      </c>
      <c r="W141" s="19">
        <v>341</v>
      </c>
      <c r="X141" s="19">
        <v>605</v>
      </c>
      <c r="Y141" s="19">
        <v>464</v>
      </c>
      <c r="Z141" s="19">
        <v>2199</v>
      </c>
      <c r="AA141" s="19">
        <v>368</v>
      </c>
      <c r="AB141" s="19">
        <v>578</v>
      </c>
      <c r="AC141" s="19">
        <v>657</v>
      </c>
      <c r="AD141" s="19">
        <v>726</v>
      </c>
      <c r="AE141" s="19">
        <f t="shared" si="11"/>
        <v>8159</v>
      </c>
      <c r="AF141" s="19">
        <f t="shared" si="12"/>
        <v>9054</v>
      </c>
      <c r="AG141" s="20">
        <f t="shared" si="13"/>
        <v>679.91666666666663</v>
      </c>
      <c r="AH141" s="20">
        <f t="shared" si="10"/>
        <v>754.5</v>
      </c>
      <c r="AI141" s="21"/>
      <c r="AJ141" s="13"/>
      <c r="AK141" s="13"/>
    </row>
    <row r="142" spans="1:37" x14ac:dyDescent="0.35">
      <c r="A142" s="15" t="str">
        <f>VLOOKUP(B142,'[1]Tabla 1 Arsenal'!$B$11:$K$380,10,FALSE)</f>
        <v>P246</v>
      </c>
      <c r="B142" s="15">
        <v>209167</v>
      </c>
      <c r="C142" s="16" t="s">
        <v>194</v>
      </c>
      <c r="D142" s="16" t="s">
        <v>32</v>
      </c>
      <c r="E142" s="17">
        <v>23903</v>
      </c>
      <c r="F142" s="18" t="s">
        <v>55</v>
      </c>
      <c r="G142" s="19">
        <v>240</v>
      </c>
      <c r="H142" s="19">
        <v>510</v>
      </c>
      <c r="I142" s="19">
        <v>510</v>
      </c>
      <c r="J142" s="19">
        <v>630</v>
      </c>
      <c r="K142" s="19">
        <v>600</v>
      </c>
      <c r="L142" s="19">
        <v>600</v>
      </c>
      <c r="M142" s="19">
        <v>600</v>
      </c>
      <c r="N142" s="19">
        <v>540</v>
      </c>
      <c r="O142" s="19">
        <v>450</v>
      </c>
      <c r="P142" s="19">
        <v>540</v>
      </c>
      <c r="Q142" s="19">
        <v>750</v>
      </c>
      <c r="R142" s="19">
        <v>570</v>
      </c>
      <c r="S142" s="19">
        <v>510</v>
      </c>
      <c r="T142" s="19">
        <v>690</v>
      </c>
      <c r="U142" s="19">
        <v>510</v>
      </c>
      <c r="V142" s="19">
        <v>660</v>
      </c>
      <c r="W142" s="19">
        <v>690</v>
      </c>
      <c r="X142" s="19">
        <v>570</v>
      </c>
      <c r="Y142" s="19">
        <v>630</v>
      </c>
      <c r="Z142" s="19">
        <v>540</v>
      </c>
      <c r="AA142" s="19">
        <v>600</v>
      </c>
      <c r="AB142" s="19">
        <v>660</v>
      </c>
      <c r="AC142" s="19">
        <v>660</v>
      </c>
      <c r="AD142" s="19">
        <v>510</v>
      </c>
      <c r="AE142" s="19">
        <f t="shared" si="11"/>
        <v>6540</v>
      </c>
      <c r="AF142" s="19">
        <f t="shared" si="12"/>
        <v>7230</v>
      </c>
      <c r="AG142" s="20">
        <f t="shared" si="13"/>
        <v>545</v>
      </c>
      <c r="AH142" s="20">
        <f t="shared" si="10"/>
        <v>602.5</v>
      </c>
      <c r="AI142" s="21"/>
      <c r="AJ142" s="13"/>
      <c r="AK142" s="13"/>
    </row>
    <row r="143" spans="1:37" x14ac:dyDescent="0.35">
      <c r="A143" s="15" t="str">
        <f>VLOOKUP(B143,'[1]Tabla 1 Arsenal'!$B$11:$K$380,10,FALSE)</f>
        <v>P362</v>
      </c>
      <c r="B143" s="15">
        <v>101062</v>
      </c>
      <c r="C143" s="16" t="s">
        <v>195</v>
      </c>
      <c r="D143" s="16" t="s">
        <v>22</v>
      </c>
      <c r="E143" s="17">
        <v>89250</v>
      </c>
      <c r="F143" s="18" t="s">
        <v>55</v>
      </c>
      <c r="G143" s="19">
        <v>11</v>
      </c>
      <c r="H143" s="19">
        <v>11</v>
      </c>
      <c r="I143" s="19">
        <v>12</v>
      </c>
      <c r="J143" s="19">
        <v>13</v>
      </c>
      <c r="K143" s="19">
        <v>13</v>
      </c>
      <c r="L143" s="19">
        <v>19</v>
      </c>
      <c r="M143" s="19">
        <v>16</v>
      </c>
      <c r="N143" s="19">
        <v>20</v>
      </c>
      <c r="O143" s="19">
        <v>21</v>
      </c>
      <c r="P143" s="19">
        <v>22</v>
      </c>
      <c r="Q143" s="19">
        <v>22</v>
      </c>
      <c r="R143" s="19">
        <v>21</v>
      </c>
      <c r="S143" s="19">
        <v>14</v>
      </c>
      <c r="T143" s="19">
        <v>13</v>
      </c>
      <c r="U143" s="19">
        <v>11</v>
      </c>
      <c r="V143" s="19">
        <v>11</v>
      </c>
      <c r="W143" s="19">
        <v>15</v>
      </c>
      <c r="X143" s="19">
        <v>15</v>
      </c>
      <c r="Y143" s="19">
        <v>19</v>
      </c>
      <c r="Z143" s="19">
        <v>20</v>
      </c>
      <c r="AA143" s="19">
        <v>21</v>
      </c>
      <c r="AB143" s="19">
        <v>27</v>
      </c>
      <c r="AC143" s="19">
        <v>25</v>
      </c>
      <c r="AD143" s="19">
        <v>29</v>
      </c>
      <c r="AE143" s="19">
        <f t="shared" si="11"/>
        <v>201</v>
      </c>
      <c r="AF143" s="19">
        <f t="shared" si="12"/>
        <v>220</v>
      </c>
      <c r="AG143" s="20">
        <f t="shared" si="13"/>
        <v>16.75</v>
      </c>
      <c r="AH143" s="20">
        <f t="shared" si="10"/>
        <v>18.333333333333332</v>
      </c>
      <c r="AI143" s="21"/>
      <c r="AJ143" s="13"/>
      <c r="AK143" s="13"/>
    </row>
    <row r="144" spans="1:37" x14ac:dyDescent="0.35">
      <c r="A144" s="15" t="str">
        <f>VLOOKUP(B144,'[1]Tabla 1 Arsenal'!$B$11:$K$380,10,FALSE)</f>
        <v>P114</v>
      </c>
      <c r="B144" s="15">
        <v>104011</v>
      </c>
      <c r="C144" s="16" t="s">
        <v>196</v>
      </c>
      <c r="D144" s="16" t="s">
        <v>32</v>
      </c>
      <c r="E144" s="17">
        <v>5</v>
      </c>
      <c r="F144" s="18" t="s">
        <v>23</v>
      </c>
      <c r="G144" s="19">
        <v>85</v>
      </c>
      <c r="H144" s="19">
        <v>8</v>
      </c>
      <c r="I144" s="19">
        <v>138</v>
      </c>
      <c r="J144" s="19">
        <v>35</v>
      </c>
      <c r="K144" s="19">
        <v>157</v>
      </c>
      <c r="L144" s="19">
        <v>22</v>
      </c>
      <c r="M144" s="19">
        <v>101</v>
      </c>
      <c r="N144" s="19">
        <v>10</v>
      </c>
      <c r="O144" s="19">
        <v>25</v>
      </c>
      <c r="P144" s="19">
        <v>105</v>
      </c>
      <c r="Q144" s="19">
        <v>161</v>
      </c>
      <c r="R144" s="19">
        <v>18</v>
      </c>
      <c r="S144" s="19">
        <v>107</v>
      </c>
      <c r="T144" s="19">
        <v>96</v>
      </c>
      <c r="U144" s="19">
        <v>136</v>
      </c>
      <c r="V144" s="19">
        <v>7</v>
      </c>
      <c r="W144" s="19">
        <v>0</v>
      </c>
      <c r="X144" s="19">
        <v>44</v>
      </c>
      <c r="Y144" s="19">
        <v>121</v>
      </c>
      <c r="Z144" s="19">
        <v>107</v>
      </c>
      <c r="AA144" s="19">
        <v>117</v>
      </c>
      <c r="AB144" s="19">
        <v>147</v>
      </c>
      <c r="AC144" s="19">
        <v>0</v>
      </c>
      <c r="AD144" s="19">
        <v>63</v>
      </c>
      <c r="AE144" s="19">
        <f t="shared" si="11"/>
        <v>865</v>
      </c>
      <c r="AF144" s="19">
        <f t="shared" si="12"/>
        <v>945</v>
      </c>
      <c r="AG144" s="20">
        <f t="shared" si="13"/>
        <v>72.083333333333329</v>
      </c>
      <c r="AH144" s="20">
        <f t="shared" si="10"/>
        <v>78.75</v>
      </c>
      <c r="AI144" s="21"/>
      <c r="AJ144" s="13"/>
      <c r="AK144" s="13"/>
    </row>
    <row r="145" spans="1:37" x14ac:dyDescent="0.35">
      <c r="A145" s="15" t="str">
        <f>VLOOKUP(B145,'[1]Tabla 1 Arsenal'!$B$11:$K$380,10,FALSE)</f>
        <v>P170</v>
      </c>
      <c r="B145" s="15">
        <v>106094</v>
      </c>
      <c r="C145" s="16" t="s">
        <v>197</v>
      </c>
      <c r="D145" s="16" t="s">
        <v>37</v>
      </c>
      <c r="E145" s="17">
        <v>619</v>
      </c>
      <c r="F145" s="18" t="s">
        <v>23</v>
      </c>
      <c r="G145" s="19">
        <v>80</v>
      </c>
      <c r="H145" s="19">
        <v>46</v>
      </c>
      <c r="I145" s="19">
        <v>94</v>
      </c>
      <c r="J145" s="19">
        <v>61</v>
      </c>
      <c r="K145" s="19">
        <v>116</v>
      </c>
      <c r="L145" s="19">
        <v>82</v>
      </c>
      <c r="M145" s="19">
        <v>100</v>
      </c>
      <c r="N145" s="19">
        <v>78</v>
      </c>
      <c r="O145" s="19">
        <v>62</v>
      </c>
      <c r="P145" s="19">
        <v>74</v>
      </c>
      <c r="Q145" s="19">
        <v>66</v>
      </c>
      <c r="R145" s="19">
        <v>25</v>
      </c>
      <c r="S145" s="19">
        <v>170</v>
      </c>
      <c r="T145" s="19">
        <v>93</v>
      </c>
      <c r="U145" s="19">
        <v>135</v>
      </c>
      <c r="V145" s="19">
        <v>25</v>
      </c>
      <c r="W145" s="19">
        <v>77</v>
      </c>
      <c r="X145" s="19">
        <v>66</v>
      </c>
      <c r="Y145" s="19">
        <v>47</v>
      </c>
      <c r="Z145" s="19">
        <v>66</v>
      </c>
      <c r="AA145" s="19">
        <v>35</v>
      </c>
      <c r="AB145" s="19">
        <v>63</v>
      </c>
      <c r="AC145" s="19">
        <v>110</v>
      </c>
      <c r="AD145" s="19">
        <v>76</v>
      </c>
      <c r="AE145" s="19">
        <f t="shared" si="11"/>
        <v>884</v>
      </c>
      <c r="AF145" s="19">
        <f t="shared" si="12"/>
        <v>963</v>
      </c>
      <c r="AG145" s="20">
        <f t="shared" si="13"/>
        <v>73.666666666666671</v>
      </c>
      <c r="AH145" s="20">
        <f t="shared" si="10"/>
        <v>80.25</v>
      </c>
      <c r="AI145" s="21"/>
      <c r="AJ145" s="13"/>
      <c r="AK145" s="13"/>
    </row>
    <row r="146" spans="1:37" x14ac:dyDescent="0.35">
      <c r="A146" s="15" t="str">
        <f>VLOOKUP(B146,'[1]Tabla 1 Arsenal'!$B$11:$K$380,10,FALSE)</f>
        <v>P003</v>
      </c>
      <c r="B146" s="15">
        <v>103001</v>
      </c>
      <c r="C146" s="16" t="s">
        <v>198</v>
      </c>
      <c r="D146" s="16" t="s">
        <v>32</v>
      </c>
      <c r="E146" s="17">
        <v>67</v>
      </c>
      <c r="F146" s="18" t="s">
        <v>23</v>
      </c>
      <c r="G146" s="19">
        <v>3534</v>
      </c>
      <c r="H146" s="19">
        <v>3163</v>
      </c>
      <c r="I146" s="19">
        <v>3750</v>
      </c>
      <c r="J146" s="19">
        <v>3006</v>
      </c>
      <c r="K146" s="19">
        <v>3320</v>
      </c>
      <c r="L146" s="19">
        <v>3136</v>
      </c>
      <c r="M146" s="19">
        <v>3426</v>
      </c>
      <c r="N146" s="19">
        <v>3747</v>
      </c>
      <c r="O146" s="19">
        <v>3747</v>
      </c>
      <c r="P146" s="19">
        <v>3148</v>
      </c>
      <c r="Q146" s="19">
        <v>3116</v>
      </c>
      <c r="R146" s="19">
        <v>2687</v>
      </c>
      <c r="S146" s="19">
        <v>3817</v>
      </c>
      <c r="T146" s="19">
        <v>3069</v>
      </c>
      <c r="U146" s="19">
        <v>4281</v>
      </c>
      <c r="V146" s="19">
        <v>4492</v>
      </c>
      <c r="W146" s="19">
        <v>4081</v>
      </c>
      <c r="X146" s="19">
        <v>3385</v>
      </c>
      <c r="Y146" s="19">
        <v>3592</v>
      </c>
      <c r="Z146" s="19">
        <v>3254</v>
      </c>
      <c r="AA146" s="19">
        <v>2917</v>
      </c>
      <c r="AB146" s="19">
        <v>3827</v>
      </c>
      <c r="AC146" s="19">
        <v>3040</v>
      </c>
      <c r="AD146" s="19">
        <v>3496</v>
      </c>
      <c r="AE146" s="19">
        <f t="shared" si="11"/>
        <v>39780</v>
      </c>
      <c r="AF146" s="19">
        <f t="shared" si="12"/>
        <v>43251</v>
      </c>
      <c r="AG146" s="20">
        <f t="shared" si="13"/>
        <v>3315</v>
      </c>
      <c r="AH146" s="20">
        <f t="shared" si="10"/>
        <v>3604.25</v>
      </c>
      <c r="AI146" s="21"/>
      <c r="AJ146" s="13"/>
      <c r="AK146" s="13"/>
    </row>
    <row r="147" spans="1:37" x14ac:dyDescent="0.35">
      <c r="A147" s="15" t="str">
        <f>VLOOKUP(B147,'[1]Tabla 1 Arsenal'!$B$11:$K$380,10,FALSE)</f>
        <v>P205</v>
      </c>
      <c r="B147" s="15">
        <v>105019</v>
      </c>
      <c r="C147" s="16" t="s">
        <v>199</v>
      </c>
      <c r="D147" s="16" t="s">
        <v>39</v>
      </c>
      <c r="E147" s="17">
        <v>1952</v>
      </c>
      <c r="F147" s="18" t="s">
        <v>23</v>
      </c>
      <c r="G147" s="19">
        <v>360</v>
      </c>
      <c r="H147" s="19">
        <v>390</v>
      </c>
      <c r="I147" s="19">
        <v>528</v>
      </c>
      <c r="J147" s="19">
        <v>510</v>
      </c>
      <c r="K147" s="19">
        <v>407</v>
      </c>
      <c r="L147" s="19">
        <v>390</v>
      </c>
      <c r="M147" s="19">
        <v>285</v>
      </c>
      <c r="N147" s="19">
        <v>467</v>
      </c>
      <c r="O147" s="19">
        <v>380</v>
      </c>
      <c r="P147" s="19">
        <v>298</v>
      </c>
      <c r="Q147" s="19">
        <v>435</v>
      </c>
      <c r="R147" s="19">
        <v>497</v>
      </c>
      <c r="S147" s="19">
        <v>500</v>
      </c>
      <c r="T147" s="19">
        <v>366</v>
      </c>
      <c r="U147" s="19">
        <v>355</v>
      </c>
      <c r="V147" s="19">
        <v>509</v>
      </c>
      <c r="W147" s="19">
        <v>612</v>
      </c>
      <c r="X147" s="19">
        <v>568</v>
      </c>
      <c r="Y147" s="19">
        <v>508</v>
      </c>
      <c r="Z147" s="19">
        <v>525</v>
      </c>
      <c r="AA147" s="19">
        <v>314</v>
      </c>
      <c r="AB147" s="19">
        <v>437</v>
      </c>
      <c r="AC147" s="19">
        <v>345</v>
      </c>
      <c r="AD147" s="19">
        <v>337</v>
      </c>
      <c r="AE147" s="19">
        <f t="shared" si="11"/>
        <v>4947</v>
      </c>
      <c r="AF147" s="19">
        <f t="shared" si="12"/>
        <v>5376</v>
      </c>
      <c r="AG147" s="20">
        <f t="shared" si="13"/>
        <v>412.25</v>
      </c>
      <c r="AH147" s="20">
        <f t="shared" si="10"/>
        <v>448</v>
      </c>
      <c r="AI147" s="21"/>
      <c r="AJ147" s="13"/>
      <c r="AK147" s="13"/>
    </row>
    <row r="148" spans="1:37" x14ac:dyDescent="0.35">
      <c r="A148" s="15" t="str">
        <f>VLOOKUP(B148,'[1]Tabla 1 Arsenal'!$B$11:$K$380,10,FALSE)</f>
        <v>P089</v>
      </c>
      <c r="B148" s="15">
        <v>103049</v>
      </c>
      <c r="C148" s="16" t="s">
        <v>200</v>
      </c>
      <c r="D148" s="16" t="s">
        <v>37</v>
      </c>
      <c r="E148" s="17">
        <v>655</v>
      </c>
      <c r="F148" s="18" t="s">
        <v>23</v>
      </c>
      <c r="G148" s="19">
        <v>40</v>
      </c>
      <c r="H148" s="19">
        <v>7</v>
      </c>
      <c r="I148" s="19">
        <v>0</v>
      </c>
      <c r="J148" s="19">
        <v>0</v>
      </c>
      <c r="K148" s="19">
        <v>12</v>
      </c>
      <c r="L148" s="19">
        <v>43</v>
      </c>
      <c r="M148" s="19">
        <v>53</v>
      </c>
      <c r="N148" s="19">
        <v>0</v>
      </c>
      <c r="O148" s="19">
        <v>85</v>
      </c>
      <c r="P148" s="19">
        <v>102</v>
      </c>
      <c r="Q148" s="19">
        <v>0</v>
      </c>
      <c r="R148" s="19">
        <v>159</v>
      </c>
      <c r="S148" s="19">
        <v>9</v>
      </c>
      <c r="T148" s="19">
        <v>1</v>
      </c>
      <c r="U148" s="19">
        <v>2</v>
      </c>
      <c r="V148" s="19">
        <v>118</v>
      </c>
      <c r="W148" s="19">
        <v>0</v>
      </c>
      <c r="X148" s="19">
        <v>132</v>
      </c>
      <c r="Y148" s="19">
        <v>0</v>
      </c>
      <c r="Z148" s="19">
        <v>59</v>
      </c>
      <c r="AA148" s="19">
        <v>0</v>
      </c>
      <c r="AB148" s="19">
        <v>214</v>
      </c>
      <c r="AC148" s="19">
        <v>9</v>
      </c>
      <c r="AD148" s="19">
        <v>0</v>
      </c>
      <c r="AE148" s="19">
        <f t="shared" si="11"/>
        <v>501</v>
      </c>
      <c r="AF148" s="19">
        <f t="shared" si="12"/>
        <v>544</v>
      </c>
      <c r="AG148" s="20">
        <f t="shared" si="13"/>
        <v>41.75</v>
      </c>
      <c r="AH148" s="20">
        <f t="shared" si="10"/>
        <v>45.333333333333336</v>
      </c>
      <c r="AI148" s="21"/>
      <c r="AJ148" s="13"/>
      <c r="AK148" s="13"/>
    </row>
    <row r="149" spans="1:37" x14ac:dyDescent="0.35">
      <c r="A149" s="15" t="str">
        <f>VLOOKUP(B149,'[1]Tabla 1 Arsenal'!$B$11:$K$380,10,FALSE)</f>
        <v>P029</v>
      </c>
      <c r="B149" s="15">
        <v>209092</v>
      </c>
      <c r="C149" s="16" t="s">
        <v>201</v>
      </c>
      <c r="D149" s="16" t="s">
        <v>32</v>
      </c>
      <c r="E149" s="17">
        <v>153</v>
      </c>
      <c r="F149" s="18" t="s">
        <v>55</v>
      </c>
      <c r="G149" s="19">
        <v>10740</v>
      </c>
      <c r="H149" s="19">
        <v>10260</v>
      </c>
      <c r="I149" s="19">
        <v>11010</v>
      </c>
      <c r="J149" s="19">
        <v>11070</v>
      </c>
      <c r="K149" s="19">
        <v>11250</v>
      </c>
      <c r="L149" s="19">
        <v>11130</v>
      </c>
      <c r="M149" s="19">
        <v>12120</v>
      </c>
      <c r="N149" s="19">
        <v>11250</v>
      </c>
      <c r="O149" s="19">
        <v>10800</v>
      </c>
      <c r="P149" s="19">
        <v>10830</v>
      </c>
      <c r="Q149" s="19">
        <v>11340</v>
      </c>
      <c r="R149" s="19">
        <v>12480</v>
      </c>
      <c r="S149" s="19">
        <v>12530</v>
      </c>
      <c r="T149" s="19">
        <v>11040</v>
      </c>
      <c r="U149" s="19">
        <v>11940</v>
      </c>
      <c r="V149" s="19">
        <v>12120</v>
      </c>
      <c r="W149" s="19">
        <v>12126</v>
      </c>
      <c r="X149" s="19">
        <v>11260</v>
      </c>
      <c r="Y149" s="19">
        <v>12420</v>
      </c>
      <c r="Z149" s="19">
        <v>12390</v>
      </c>
      <c r="AA149" s="19">
        <v>12090</v>
      </c>
      <c r="AB149" s="19">
        <v>12570</v>
      </c>
      <c r="AC149" s="19">
        <v>12660</v>
      </c>
      <c r="AD149" s="19">
        <v>12600</v>
      </c>
      <c r="AE149" s="19">
        <f t="shared" si="11"/>
        <v>134280</v>
      </c>
      <c r="AF149" s="19">
        <f t="shared" si="12"/>
        <v>145746</v>
      </c>
      <c r="AG149" s="20">
        <f t="shared" si="13"/>
        <v>11190</v>
      </c>
      <c r="AH149" s="20">
        <f t="shared" si="10"/>
        <v>12145.5</v>
      </c>
      <c r="AI149" s="21"/>
      <c r="AJ149" s="13"/>
      <c r="AK149" s="13"/>
    </row>
    <row r="150" spans="1:37" x14ac:dyDescent="0.35">
      <c r="A150" s="15" t="str">
        <f>VLOOKUP(B150,'[1]Tabla 1 Arsenal'!$B$11:$K$380,10,FALSE)</f>
        <v>P068</v>
      </c>
      <c r="B150" s="15">
        <v>209008</v>
      </c>
      <c r="C150" s="16" t="s">
        <v>202</v>
      </c>
      <c r="D150" s="16" t="s">
        <v>22</v>
      </c>
      <c r="E150" s="17">
        <v>12244</v>
      </c>
      <c r="F150" s="18" t="s">
        <v>55</v>
      </c>
      <c r="G150" s="19">
        <v>88</v>
      </c>
      <c r="H150" s="19">
        <v>109</v>
      </c>
      <c r="I150" s="19">
        <v>94</v>
      </c>
      <c r="J150" s="19">
        <v>85</v>
      </c>
      <c r="K150" s="19">
        <v>106</v>
      </c>
      <c r="L150" s="19">
        <v>104</v>
      </c>
      <c r="M150" s="19">
        <v>101</v>
      </c>
      <c r="N150" s="19">
        <v>117</v>
      </c>
      <c r="O150" s="19">
        <v>101</v>
      </c>
      <c r="P150" s="19">
        <v>89</v>
      </c>
      <c r="Q150" s="19">
        <v>84</v>
      </c>
      <c r="R150" s="19">
        <v>66</v>
      </c>
      <c r="S150" s="19">
        <v>59</v>
      </c>
      <c r="T150" s="19">
        <v>77</v>
      </c>
      <c r="U150" s="19">
        <v>73</v>
      </c>
      <c r="V150" s="19">
        <v>118</v>
      </c>
      <c r="W150" s="19">
        <v>85</v>
      </c>
      <c r="X150" s="19">
        <v>91</v>
      </c>
      <c r="Y150" s="19">
        <v>141</v>
      </c>
      <c r="Z150" s="19">
        <v>127</v>
      </c>
      <c r="AA150" s="19">
        <v>116</v>
      </c>
      <c r="AB150" s="19">
        <v>126</v>
      </c>
      <c r="AC150" s="19">
        <v>96</v>
      </c>
      <c r="AD150" s="19">
        <v>127</v>
      </c>
      <c r="AE150" s="19">
        <f t="shared" si="11"/>
        <v>1144</v>
      </c>
      <c r="AF150" s="19">
        <f t="shared" si="12"/>
        <v>1236</v>
      </c>
      <c r="AG150" s="20">
        <f t="shared" si="13"/>
        <v>95.333333333333329</v>
      </c>
      <c r="AH150" s="20">
        <f t="shared" si="10"/>
        <v>103</v>
      </c>
      <c r="AI150" s="21"/>
      <c r="AJ150" s="13"/>
      <c r="AK150" s="13"/>
    </row>
    <row r="151" spans="1:37" x14ac:dyDescent="0.35">
      <c r="A151" s="15" t="str">
        <f>VLOOKUP(B151,'[1]Tabla 1 Arsenal'!$B$11:$K$380,10,FALSE)</f>
        <v>P276</v>
      </c>
      <c r="B151" s="15">
        <v>102137</v>
      </c>
      <c r="C151" s="16" t="s">
        <v>203</v>
      </c>
      <c r="D151" s="16" t="s">
        <v>39</v>
      </c>
      <c r="E151" s="17">
        <v>1144</v>
      </c>
      <c r="F151" s="18" t="s">
        <v>23</v>
      </c>
      <c r="G151" s="19">
        <v>3380</v>
      </c>
      <c r="H151" s="19">
        <v>2450</v>
      </c>
      <c r="I151" s="19">
        <v>3200</v>
      </c>
      <c r="J151" s="19">
        <v>1250</v>
      </c>
      <c r="K151" s="19">
        <v>4800</v>
      </c>
      <c r="L151" s="19">
        <v>2750</v>
      </c>
      <c r="M151" s="19">
        <v>3000</v>
      </c>
      <c r="N151" s="19">
        <v>2950</v>
      </c>
      <c r="O151" s="19">
        <v>2836</v>
      </c>
      <c r="P151" s="19">
        <v>0</v>
      </c>
      <c r="Q151" s="19">
        <v>0</v>
      </c>
      <c r="R151" s="19">
        <v>50</v>
      </c>
      <c r="S151" s="19">
        <v>170</v>
      </c>
      <c r="T151" s="19">
        <v>372</v>
      </c>
      <c r="U151" s="19">
        <v>2104</v>
      </c>
      <c r="V151" s="19">
        <v>1810</v>
      </c>
      <c r="W151" s="19">
        <v>2962</v>
      </c>
      <c r="X151" s="19">
        <v>2007</v>
      </c>
      <c r="Y151" s="19">
        <v>3542</v>
      </c>
      <c r="Z151" s="19">
        <v>3950</v>
      </c>
      <c r="AA151" s="19">
        <v>2523</v>
      </c>
      <c r="AB151" s="19">
        <v>4066</v>
      </c>
      <c r="AC151" s="19">
        <v>1717</v>
      </c>
      <c r="AD151" s="19">
        <v>3383</v>
      </c>
      <c r="AE151" s="19">
        <f t="shared" si="11"/>
        <v>26666</v>
      </c>
      <c r="AF151" s="19">
        <f t="shared" si="12"/>
        <v>28606</v>
      </c>
      <c r="AG151" s="20">
        <f t="shared" si="13"/>
        <v>2222.1666666666665</v>
      </c>
      <c r="AH151" s="20">
        <f t="shared" si="10"/>
        <v>2383.8333333333335</v>
      </c>
      <c r="AI151" s="21"/>
      <c r="AJ151" s="13"/>
      <c r="AK151" s="13"/>
    </row>
    <row r="152" spans="1:37" x14ac:dyDescent="0.35">
      <c r="A152" s="15" t="str">
        <f>VLOOKUP(B152,'[1]Tabla 1 Arsenal'!$B$11:$K$380,10,FALSE)</f>
        <v>P133</v>
      </c>
      <c r="B152" s="15">
        <v>102069</v>
      </c>
      <c r="C152" s="16" t="s">
        <v>204</v>
      </c>
      <c r="D152" s="16" t="s">
        <v>86</v>
      </c>
      <c r="E152" s="17">
        <v>101</v>
      </c>
      <c r="F152" s="18" t="s">
        <v>23</v>
      </c>
      <c r="G152" s="19">
        <v>265</v>
      </c>
      <c r="H152" s="19">
        <v>78</v>
      </c>
      <c r="I152" s="19">
        <v>253</v>
      </c>
      <c r="J152" s="19">
        <v>116</v>
      </c>
      <c r="K152" s="19">
        <v>178</v>
      </c>
      <c r="L152" s="19">
        <v>290</v>
      </c>
      <c r="M152" s="19">
        <v>144</v>
      </c>
      <c r="N152" s="19">
        <v>315</v>
      </c>
      <c r="O152" s="19">
        <v>162</v>
      </c>
      <c r="P152" s="19">
        <v>177</v>
      </c>
      <c r="Q152" s="19">
        <v>123</v>
      </c>
      <c r="R152" s="19">
        <v>329</v>
      </c>
      <c r="S152" s="19">
        <v>237</v>
      </c>
      <c r="T152" s="19">
        <v>220</v>
      </c>
      <c r="U152" s="19">
        <v>109</v>
      </c>
      <c r="V152" s="19">
        <v>224</v>
      </c>
      <c r="W152" s="19">
        <v>249</v>
      </c>
      <c r="X152" s="19">
        <v>130</v>
      </c>
      <c r="Y152" s="19">
        <v>154</v>
      </c>
      <c r="Z152" s="19">
        <v>180</v>
      </c>
      <c r="AA152" s="19">
        <v>312</v>
      </c>
      <c r="AB152" s="19">
        <v>285</v>
      </c>
      <c r="AC152" s="19">
        <v>446</v>
      </c>
      <c r="AD152" s="19">
        <v>58</v>
      </c>
      <c r="AE152" s="19">
        <f t="shared" si="11"/>
        <v>2430</v>
      </c>
      <c r="AF152" s="19">
        <f t="shared" si="12"/>
        <v>2604</v>
      </c>
      <c r="AG152" s="20">
        <f t="shared" si="13"/>
        <v>202.5</v>
      </c>
      <c r="AH152" s="20">
        <f t="shared" si="10"/>
        <v>217</v>
      </c>
      <c r="AI152" s="21"/>
      <c r="AJ152" s="13"/>
      <c r="AK152" s="13"/>
    </row>
    <row r="153" spans="1:37" x14ac:dyDescent="0.35">
      <c r="A153" s="15" t="str">
        <f>VLOOKUP(B153,'[1]Tabla 1 Arsenal'!$B$11:$K$380,10,FALSE)</f>
        <v>P190</v>
      </c>
      <c r="B153" s="15">
        <v>106029</v>
      </c>
      <c r="C153" s="16" t="s">
        <v>205</v>
      </c>
      <c r="D153" s="16" t="s">
        <v>37</v>
      </c>
      <c r="E153" s="17">
        <v>1512</v>
      </c>
      <c r="F153" s="18" t="s">
        <v>23</v>
      </c>
      <c r="G153" s="19">
        <v>0</v>
      </c>
      <c r="H153" s="19">
        <v>1</v>
      </c>
      <c r="I153" s="19">
        <v>7</v>
      </c>
      <c r="J153" s="19">
        <v>1</v>
      </c>
      <c r="K153" s="19">
        <v>2</v>
      </c>
      <c r="L153" s="19">
        <v>2</v>
      </c>
      <c r="M153" s="19">
        <v>0</v>
      </c>
      <c r="N153" s="19">
        <v>0</v>
      </c>
      <c r="O153" s="19">
        <v>1</v>
      </c>
      <c r="P153" s="19">
        <v>0</v>
      </c>
      <c r="Q153" s="19">
        <v>0</v>
      </c>
      <c r="R153" s="19">
        <v>0</v>
      </c>
      <c r="S153" s="19">
        <v>1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3</v>
      </c>
      <c r="AA153" s="19">
        <v>0</v>
      </c>
      <c r="AB153" s="19">
        <v>0</v>
      </c>
      <c r="AC153" s="19">
        <v>4</v>
      </c>
      <c r="AD153" s="19">
        <v>7</v>
      </c>
      <c r="AE153" s="19">
        <f t="shared" si="11"/>
        <v>14</v>
      </c>
      <c r="AF153" s="19">
        <f t="shared" si="12"/>
        <v>15</v>
      </c>
      <c r="AG153" s="20">
        <f t="shared" si="13"/>
        <v>1.1666666666666667</v>
      </c>
      <c r="AH153" s="20">
        <f t="shared" si="10"/>
        <v>1.25</v>
      </c>
      <c r="AI153" s="21"/>
      <c r="AJ153" s="13"/>
      <c r="AK153" s="13"/>
    </row>
    <row r="154" spans="1:37" x14ac:dyDescent="0.35">
      <c r="A154" s="15" t="str">
        <f>VLOOKUP(B154,'[1]Tabla 1 Arsenal'!$B$11:$K$380,10,FALSE)</f>
        <v>P325</v>
      </c>
      <c r="B154" s="15">
        <v>108014</v>
      </c>
      <c r="C154" s="16" t="s">
        <v>206</v>
      </c>
      <c r="D154" s="16" t="s">
        <v>135</v>
      </c>
      <c r="E154" s="17">
        <v>1250</v>
      </c>
      <c r="F154" s="18" t="s">
        <v>23</v>
      </c>
      <c r="G154" s="19">
        <v>25</v>
      </c>
      <c r="H154" s="19">
        <v>0</v>
      </c>
      <c r="I154" s="19">
        <v>33</v>
      </c>
      <c r="J154" s="19">
        <v>26</v>
      </c>
      <c r="K154" s="19">
        <v>11</v>
      </c>
      <c r="L154" s="19">
        <v>76</v>
      </c>
      <c r="M154" s="19">
        <v>36</v>
      </c>
      <c r="N154" s="19">
        <v>18</v>
      </c>
      <c r="O154" s="19">
        <v>45</v>
      </c>
      <c r="P154" s="19">
        <v>28</v>
      </c>
      <c r="Q154" s="19">
        <v>1</v>
      </c>
      <c r="R154" s="19">
        <v>0</v>
      </c>
      <c r="S154" s="19">
        <v>33</v>
      </c>
      <c r="T154" s="19">
        <v>61</v>
      </c>
      <c r="U154" s="19">
        <v>29</v>
      </c>
      <c r="V154" s="19">
        <v>25</v>
      </c>
      <c r="W154" s="19">
        <v>37</v>
      </c>
      <c r="X154" s="19">
        <v>13</v>
      </c>
      <c r="Y154" s="19">
        <v>30</v>
      </c>
      <c r="Z154" s="19">
        <v>20</v>
      </c>
      <c r="AA154" s="19">
        <v>0</v>
      </c>
      <c r="AB154" s="19">
        <v>30</v>
      </c>
      <c r="AC154" s="19">
        <v>28</v>
      </c>
      <c r="AD154" s="19">
        <v>13</v>
      </c>
      <c r="AE154" s="19">
        <f t="shared" si="11"/>
        <v>299</v>
      </c>
      <c r="AF154" s="19">
        <f t="shared" si="12"/>
        <v>319</v>
      </c>
      <c r="AG154" s="20">
        <f t="shared" si="13"/>
        <v>24.916666666666668</v>
      </c>
      <c r="AH154" s="20">
        <f t="shared" si="10"/>
        <v>26.583333333333332</v>
      </c>
      <c r="AI154" s="21"/>
      <c r="AJ154" s="13"/>
      <c r="AK154" s="13"/>
    </row>
    <row r="155" spans="1:37" x14ac:dyDescent="0.35">
      <c r="A155" s="15" t="str">
        <f>VLOOKUP(B155,'[1]Tabla 1 Arsenal'!$B$11:$K$380,10,FALSE)</f>
        <v>P035</v>
      </c>
      <c r="B155" s="15">
        <v>101097</v>
      </c>
      <c r="C155" s="16" t="s">
        <v>207</v>
      </c>
      <c r="D155" s="16" t="s">
        <v>22</v>
      </c>
      <c r="E155" s="17">
        <v>22064</v>
      </c>
      <c r="F155" s="18" t="s">
        <v>55</v>
      </c>
      <c r="G155" s="19">
        <v>7</v>
      </c>
      <c r="H155" s="19">
        <v>19</v>
      </c>
      <c r="I155" s="19">
        <v>7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5</v>
      </c>
      <c r="T155" s="19">
        <v>13</v>
      </c>
      <c r="U155" s="19">
        <v>7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10</v>
      </c>
      <c r="AE155" s="19">
        <f t="shared" si="11"/>
        <v>33</v>
      </c>
      <c r="AF155" s="19">
        <f t="shared" si="12"/>
        <v>35</v>
      </c>
      <c r="AG155" s="20">
        <f t="shared" si="13"/>
        <v>2.75</v>
      </c>
      <c r="AH155" s="20">
        <f t="shared" si="10"/>
        <v>2.9166666666666665</v>
      </c>
      <c r="AI155" s="21"/>
      <c r="AJ155" s="13"/>
      <c r="AK155" s="13"/>
    </row>
    <row r="156" spans="1:37" x14ac:dyDescent="0.35">
      <c r="A156" s="15" t="str">
        <f>VLOOKUP(B156,'[1]Tabla 1 Arsenal'!$B$11:$K$380,10,FALSE)</f>
        <v>P032</v>
      </c>
      <c r="B156" s="15">
        <v>102067</v>
      </c>
      <c r="C156" s="16" t="s">
        <v>208</v>
      </c>
      <c r="D156" s="16" t="s">
        <v>86</v>
      </c>
      <c r="E156" s="17">
        <v>23</v>
      </c>
      <c r="F156" s="18" t="s">
        <v>23</v>
      </c>
      <c r="G156" s="19">
        <v>215</v>
      </c>
      <c r="H156" s="19">
        <v>141</v>
      </c>
      <c r="I156" s="19">
        <v>289</v>
      </c>
      <c r="J156" s="19">
        <v>499</v>
      </c>
      <c r="K156" s="19">
        <v>432</v>
      </c>
      <c r="L156" s="19">
        <v>211</v>
      </c>
      <c r="M156" s="19">
        <v>292</v>
      </c>
      <c r="N156" s="19">
        <v>282</v>
      </c>
      <c r="O156" s="19">
        <v>87</v>
      </c>
      <c r="P156" s="19">
        <v>247</v>
      </c>
      <c r="Q156" s="19">
        <v>142</v>
      </c>
      <c r="R156" s="19">
        <v>254</v>
      </c>
      <c r="S156" s="19">
        <v>191</v>
      </c>
      <c r="T156" s="19">
        <v>184</v>
      </c>
      <c r="U156" s="19">
        <v>172</v>
      </c>
      <c r="V156" s="19">
        <v>293</v>
      </c>
      <c r="W156" s="19">
        <v>375</v>
      </c>
      <c r="X156" s="19">
        <v>156</v>
      </c>
      <c r="Y156" s="19">
        <v>591</v>
      </c>
      <c r="Z156" s="19">
        <v>332</v>
      </c>
      <c r="AA156" s="19">
        <v>151</v>
      </c>
      <c r="AB156" s="19">
        <v>176</v>
      </c>
      <c r="AC156" s="19">
        <v>436</v>
      </c>
      <c r="AD156" s="19">
        <v>220</v>
      </c>
      <c r="AE156" s="19">
        <f t="shared" si="11"/>
        <v>3091</v>
      </c>
      <c r="AF156" s="19">
        <f t="shared" si="12"/>
        <v>3277</v>
      </c>
      <c r="AG156" s="20">
        <f t="shared" si="13"/>
        <v>257.58333333333331</v>
      </c>
      <c r="AH156" s="20">
        <f t="shared" si="10"/>
        <v>273.08333333333331</v>
      </c>
      <c r="AI156" s="21"/>
      <c r="AJ156" s="13"/>
      <c r="AK156" s="13"/>
    </row>
    <row r="157" spans="1:37" x14ac:dyDescent="0.35">
      <c r="A157" s="15" t="str">
        <f>VLOOKUP(B157,'[1]Tabla 1 Arsenal'!$B$11:$K$380,10,FALSE)</f>
        <v>P261</v>
      </c>
      <c r="B157" s="15">
        <v>102151</v>
      </c>
      <c r="C157" s="16" t="s">
        <v>209</v>
      </c>
      <c r="D157" s="16" t="s">
        <v>39</v>
      </c>
      <c r="E157" s="17">
        <v>119000</v>
      </c>
      <c r="F157" s="18" t="s">
        <v>23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17</v>
      </c>
      <c r="S157" s="19">
        <v>0</v>
      </c>
      <c r="T157" s="19">
        <v>5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6</v>
      </c>
      <c r="AD157" s="19">
        <v>7</v>
      </c>
      <c r="AE157" s="19">
        <f t="shared" si="11"/>
        <v>17</v>
      </c>
      <c r="AF157" s="19">
        <f t="shared" si="12"/>
        <v>18</v>
      </c>
      <c r="AG157" s="20">
        <f t="shared" si="13"/>
        <v>1.4166666666666667</v>
      </c>
      <c r="AH157" s="20">
        <f t="shared" si="10"/>
        <v>1.5</v>
      </c>
      <c r="AI157" s="21"/>
      <c r="AJ157" s="13"/>
      <c r="AK157" s="13"/>
    </row>
    <row r="158" spans="1:37" x14ac:dyDescent="0.35">
      <c r="A158" s="15" t="str">
        <f>VLOOKUP(B158,'[1]Tabla 1 Arsenal'!$B$11:$K$380,10,FALSE)</f>
        <v>P150</v>
      </c>
      <c r="B158" s="15">
        <v>108003</v>
      </c>
      <c r="C158" s="16" t="s">
        <v>210</v>
      </c>
      <c r="D158" s="16" t="s">
        <v>135</v>
      </c>
      <c r="E158" s="17">
        <v>655</v>
      </c>
      <c r="F158" s="18" t="s">
        <v>23</v>
      </c>
      <c r="G158" s="19">
        <v>0</v>
      </c>
      <c r="H158" s="19">
        <v>20</v>
      </c>
      <c r="I158" s="19">
        <v>1</v>
      </c>
      <c r="J158" s="19">
        <v>17</v>
      </c>
      <c r="K158" s="19">
        <v>18</v>
      </c>
      <c r="L158" s="19">
        <v>15</v>
      </c>
      <c r="M158" s="19">
        <v>11</v>
      </c>
      <c r="N158" s="19">
        <v>23</v>
      </c>
      <c r="O158" s="19">
        <v>10</v>
      </c>
      <c r="P158" s="19">
        <v>19</v>
      </c>
      <c r="Q158" s="19">
        <v>2</v>
      </c>
      <c r="R158" s="19">
        <v>5</v>
      </c>
      <c r="S158" s="19">
        <v>3</v>
      </c>
      <c r="T158" s="19">
        <v>23</v>
      </c>
      <c r="U158" s="19">
        <v>0</v>
      </c>
      <c r="V158" s="19">
        <v>8</v>
      </c>
      <c r="W158" s="19">
        <v>21</v>
      </c>
      <c r="X158" s="19">
        <v>12</v>
      </c>
      <c r="Y158" s="19">
        <v>10</v>
      </c>
      <c r="Z158" s="19">
        <v>9</v>
      </c>
      <c r="AA158" s="19">
        <v>30</v>
      </c>
      <c r="AB158" s="19">
        <v>20</v>
      </c>
      <c r="AC158" s="19">
        <v>5</v>
      </c>
      <c r="AD158" s="19">
        <v>8</v>
      </c>
      <c r="AE158" s="19">
        <f t="shared" si="11"/>
        <v>141</v>
      </c>
      <c r="AF158" s="19">
        <f t="shared" si="12"/>
        <v>149</v>
      </c>
      <c r="AG158" s="20">
        <f t="shared" si="13"/>
        <v>11.75</v>
      </c>
      <c r="AH158" s="20">
        <f t="shared" si="10"/>
        <v>12.416666666666666</v>
      </c>
      <c r="AI158" s="21"/>
      <c r="AJ158" s="13"/>
      <c r="AK158" s="13"/>
    </row>
    <row r="159" spans="1:37" x14ac:dyDescent="0.35">
      <c r="A159" s="15" t="str">
        <f>VLOOKUP(B159,'[1]Tabla 1 Arsenal'!$B$11:$K$380,10,FALSE)</f>
        <v>P098</v>
      </c>
      <c r="B159" s="15">
        <v>104054</v>
      </c>
      <c r="C159" s="16" t="s">
        <v>211</v>
      </c>
      <c r="D159" s="16" t="s">
        <v>32</v>
      </c>
      <c r="E159" s="17">
        <v>464</v>
      </c>
      <c r="F159" s="18" t="s">
        <v>55</v>
      </c>
      <c r="G159" s="19">
        <v>2709</v>
      </c>
      <c r="H159" s="19">
        <v>2858</v>
      </c>
      <c r="I159" s="19">
        <v>2968</v>
      </c>
      <c r="J159" s="19">
        <v>2902</v>
      </c>
      <c r="K159" s="19">
        <v>2778</v>
      </c>
      <c r="L159" s="19">
        <v>3245</v>
      </c>
      <c r="M159" s="19">
        <v>2735</v>
      </c>
      <c r="N159" s="19">
        <v>3131</v>
      </c>
      <c r="O159" s="19">
        <v>2423</v>
      </c>
      <c r="P159" s="19">
        <v>2768</v>
      </c>
      <c r="Q159" s="19">
        <v>2686</v>
      </c>
      <c r="R159" s="19">
        <v>2416</v>
      </c>
      <c r="S159" s="19">
        <v>2932</v>
      </c>
      <c r="T159" s="19">
        <v>2631</v>
      </c>
      <c r="U159" s="19">
        <v>2913</v>
      </c>
      <c r="V159" s="19">
        <v>3309</v>
      </c>
      <c r="W159" s="19">
        <v>2988</v>
      </c>
      <c r="X159" s="19">
        <v>2501</v>
      </c>
      <c r="Y159" s="19">
        <v>3274</v>
      </c>
      <c r="Z159" s="19">
        <v>3266</v>
      </c>
      <c r="AA159" s="19">
        <v>2205</v>
      </c>
      <c r="AB159" s="19">
        <v>3311</v>
      </c>
      <c r="AC159" s="19">
        <v>3054</v>
      </c>
      <c r="AD159" s="19">
        <v>2950</v>
      </c>
      <c r="AE159" s="19">
        <f t="shared" si="11"/>
        <v>33619</v>
      </c>
      <c r="AF159" s="19">
        <f t="shared" si="12"/>
        <v>35334</v>
      </c>
      <c r="AG159" s="20">
        <f t="shared" si="13"/>
        <v>2801.5833333333335</v>
      </c>
      <c r="AH159" s="20">
        <f t="shared" si="10"/>
        <v>2944.5</v>
      </c>
      <c r="AI159" s="21"/>
      <c r="AJ159" s="13"/>
      <c r="AK159" s="13"/>
    </row>
    <row r="160" spans="1:37" x14ac:dyDescent="0.35">
      <c r="A160" s="15" t="str">
        <f>VLOOKUP(B160,'[1]Tabla 1 Arsenal'!$B$11:$K$380,10,FALSE)</f>
        <v>P324</v>
      </c>
      <c r="B160" s="15">
        <v>102119</v>
      </c>
      <c r="C160" s="16" t="s">
        <v>212</v>
      </c>
      <c r="D160" s="16" t="s">
        <v>37</v>
      </c>
      <c r="E160" s="17">
        <v>833</v>
      </c>
      <c r="F160" s="18" t="s">
        <v>23</v>
      </c>
      <c r="G160" s="19">
        <v>21</v>
      </c>
      <c r="H160" s="19">
        <v>161</v>
      </c>
      <c r="I160" s="19">
        <v>97</v>
      </c>
      <c r="J160" s="19">
        <v>149</v>
      </c>
      <c r="K160" s="19">
        <v>95</v>
      </c>
      <c r="L160" s="19">
        <v>3</v>
      </c>
      <c r="M160" s="19">
        <v>23</v>
      </c>
      <c r="N160" s="19">
        <v>78</v>
      </c>
      <c r="O160" s="19">
        <v>285</v>
      </c>
      <c r="P160" s="19">
        <v>15</v>
      </c>
      <c r="Q160" s="19">
        <v>7</v>
      </c>
      <c r="R160" s="19">
        <v>40</v>
      </c>
      <c r="S160" s="19">
        <v>38</v>
      </c>
      <c r="T160" s="19">
        <v>12</v>
      </c>
      <c r="U160" s="19">
        <v>4</v>
      </c>
      <c r="V160" s="19">
        <v>29</v>
      </c>
      <c r="W160" s="19">
        <v>2</v>
      </c>
      <c r="X160" s="19">
        <v>12</v>
      </c>
      <c r="Y160" s="19">
        <v>57</v>
      </c>
      <c r="Z160" s="19">
        <v>22</v>
      </c>
      <c r="AA160" s="19">
        <v>55</v>
      </c>
      <c r="AB160" s="19">
        <v>179</v>
      </c>
      <c r="AC160" s="19">
        <v>333</v>
      </c>
      <c r="AD160" s="19">
        <v>280</v>
      </c>
      <c r="AE160" s="19">
        <f t="shared" si="11"/>
        <v>974</v>
      </c>
      <c r="AF160" s="19">
        <f t="shared" si="12"/>
        <v>1023</v>
      </c>
      <c r="AG160" s="20">
        <f t="shared" si="13"/>
        <v>81.166666666666671</v>
      </c>
      <c r="AH160" s="20">
        <f t="shared" si="10"/>
        <v>85.25</v>
      </c>
      <c r="AI160" s="21"/>
      <c r="AJ160" s="13"/>
      <c r="AK160" s="13"/>
    </row>
    <row r="161" spans="1:37" x14ac:dyDescent="0.35">
      <c r="A161" s="15" t="str">
        <f>VLOOKUP(B161,'[1]Tabla 1 Arsenal'!$B$11:$K$380,10,FALSE)</f>
        <v>P201</v>
      </c>
      <c r="B161" s="15">
        <v>105004</v>
      </c>
      <c r="C161" s="16" t="s">
        <v>213</v>
      </c>
      <c r="D161" s="16" t="s">
        <v>23</v>
      </c>
      <c r="E161" s="17">
        <v>8914</v>
      </c>
      <c r="F161" s="18" t="s">
        <v>23</v>
      </c>
      <c r="G161" s="19">
        <v>6</v>
      </c>
      <c r="H161" s="19">
        <v>0</v>
      </c>
      <c r="I161" s="19">
        <v>2</v>
      </c>
      <c r="J161" s="19">
        <v>15</v>
      </c>
      <c r="K161" s="19">
        <v>1</v>
      </c>
      <c r="L161" s="19">
        <v>0</v>
      </c>
      <c r="M161" s="19">
        <v>1</v>
      </c>
      <c r="N161" s="19">
        <v>5</v>
      </c>
      <c r="O161" s="19">
        <v>0</v>
      </c>
      <c r="P161" s="19">
        <v>2</v>
      </c>
      <c r="Q161" s="19">
        <v>8</v>
      </c>
      <c r="R161" s="19">
        <v>1</v>
      </c>
      <c r="S161" s="19">
        <v>3</v>
      </c>
      <c r="T161" s="19">
        <v>2</v>
      </c>
      <c r="U161" s="19">
        <v>0</v>
      </c>
      <c r="V161" s="19">
        <v>5</v>
      </c>
      <c r="W161" s="19">
        <v>2</v>
      </c>
      <c r="X161" s="19">
        <v>6</v>
      </c>
      <c r="Y161" s="19">
        <v>5</v>
      </c>
      <c r="Z161" s="19">
        <v>6</v>
      </c>
      <c r="AA161" s="19">
        <v>9</v>
      </c>
      <c r="AB161" s="19">
        <v>1</v>
      </c>
      <c r="AC161" s="19">
        <v>2</v>
      </c>
      <c r="AD161" s="19">
        <v>2</v>
      </c>
      <c r="AE161" s="19">
        <f t="shared" si="11"/>
        <v>41</v>
      </c>
      <c r="AF161" s="19">
        <f t="shared" si="12"/>
        <v>43</v>
      </c>
      <c r="AG161" s="20">
        <f t="shared" si="13"/>
        <v>3.4166666666666665</v>
      </c>
      <c r="AH161" s="20">
        <f t="shared" si="10"/>
        <v>3.5833333333333335</v>
      </c>
      <c r="AI161" s="21"/>
      <c r="AJ161" s="13"/>
      <c r="AK161" s="13"/>
    </row>
    <row r="162" spans="1:37" x14ac:dyDescent="0.35">
      <c r="A162" s="15" t="str">
        <f>VLOOKUP(B162,'[1]Tabla 1 Arsenal'!$B$11:$K$380,10,FALSE)</f>
        <v>P071</v>
      </c>
      <c r="B162" s="15">
        <v>209014</v>
      </c>
      <c r="C162" s="16" t="s">
        <v>214</v>
      </c>
      <c r="D162" s="16" t="s">
        <v>22</v>
      </c>
      <c r="E162" s="17">
        <v>11983</v>
      </c>
      <c r="F162" s="18" t="s">
        <v>55</v>
      </c>
      <c r="G162" s="19">
        <v>188</v>
      </c>
      <c r="H162" s="19">
        <v>164</v>
      </c>
      <c r="I162" s="19">
        <v>233</v>
      </c>
      <c r="J162" s="19">
        <v>156</v>
      </c>
      <c r="K162" s="19">
        <v>156</v>
      </c>
      <c r="L162" s="19">
        <v>100</v>
      </c>
      <c r="M162" s="19">
        <v>180</v>
      </c>
      <c r="N162" s="19">
        <v>210</v>
      </c>
      <c r="O162" s="19">
        <v>154</v>
      </c>
      <c r="P162" s="19">
        <v>167</v>
      </c>
      <c r="Q162" s="19">
        <v>161</v>
      </c>
      <c r="R162" s="19">
        <v>152</v>
      </c>
      <c r="S162" s="19">
        <v>249</v>
      </c>
      <c r="T162" s="19">
        <v>140</v>
      </c>
      <c r="U162" s="19">
        <v>211</v>
      </c>
      <c r="V162" s="19">
        <v>204</v>
      </c>
      <c r="W162" s="19">
        <v>129</v>
      </c>
      <c r="X162" s="19">
        <v>138</v>
      </c>
      <c r="Y162" s="19">
        <v>179</v>
      </c>
      <c r="Z162" s="19">
        <v>172</v>
      </c>
      <c r="AA162" s="19">
        <v>120</v>
      </c>
      <c r="AB162" s="19">
        <v>193</v>
      </c>
      <c r="AC162" s="19">
        <v>181</v>
      </c>
      <c r="AD162" s="19">
        <v>199</v>
      </c>
      <c r="AE162" s="19">
        <f t="shared" si="11"/>
        <v>2021</v>
      </c>
      <c r="AF162" s="19">
        <f t="shared" si="12"/>
        <v>2115</v>
      </c>
      <c r="AG162" s="20">
        <f t="shared" si="13"/>
        <v>168.41666666666666</v>
      </c>
      <c r="AH162" s="20">
        <f t="shared" si="10"/>
        <v>176.25</v>
      </c>
      <c r="AI162" s="21"/>
      <c r="AJ162" s="13"/>
      <c r="AK162" s="13"/>
    </row>
    <row r="163" spans="1:37" x14ac:dyDescent="0.35">
      <c r="A163" s="15" t="str">
        <f>VLOOKUP(B163,'[1]Tabla 1 Arsenal'!$B$11:$K$380,10,FALSE)</f>
        <v>P052</v>
      </c>
      <c r="B163" s="15">
        <v>101033</v>
      </c>
      <c r="C163" s="16" t="s">
        <v>215</v>
      </c>
      <c r="D163" s="16" t="s">
        <v>32</v>
      </c>
      <c r="E163" s="17">
        <v>18</v>
      </c>
      <c r="F163" s="18" t="s">
        <v>23</v>
      </c>
      <c r="G163" s="19">
        <v>40856</v>
      </c>
      <c r="H163" s="19">
        <v>38194</v>
      </c>
      <c r="I163" s="19">
        <v>42879.35</v>
      </c>
      <c r="J163" s="19">
        <v>42498</v>
      </c>
      <c r="K163" s="19">
        <v>43471</v>
      </c>
      <c r="L163" s="19">
        <v>43865</v>
      </c>
      <c r="M163" s="19">
        <v>44694</v>
      </c>
      <c r="N163" s="19">
        <v>48137</v>
      </c>
      <c r="O163" s="19">
        <v>44769</v>
      </c>
      <c r="P163" s="19">
        <v>44458</v>
      </c>
      <c r="Q163" s="19">
        <v>46568</v>
      </c>
      <c r="R163" s="19">
        <v>46826</v>
      </c>
      <c r="S163" s="19">
        <v>45963</v>
      </c>
      <c r="T163" s="19">
        <v>42153</v>
      </c>
      <c r="U163" s="19">
        <v>47482</v>
      </c>
      <c r="V163" s="19">
        <v>45481.65</v>
      </c>
      <c r="W163" s="19">
        <v>49836</v>
      </c>
      <c r="X163" s="19">
        <v>45617</v>
      </c>
      <c r="Y163" s="19">
        <v>45708</v>
      </c>
      <c r="Z163" s="19">
        <v>47575</v>
      </c>
      <c r="AA163" s="19">
        <v>42979</v>
      </c>
      <c r="AB163" s="19">
        <v>46857</v>
      </c>
      <c r="AC163" s="19">
        <v>44787</v>
      </c>
      <c r="AD163" s="19">
        <v>46373</v>
      </c>
      <c r="AE163" s="19">
        <f t="shared" si="11"/>
        <v>527215.35</v>
      </c>
      <c r="AF163" s="19">
        <f t="shared" si="12"/>
        <v>550811.65</v>
      </c>
      <c r="AG163" s="20">
        <f t="shared" si="13"/>
        <v>43934.612499999996</v>
      </c>
      <c r="AH163" s="20">
        <f t="shared" ref="AH163:AH226" si="14">AVERAGE(S163:AD163)</f>
        <v>45900.970833333333</v>
      </c>
      <c r="AI163" s="21"/>
      <c r="AJ163" s="13"/>
      <c r="AK163" s="13"/>
    </row>
    <row r="164" spans="1:37" x14ac:dyDescent="0.35">
      <c r="A164" s="15" t="str">
        <f>VLOOKUP(B164,'[1]Tabla 1 Arsenal'!$B$11:$K$380,10,FALSE)</f>
        <v>P195</v>
      </c>
      <c r="B164" s="15">
        <v>101028</v>
      </c>
      <c r="C164" s="16" t="s">
        <v>216</v>
      </c>
      <c r="D164" s="16" t="s">
        <v>32</v>
      </c>
      <c r="E164" s="17">
        <v>58</v>
      </c>
      <c r="F164" s="18" t="s">
        <v>55</v>
      </c>
      <c r="G164" s="19">
        <v>8430</v>
      </c>
      <c r="H164" s="19">
        <v>8160</v>
      </c>
      <c r="I164" s="19">
        <v>9090</v>
      </c>
      <c r="J164" s="19">
        <v>9120</v>
      </c>
      <c r="K164" s="19">
        <v>9450</v>
      </c>
      <c r="L164" s="19">
        <v>9870</v>
      </c>
      <c r="M164" s="19">
        <v>10380</v>
      </c>
      <c r="N164" s="19">
        <v>10200</v>
      </c>
      <c r="O164" s="19">
        <v>10050</v>
      </c>
      <c r="P164" s="19">
        <v>10260</v>
      </c>
      <c r="Q164" s="19">
        <v>10140</v>
      </c>
      <c r="R164" s="19">
        <v>10830</v>
      </c>
      <c r="S164" s="19">
        <v>10800</v>
      </c>
      <c r="T164" s="19">
        <v>9510</v>
      </c>
      <c r="U164" s="19">
        <v>10080</v>
      </c>
      <c r="V164" s="19">
        <v>10320</v>
      </c>
      <c r="W164" s="19">
        <v>9960</v>
      </c>
      <c r="X164" s="19">
        <v>9480</v>
      </c>
      <c r="Y164" s="19">
        <v>10170</v>
      </c>
      <c r="Z164" s="19">
        <v>10230</v>
      </c>
      <c r="AA164" s="19">
        <v>10080</v>
      </c>
      <c r="AB164" s="19">
        <v>9990</v>
      </c>
      <c r="AC164" s="19">
        <v>9900</v>
      </c>
      <c r="AD164" s="19">
        <v>9990</v>
      </c>
      <c r="AE164" s="19">
        <f t="shared" si="11"/>
        <v>115980</v>
      </c>
      <c r="AF164" s="19">
        <f t="shared" si="12"/>
        <v>120510</v>
      </c>
      <c r="AG164" s="20">
        <f t="shared" si="13"/>
        <v>9665</v>
      </c>
      <c r="AH164" s="20">
        <f t="shared" si="14"/>
        <v>10042.5</v>
      </c>
      <c r="AI164" s="21"/>
      <c r="AJ164" s="13"/>
      <c r="AK164" s="13"/>
    </row>
    <row r="165" spans="1:37" x14ac:dyDescent="0.35">
      <c r="A165" s="15" t="str">
        <f>VLOOKUP(B165,'[1]Tabla 1 Arsenal'!$B$11:$K$380,10,FALSE)</f>
        <v>P208</v>
      </c>
      <c r="B165" s="15">
        <v>104019</v>
      </c>
      <c r="C165" s="16" t="s">
        <v>217</v>
      </c>
      <c r="D165" s="16" t="s">
        <v>32</v>
      </c>
      <c r="E165" s="17">
        <v>40</v>
      </c>
      <c r="F165" s="18" t="s">
        <v>23</v>
      </c>
      <c r="G165" s="19">
        <v>11173</v>
      </c>
      <c r="H165" s="19">
        <v>10667</v>
      </c>
      <c r="I165" s="19">
        <v>11651</v>
      </c>
      <c r="J165" s="19">
        <v>10272</v>
      </c>
      <c r="K165" s="19">
        <v>11246</v>
      </c>
      <c r="L165" s="19">
        <v>10470</v>
      </c>
      <c r="M165" s="19">
        <v>10970</v>
      </c>
      <c r="N165" s="19">
        <v>12621</v>
      </c>
      <c r="O165" s="19">
        <v>11488</v>
      </c>
      <c r="P165" s="19">
        <v>11278</v>
      </c>
      <c r="Q165" s="19">
        <v>12020</v>
      </c>
      <c r="R165" s="19">
        <v>8688</v>
      </c>
      <c r="S165" s="19">
        <v>10449</v>
      </c>
      <c r="T165" s="19">
        <v>8734</v>
      </c>
      <c r="U165" s="19">
        <v>9945</v>
      </c>
      <c r="V165" s="19">
        <v>12939</v>
      </c>
      <c r="W165" s="19">
        <v>13250</v>
      </c>
      <c r="X165" s="19">
        <v>10237</v>
      </c>
      <c r="Y165" s="19">
        <v>13272</v>
      </c>
      <c r="Z165" s="19">
        <v>13549</v>
      </c>
      <c r="AA165" s="19">
        <v>9883</v>
      </c>
      <c r="AB165" s="19">
        <v>13163</v>
      </c>
      <c r="AC165" s="19">
        <v>11185</v>
      </c>
      <c r="AD165" s="19">
        <v>11045</v>
      </c>
      <c r="AE165" s="19">
        <f t="shared" si="11"/>
        <v>132544</v>
      </c>
      <c r="AF165" s="19">
        <f t="shared" si="12"/>
        <v>137651</v>
      </c>
      <c r="AG165" s="20">
        <f t="shared" si="13"/>
        <v>11045.333333333334</v>
      </c>
      <c r="AH165" s="20">
        <f t="shared" si="14"/>
        <v>11470.916666666666</v>
      </c>
      <c r="AI165" s="21"/>
      <c r="AJ165" s="13"/>
      <c r="AK165" s="13"/>
    </row>
    <row r="166" spans="1:37" x14ac:dyDescent="0.35">
      <c r="A166" s="15" t="str">
        <f>VLOOKUP(B166,'[1]Tabla 1 Arsenal'!$B$11:$K$380,10,FALSE)</f>
        <v>P140</v>
      </c>
      <c r="B166" s="15">
        <v>104014</v>
      </c>
      <c r="C166" s="16" t="s">
        <v>218</v>
      </c>
      <c r="D166" s="16" t="s">
        <v>32</v>
      </c>
      <c r="E166" s="17">
        <v>70</v>
      </c>
      <c r="F166" s="18" t="s">
        <v>23</v>
      </c>
      <c r="G166" s="19">
        <v>2958</v>
      </c>
      <c r="H166" s="19">
        <v>2750</v>
      </c>
      <c r="I166" s="19">
        <v>3114</v>
      </c>
      <c r="J166" s="19">
        <v>2337</v>
      </c>
      <c r="K166" s="19">
        <v>2772</v>
      </c>
      <c r="L166" s="19">
        <v>2343</v>
      </c>
      <c r="M166" s="19">
        <v>1962</v>
      </c>
      <c r="N166" s="19">
        <v>3770</v>
      </c>
      <c r="O166" s="19">
        <v>2245</v>
      </c>
      <c r="P166" s="19">
        <v>2321</v>
      </c>
      <c r="Q166" s="19">
        <v>2716</v>
      </c>
      <c r="R166" s="19">
        <v>2085</v>
      </c>
      <c r="S166" s="19">
        <v>3648</v>
      </c>
      <c r="T166" s="19">
        <v>2457</v>
      </c>
      <c r="U166" s="19">
        <v>2800</v>
      </c>
      <c r="V166" s="19">
        <v>3895</v>
      </c>
      <c r="W166" s="19">
        <v>2852</v>
      </c>
      <c r="X166" s="19">
        <v>1784</v>
      </c>
      <c r="Y166" s="19">
        <v>2338</v>
      </c>
      <c r="Z166" s="19">
        <v>2969</v>
      </c>
      <c r="AA166" s="19">
        <v>2108</v>
      </c>
      <c r="AB166" s="19">
        <v>3214</v>
      </c>
      <c r="AC166" s="19">
        <v>2439</v>
      </c>
      <c r="AD166" s="19">
        <v>1997</v>
      </c>
      <c r="AE166" s="19">
        <f t="shared" si="11"/>
        <v>31373</v>
      </c>
      <c r="AF166" s="19">
        <f t="shared" si="12"/>
        <v>32501</v>
      </c>
      <c r="AG166" s="20">
        <f t="shared" si="13"/>
        <v>2614.4166666666665</v>
      </c>
      <c r="AH166" s="20">
        <f t="shared" si="14"/>
        <v>2708.4166666666665</v>
      </c>
      <c r="AI166" s="21"/>
      <c r="AJ166" s="13"/>
      <c r="AK166" s="13"/>
    </row>
    <row r="167" spans="1:37" x14ac:dyDescent="0.35">
      <c r="A167" s="15" t="str">
        <f>VLOOKUP(B167,'[1]Tabla 1 Arsenal'!$B$11:$K$380,10,FALSE)</f>
        <v>P240</v>
      </c>
      <c r="B167" s="15">
        <v>209165</v>
      </c>
      <c r="C167" s="16" t="s">
        <v>219</v>
      </c>
      <c r="D167" s="16" t="s">
        <v>23</v>
      </c>
      <c r="E167" s="17">
        <v>9496</v>
      </c>
      <c r="F167" s="18" t="s">
        <v>23</v>
      </c>
      <c r="G167" s="19">
        <v>244</v>
      </c>
      <c r="H167" s="19">
        <v>186</v>
      </c>
      <c r="I167" s="19">
        <v>196</v>
      </c>
      <c r="J167" s="19">
        <v>216</v>
      </c>
      <c r="K167" s="19">
        <v>194</v>
      </c>
      <c r="L167" s="19">
        <v>159</v>
      </c>
      <c r="M167" s="19">
        <v>220</v>
      </c>
      <c r="N167" s="19">
        <v>212</v>
      </c>
      <c r="O167" s="19">
        <v>220</v>
      </c>
      <c r="P167" s="19">
        <v>209</v>
      </c>
      <c r="Q167" s="19">
        <v>205</v>
      </c>
      <c r="R167" s="19">
        <v>195</v>
      </c>
      <c r="S167" s="19">
        <v>261</v>
      </c>
      <c r="T167" s="19">
        <v>164</v>
      </c>
      <c r="U167" s="19">
        <v>204</v>
      </c>
      <c r="V167" s="19">
        <v>206</v>
      </c>
      <c r="W167" s="19">
        <v>241</v>
      </c>
      <c r="X167" s="19">
        <v>208</v>
      </c>
      <c r="Y167" s="19">
        <v>217</v>
      </c>
      <c r="Z167" s="19">
        <v>214</v>
      </c>
      <c r="AA167" s="19">
        <v>176</v>
      </c>
      <c r="AB167" s="19">
        <v>246</v>
      </c>
      <c r="AC167" s="19">
        <v>185</v>
      </c>
      <c r="AD167" s="19">
        <v>222</v>
      </c>
      <c r="AE167" s="19">
        <f t="shared" si="11"/>
        <v>2456</v>
      </c>
      <c r="AF167" s="19">
        <f t="shared" si="12"/>
        <v>2544</v>
      </c>
      <c r="AG167" s="20">
        <f t="shared" si="13"/>
        <v>204.66666666666666</v>
      </c>
      <c r="AH167" s="20">
        <f t="shared" si="14"/>
        <v>212</v>
      </c>
      <c r="AI167" s="21"/>
      <c r="AJ167" s="13"/>
      <c r="AK167" s="13"/>
    </row>
    <row r="168" spans="1:37" x14ac:dyDescent="0.35">
      <c r="A168" s="15" t="str">
        <f>VLOOKUP(B168,'[1]Tabla 1 Arsenal'!$B$11:$K$380,10,FALSE)</f>
        <v>P101</v>
      </c>
      <c r="B168" s="15">
        <v>102049</v>
      </c>
      <c r="C168" s="16" t="s">
        <v>220</v>
      </c>
      <c r="D168" s="16" t="s">
        <v>32</v>
      </c>
      <c r="E168" s="17">
        <v>334</v>
      </c>
      <c r="F168" s="18" t="s">
        <v>23</v>
      </c>
      <c r="G168" s="19">
        <v>35</v>
      </c>
      <c r="H168" s="19">
        <v>21</v>
      </c>
      <c r="I168" s="19">
        <v>44</v>
      </c>
      <c r="J168" s="19">
        <v>10</v>
      </c>
      <c r="K168" s="19">
        <v>114</v>
      </c>
      <c r="L168" s="19">
        <v>52</v>
      </c>
      <c r="M168" s="19">
        <v>32</v>
      </c>
      <c r="N168" s="19">
        <v>39</v>
      </c>
      <c r="O168" s="19">
        <v>44</v>
      </c>
      <c r="P168" s="19">
        <v>43</v>
      </c>
      <c r="Q168" s="19">
        <v>16</v>
      </c>
      <c r="R168" s="19">
        <v>41</v>
      </c>
      <c r="S168" s="19">
        <v>18</v>
      </c>
      <c r="T168" s="19">
        <v>39</v>
      </c>
      <c r="U168" s="19">
        <v>52</v>
      </c>
      <c r="V168" s="19">
        <v>18</v>
      </c>
      <c r="W168" s="19">
        <v>42</v>
      </c>
      <c r="X168" s="19">
        <v>85</v>
      </c>
      <c r="Y168" s="19">
        <v>23</v>
      </c>
      <c r="Z168" s="19">
        <v>55</v>
      </c>
      <c r="AA168" s="19">
        <v>36</v>
      </c>
      <c r="AB168" s="19">
        <v>99</v>
      </c>
      <c r="AC168" s="19">
        <v>17</v>
      </c>
      <c r="AD168" s="19">
        <v>24</v>
      </c>
      <c r="AE168" s="19">
        <f t="shared" si="11"/>
        <v>491</v>
      </c>
      <c r="AF168" s="19">
        <f t="shared" si="12"/>
        <v>508</v>
      </c>
      <c r="AG168" s="20">
        <f t="shared" si="13"/>
        <v>40.916666666666664</v>
      </c>
      <c r="AH168" s="20">
        <f t="shared" si="14"/>
        <v>42.333333333333336</v>
      </c>
      <c r="AI168" s="21"/>
      <c r="AJ168" s="13"/>
      <c r="AK168" s="13"/>
    </row>
    <row r="169" spans="1:37" x14ac:dyDescent="0.35">
      <c r="A169" s="15" t="str">
        <f>VLOOKUP(B169,'[1]Tabla 1 Arsenal'!$B$11:$K$380,10,FALSE)</f>
        <v>P223</v>
      </c>
      <c r="B169" s="15">
        <v>102011</v>
      </c>
      <c r="C169" s="16" t="s">
        <v>221</v>
      </c>
      <c r="D169" s="16" t="s">
        <v>32</v>
      </c>
      <c r="E169" s="17">
        <v>1070</v>
      </c>
      <c r="F169" s="18" t="s">
        <v>23</v>
      </c>
      <c r="G169" s="19">
        <v>2593</v>
      </c>
      <c r="H169" s="19">
        <v>2402</v>
      </c>
      <c r="I169" s="19">
        <v>2242</v>
      </c>
      <c r="J169" s="19">
        <v>3012</v>
      </c>
      <c r="K169" s="19">
        <v>2982</v>
      </c>
      <c r="L169" s="19">
        <v>2742</v>
      </c>
      <c r="M169" s="19">
        <v>2950</v>
      </c>
      <c r="N169" s="19">
        <v>2525</v>
      </c>
      <c r="O169" s="19">
        <v>1082</v>
      </c>
      <c r="P169" s="19">
        <v>1558</v>
      </c>
      <c r="Q169" s="19">
        <v>2542</v>
      </c>
      <c r="R169" s="19">
        <v>2638</v>
      </c>
      <c r="S169" s="19">
        <v>3060</v>
      </c>
      <c r="T169" s="19">
        <v>2245</v>
      </c>
      <c r="U169" s="19">
        <v>3371</v>
      </c>
      <c r="V169" s="19">
        <v>2415</v>
      </c>
      <c r="W169" s="19">
        <v>3221</v>
      </c>
      <c r="X169" s="19">
        <v>1649</v>
      </c>
      <c r="Y169" s="19">
        <v>2741</v>
      </c>
      <c r="Z169" s="19">
        <v>2675</v>
      </c>
      <c r="AA169" s="19">
        <v>1780</v>
      </c>
      <c r="AB169" s="19">
        <v>2012</v>
      </c>
      <c r="AC169" s="19">
        <v>2424</v>
      </c>
      <c r="AD169" s="19">
        <v>2685</v>
      </c>
      <c r="AE169" s="19">
        <f t="shared" si="11"/>
        <v>29268</v>
      </c>
      <c r="AF169" s="19">
        <f t="shared" si="12"/>
        <v>30278</v>
      </c>
      <c r="AG169" s="20">
        <f t="shared" si="13"/>
        <v>2439</v>
      </c>
      <c r="AH169" s="20">
        <f t="shared" si="14"/>
        <v>2523.1666666666665</v>
      </c>
      <c r="AI169" s="21"/>
      <c r="AJ169" s="13"/>
      <c r="AK169" s="13"/>
    </row>
    <row r="170" spans="1:37" x14ac:dyDescent="0.35">
      <c r="A170" s="15" t="str">
        <f>VLOOKUP(B170,'[1]Tabla 1 Arsenal'!$B$11:$K$380,10,FALSE)</f>
        <v>P358</v>
      </c>
      <c r="B170" s="15">
        <v>101052</v>
      </c>
      <c r="C170" s="16" t="s">
        <v>222</v>
      </c>
      <c r="D170" s="16" t="s">
        <v>22</v>
      </c>
      <c r="E170" s="17">
        <v>1824137</v>
      </c>
      <c r="F170" s="18" t="s">
        <v>55</v>
      </c>
      <c r="G170" s="19">
        <v>22</v>
      </c>
      <c r="H170" s="19">
        <v>12</v>
      </c>
      <c r="I170" s="19">
        <v>14</v>
      </c>
      <c r="J170" s="19">
        <v>13</v>
      </c>
      <c r="K170" s="19">
        <v>16</v>
      </c>
      <c r="L170" s="19">
        <v>12</v>
      </c>
      <c r="M170" s="19">
        <v>16</v>
      </c>
      <c r="N170" s="19">
        <v>20</v>
      </c>
      <c r="O170" s="19">
        <v>5</v>
      </c>
      <c r="P170" s="19">
        <v>7</v>
      </c>
      <c r="Q170" s="19">
        <v>9</v>
      </c>
      <c r="R170" s="19">
        <v>10</v>
      </c>
      <c r="S170" s="19">
        <v>16</v>
      </c>
      <c r="T170" s="19">
        <v>12</v>
      </c>
      <c r="U170" s="19">
        <v>14</v>
      </c>
      <c r="V170" s="19">
        <v>26</v>
      </c>
      <c r="W170" s="19">
        <v>23</v>
      </c>
      <c r="X170" s="19">
        <v>9</v>
      </c>
      <c r="Y170" s="19">
        <v>12</v>
      </c>
      <c r="Z170" s="19">
        <v>9</v>
      </c>
      <c r="AA170" s="19">
        <v>14</v>
      </c>
      <c r="AB170" s="19">
        <v>10</v>
      </c>
      <c r="AC170" s="19">
        <v>9</v>
      </c>
      <c r="AD170" s="19">
        <v>7</v>
      </c>
      <c r="AE170" s="19">
        <f t="shared" si="11"/>
        <v>156</v>
      </c>
      <c r="AF170" s="19">
        <f t="shared" si="12"/>
        <v>161</v>
      </c>
      <c r="AG170" s="20">
        <f t="shared" si="13"/>
        <v>13</v>
      </c>
      <c r="AH170" s="20">
        <f t="shared" si="14"/>
        <v>13.416666666666666</v>
      </c>
      <c r="AI170" s="21"/>
      <c r="AJ170" s="13"/>
      <c r="AK170" s="13"/>
    </row>
    <row r="171" spans="1:37" x14ac:dyDescent="0.35">
      <c r="A171" s="15" t="str">
        <f>VLOOKUP(B171,'[1]Tabla 1 Arsenal'!$B$11:$K$380,10,FALSE)</f>
        <v>P060</v>
      </c>
      <c r="B171" s="15">
        <v>102148</v>
      </c>
      <c r="C171" s="16" t="s">
        <v>223</v>
      </c>
      <c r="D171" s="16" t="s">
        <v>39</v>
      </c>
      <c r="E171" s="17">
        <v>19</v>
      </c>
      <c r="F171" s="18" t="s">
        <v>23</v>
      </c>
      <c r="G171" s="19">
        <v>249</v>
      </c>
      <c r="H171" s="19">
        <v>148</v>
      </c>
      <c r="I171" s="19">
        <v>275</v>
      </c>
      <c r="J171" s="19">
        <v>221</v>
      </c>
      <c r="K171" s="19">
        <v>152</v>
      </c>
      <c r="L171" s="19">
        <v>114</v>
      </c>
      <c r="M171" s="19">
        <v>78</v>
      </c>
      <c r="N171" s="19">
        <v>108</v>
      </c>
      <c r="O171" s="19">
        <v>139</v>
      </c>
      <c r="P171" s="19">
        <v>290</v>
      </c>
      <c r="Q171" s="19">
        <v>243</v>
      </c>
      <c r="R171" s="19">
        <v>236</v>
      </c>
      <c r="S171" s="19">
        <v>116</v>
      </c>
      <c r="T171" s="19">
        <v>158</v>
      </c>
      <c r="U171" s="19">
        <v>331</v>
      </c>
      <c r="V171" s="19">
        <v>199</v>
      </c>
      <c r="W171" s="19">
        <v>308</v>
      </c>
      <c r="X171" s="19">
        <v>208</v>
      </c>
      <c r="Y171" s="19">
        <v>195</v>
      </c>
      <c r="Z171" s="19">
        <v>212</v>
      </c>
      <c r="AA171" s="19">
        <v>178</v>
      </c>
      <c r="AB171" s="19">
        <v>149</v>
      </c>
      <c r="AC171" s="19">
        <v>245</v>
      </c>
      <c r="AD171" s="19">
        <v>26</v>
      </c>
      <c r="AE171" s="19">
        <f t="shared" si="11"/>
        <v>2253</v>
      </c>
      <c r="AF171" s="19">
        <f t="shared" si="12"/>
        <v>2325</v>
      </c>
      <c r="AG171" s="20">
        <f t="shared" si="13"/>
        <v>187.75</v>
      </c>
      <c r="AH171" s="20">
        <f t="shared" si="14"/>
        <v>193.75</v>
      </c>
      <c r="AI171" s="21"/>
      <c r="AJ171" s="13"/>
      <c r="AK171" s="13"/>
    </row>
    <row r="172" spans="1:37" x14ac:dyDescent="0.35">
      <c r="A172" s="15" t="str">
        <f>VLOOKUP(B172,'[1]Tabla 1 Arsenal'!$B$11:$K$380,10,FALSE)</f>
        <v>P166</v>
      </c>
      <c r="B172" s="15">
        <v>104035</v>
      </c>
      <c r="C172" s="16" t="s">
        <v>224</v>
      </c>
      <c r="D172" s="16" t="s">
        <v>32</v>
      </c>
      <c r="E172" s="17">
        <v>8</v>
      </c>
      <c r="F172" s="18" t="s">
        <v>23</v>
      </c>
      <c r="G172" s="19">
        <v>70</v>
      </c>
      <c r="H172" s="19">
        <v>74</v>
      </c>
      <c r="I172" s="19">
        <v>90</v>
      </c>
      <c r="J172" s="19">
        <v>32</v>
      </c>
      <c r="K172" s="19">
        <v>91</v>
      </c>
      <c r="L172" s="19">
        <v>196</v>
      </c>
      <c r="M172" s="19">
        <v>9</v>
      </c>
      <c r="N172" s="19">
        <v>101</v>
      </c>
      <c r="O172" s="19">
        <v>0</v>
      </c>
      <c r="P172" s="19">
        <v>60</v>
      </c>
      <c r="Q172" s="19">
        <v>55</v>
      </c>
      <c r="R172" s="19">
        <v>38</v>
      </c>
      <c r="S172" s="19">
        <v>81</v>
      </c>
      <c r="T172" s="19">
        <v>74</v>
      </c>
      <c r="U172" s="19">
        <v>81</v>
      </c>
      <c r="V172" s="19">
        <v>37</v>
      </c>
      <c r="W172" s="19">
        <v>31</v>
      </c>
      <c r="X172" s="19">
        <v>30</v>
      </c>
      <c r="Y172" s="19">
        <v>140</v>
      </c>
      <c r="Z172" s="19">
        <v>6</v>
      </c>
      <c r="AA172" s="19">
        <v>92</v>
      </c>
      <c r="AB172" s="19">
        <v>103</v>
      </c>
      <c r="AC172" s="19">
        <v>111</v>
      </c>
      <c r="AD172" s="19">
        <v>56</v>
      </c>
      <c r="AE172" s="19">
        <f t="shared" si="11"/>
        <v>816</v>
      </c>
      <c r="AF172" s="19">
        <f t="shared" si="12"/>
        <v>842</v>
      </c>
      <c r="AG172" s="20">
        <f t="shared" si="13"/>
        <v>68</v>
      </c>
      <c r="AH172" s="20">
        <f t="shared" si="14"/>
        <v>70.166666666666671</v>
      </c>
      <c r="AI172" s="21"/>
      <c r="AJ172" s="13"/>
      <c r="AK172" s="13"/>
    </row>
    <row r="173" spans="1:37" x14ac:dyDescent="0.35">
      <c r="A173" s="15" t="str">
        <f>VLOOKUP(B173,'[1]Tabla 1 Arsenal'!$B$11:$K$380,10,FALSE)</f>
        <v>P312</v>
      </c>
      <c r="B173" s="15">
        <v>108013</v>
      </c>
      <c r="C173" s="16" t="s">
        <v>225</v>
      </c>
      <c r="D173" s="16" t="s">
        <v>135</v>
      </c>
      <c r="E173" s="17">
        <v>536</v>
      </c>
      <c r="F173" s="18" t="s">
        <v>23</v>
      </c>
      <c r="G173" s="19">
        <v>981</v>
      </c>
      <c r="H173" s="19">
        <v>595</v>
      </c>
      <c r="I173" s="19">
        <v>818</v>
      </c>
      <c r="J173" s="19">
        <v>651</v>
      </c>
      <c r="K173" s="19">
        <v>738</v>
      </c>
      <c r="L173" s="19">
        <v>787</v>
      </c>
      <c r="M173" s="19">
        <v>766</v>
      </c>
      <c r="N173" s="19">
        <v>937</v>
      </c>
      <c r="O173" s="19">
        <v>522</v>
      </c>
      <c r="P173" s="19">
        <v>595</v>
      </c>
      <c r="Q173" s="19">
        <v>781</v>
      </c>
      <c r="R173" s="19">
        <v>414</v>
      </c>
      <c r="S173" s="19">
        <v>759</v>
      </c>
      <c r="T173" s="19">
        <v>741</v>
      </c>
      <c r="U173" s="19">
        <v>607</v>
      </c>
      <c r="V173" s="19">
        <v>960</v>
      </c>
      <c r="W173" s="19">
        <v>803</v>
      </c>
      <c r="X173" s="19">
        <v>557</v>
      </c>
      <c r="Y173" s="19">
        <v>702</v>
      </c>
      <c r="Z173" s="19">
        <v>918</v>
      </c>
      <c r="AA173" s="19">
        <v>756</v>
      </c>
      <c r="AB173" s="19">
        <v>838</v>
      </c>
      <c r="AC173" s="19">
        <v>611</v>
      </c>
      <c r="AD173" s="19">
        <v>590</v>
      </c>
      <c r="AE173" s="19">
        <f t="shared" si="11"/>
        <v>8585</v>
      </c>
      <c r="AF173" s="19">
        <f t="shared" si="12"/>
        <v>8842</v>
      </c>
      <c r="AG173" s="20">
        <f t="shared" si="13"/>
        <v>715.41666666666663</v>
      </c>
      <c r="AH173" s="20">
        <f t="shared" si="14"/>
        <v>736.83333333333337</v>
      </c>
      <c r="AI173" s="21"/>
      <c r="AJ173" s="13"/>
      <c r="AK173" s="13"/>
    </row>
    <row r="174" spans="1:37" x14ac:dyDescent="0.35">
      <c r="A174" s="15" t="str">
        <f>VLOOKUP(B174,'[1]Tabla 1 Arsenal'!$B$11:$K$380,10,FALSE)</f>
        <v>P289</v>
      </c>
      <c r="B174" s="15">
        <v>103043</v>
      </c>
      <c r="C174" s="16" t="s">
        <v>226</v>
      </c>
      <c r="D174" s="16" t="s">
        <v>22</v>
      </c>
      <c r="E174" s="17">
        <v>1580</v>
      </c>
      <c r="F174" s="18" t="s">
        <v>23</v>
      </c>
      <c r="G174" s="19">
        <v>321</v>
      </c>
      <c r="H174" s="19">
        <v>91</v>
      </c>
      <c r="I174" s="19">
        <v>258</v>
      </c>
      <c r="J174" s="19">
        <v>255</v>
      </c>
      <c r="K174" s="19">
        <v>253</v>
      </c>
      <c r="L174" s="19">
        <v>147</v>
      </c>
      <c r="M174" s="19">
        <v>256</v>
      </c>
      <c r="N174" s="19">
        <v>88</v>
      </c>
      <c r="O174" s="19">
        <v>194</v>
      </c>
      <c r="P174" s="19">
        <v>265</v>
      </c>
      <c r="Q174" s="19">
        <v>359</v>
      </c>
      <c r="R174" s="19">
        <v>374</v>
      </c>
      <c r="S174" s="19">
        <v>244</v>
      </c>
      <c r="T174" s="19">
        <v>260</v>
      </c>
      <c r="U174" s="19">
        <v>164</v>
      </c>
      <c r="V174" s="19">
        <v>358</v>
      </c>
      <c r="W174" s="19">
        <v>183</v>
      </c>
      <c r="X174" s="19">
        <v>208</v>
      </c>
      <c r="Y174" s="19">
        <v>221</v>
      </c>
      <c r="Z174" s="19">
        <v>363</v>
      </c>
      <c r="AA174" s="19">
        <v>171</v>
      </c>
      <c r="AB174" s="19">
        <v>519</v>
      </c>
      <c r="AC174" s="19">
        <v>132</v>
      </c>
      <c r="AD174" s="19">
        <v>111</v>
      </c>
      <c r="AE174" s="19">
        <f t="shared" si="11"/>
        <v>2861</v>
      </c>
      <c r="AF174" s="19">
        <f t="shared" si="12"/>
        <v>2934</v>
      </c>
      <c r="AG174" s="20">
        <f t="shared" si="13"/>
        <v>238.41666666666666</v>
      </c>
      <c r="AH174" s="20">
        <f t="shared" si="14"/>
        <v>244.5</v>
      </c>
      <c r="AI174" s="21"/>
      <c r="AJ174" s="13"/>
      <c r="AK174" s="13"/>
    </row>
    <row r="175" spans="1:37" x14ac:dyDescent="0.35">
      <c r="A175" s="15" t="str">
        <f>VLOOKUP(B175,'[1]Tabla 1 Arsenal'!$B$11:$K$380,10,FALSE)</f>
        <v>P034</v>
      </c>
      <c r="B175" s="15">
        <v>104005</v>
      </c>
      <c r="C175" s="16" t="s">
        <v>227</v>
      </c>
      <c r="D175" s="16" t="s">
        <v>32</v>
      </c>
      <c r="E175" s="17">
        <v>37</v>
      </c>
      <c r="F175" s="18" t="s">
        <v>23</v>
      </c>
      <c r="G175" s="19">
        <v>809</v>
      </c>
      <c r="H175" s="19">
        <v>780</v>
      </c>
      <c r="I175" s="19">
        <v>1261</v>
      </c>
      <c r="J175" s="19">
        <v>1224</v>
      </c>
      <c r="K175" s="19">
        <v>1477</v>
      </c>
      <c r="L175" s="19">
        <v>1122</v>
      </c>
      <c r="M175" s="19">
        <v>1132</v>
      </c>
      <c r="N175" s="19">
        <v>1505</v>
      </c>
      <c r="O175" s="19">
        <v>246</v>
      </c>
      <c r="P175" s="19">
        <v>413</v>
      </c>
      <c r="Q175" s="19">
        <v>1166</v>
      </c>
      <c r="R175" s="19">
        <v>1055</v>
      </c>
      <c r="S175" s="19">
        <v>1230</v>
      </c>
      <c r="T175" s="19">
        <v>1019</v>
      </c>
      <c r="U175" s="19">
        <v>1197</v>
      </c>
      <c r="V175" s="19">
        <v>1333</v>
      </c>
      <c r="W175" s="19">
        <v>969</v>
      </c>
      <c r="X175" s="19">
        <v>650</v>
      </c>
      <c r="Y175" s="19">
        <v>1384</v>
      </c>
      <c r="Z175" s="19">
        <v>1077</v>
      </c>
      <c r="AA175" s="19">
        <v>795</v>
      </c>
      <c r="AB175" s="19">
        <v>1182</v>
      </c>
      <c r="AC175" s="19">
        <v>582</v>
      </c>
      <c r="AD175" s="19">
        <v>1068</v>
      </c>
      <c r="AE175" s="19">
        <f t="shared" si="11"/>
        <v>12190</v>
      </c>
      <c r="AF175" s="19">
        <f t="shared" si="12"/>
        <v>12486</v>
      </c>
      <c r="AG175" s="20">
        <f t="shared" si="13"/>
        <v>1015.8333333333334</v>
      </c>
      <c r="AH175" s="20">
        <f t="shared" si="14"/>
        <v>1040.5</v>
      </c>
      <c r="AI175" s="21"/>
      <c r="AJ175" s="13"/>
      <c r="AK175" s="13"/>
    </row>
    <row r="176" spans="1:37" x14ac:dyDescent="0.35">
      <c r="A176" s="15" t="str">
        <f>VLOOKUP(B176,'[1]Tabla 1 Arsenal'!$B$11:$K$380,10,FALSE)</f>
        <v>P125</v>
      </c>
      <c r="B176" s="15">
        <v>209058</v>
      </c>
      <c r="C176" s="16" t="s">
        <v>228</v>
      </c>
      <c r="D176" s="16" t="s">
        <v>32</v>
      </c>
      <c r="E176" s="17">
        <v>583</v>
      </c>
      <c r="F176" s="18" t="s">
        <v>55</v>
      </c>
      <c r="G176" s="19">
        <v>2670</v>
      </c>
      <c r="H176" s="19">
        <v>2550</v>
      </c>
      <c r="I176" s="19">
        <v>3000</v>
      </c>
      <c r="J176" s="19">
        <v>2850</v>
      </c>
      <c r="K176" s="19">
        <v>3210</v>
      </c>
      <c r="L176" s="19">
        <v>2640</v>
      </c>
      <c r="M176" s="19">
        <v>3030</v>
      </c>
      <c r="N176" s="19">
        <v>3420</v>
      </c>
      <c r="O176" s="19">
        <v>3000</v>
      </c>
      <c r="P176" s="19">
        <v>3240</v>
      </c>
      <c r="Q176" s="19">
        <v>3300</v>
      </c>
      <c r="R176" s="19">
        <v>3420</v>
      </c>
      <c r="S176" s="19">
        <v>3150</v>
      </c>
      <c r="T176" s="19">
        <v>2670</v>
      </c>
      <c r="U176" s="19">
        <v>3030</v>
      </c>
      <c r="V176" s="19">
        <v>2880</v>
      </c>
      <c r="W176" s="19">
        <v>3060</v>
      </c>
      <c r="X176" s="19">
        <v>2910</v>
      </c>
      <c r="Y176" s="19">
        <v>3270</v>
      </c>
      <c r="Z176" s="19">
        <v>3270</v>
      </c>
      <c r="AA176" s="19">
        <v>3300</v>
      </c>
      <c r="AB176" s="19">
        <v>3270</v>
      </c>
      <c r="AC176" s="19">
        <v>3150</v>
      </c>
      <c r="AD176" s="19">
        <v>3240</v>
      </c>
      <c r="AE176" s="19">
        <f t="shared" si="11"/>
        <v>36330</v>
      </c>
      <c r="AF176" s="19">
        <f t="shared" si="12"/>
        <v>37200</v>
      </c>
      <c r="AG176" s="20">
        <f t="shared" si="13"/>
        <v>3027.5</v>
      </c>
      <c r="AH176" s="20">
        <f t="shared" si="14"/>
        <v>3100</v>
      </c>
      <c r="AI176" s="21"/>
      <c r="AJ176" s="13"/>
      <c r="AK176" s="13"/>
    </row>
    <row r="177" spans="1:37" x14ac:dyDescent="0.35">
      <c r="A177" s="15" t="str">
        <f>VLOOKUP(B177,'[1]Tabla 1 Arsenal'!$B$11:$K$380,10,FALSE)</f>
        <v>P369</v>
      </c>
      <c r="B177" s="15">
        <v>209047</v>
      </c>
      <c r="C177" s="16" t="s">
        <v>229</v>
      </c>
      <c r="D177" s="16" t="s">
        <v>22</v>
      </c>
      <c r="E177" s="17">
        <v>17871</v>
      </c>
      <c r="F177" s="18" t="s">
        <v>55</v>
      </c>
      <c r="G177" s="19">
        <v>34</v>
      </c>
      <c r="H177" s="19">
        <v>66</v>
      </c>
      <c r="I177" s="19">
        <v>51</v>
      </c>
      <c r="J177" s="19">
        <v>48</v>
      </c>
      <c r="K177" s="19">
        <v>82</v>
      </c>
      <c r="L177" s="19">
        <v>73</v>
      </c>
      <c r="M177" s="19">
        <v>61</v>
      </c>
      <c r="N177" s="19">
        <v>68</v>
      </c>
      <c r="O177" s="19">
        <v>70</v>
      </c>
      <c r="P177" s="19">
        <v>57</v>
      </c>
      <c r="Q177" s="19">
        <v>55</v>
      </c>
      <c r="R177" s="19">
        <v>46</v>
      </c>
      <c r="S177" s="19">
        <v>55</v>
      </c>
      <c r="T177" s="19">
        <v>62</v>
      </c>
      <c r="U177" s="19">
        <v>60</v>
      </c>
      <c r="V177" s="19">
        <v>81</v>
      </c>
      <c r="W177" s="19">
        <v>52</v>
      </c>
      <c r="X177" s="19">
        <v>61</v>
      </c>
      <c r="Y177" s="19">
        <v>67</v>
      </c>
      <c r="Z177" s="19">
        <v>50</v>
      </c>
      <c r="AA177" s="19">
        <v>52</v>
      </c>
      <c r="AB177" s="19">
        <v>66</v>
      </c>
      <c r="AC177" s="19">
        <v>60</v>
      </c>
      <c r="AD177" s="19">
        <v>62</v>
      </c>
      <c r="AE177" s="19">
        <f t="shared" si="11"/>
        <v>711</v>
      </c>
      <c r="AF177" s="19">
        <f t="shared" si="12"/>
        <v>728</v>
      </c>
      <c r="AG177" s="20">
        <f t="shared" si="13"/>
        <v>59.25</v>
      </c>
      <c r="AH177" s="20">
        <f t="shared" si="14"/>
        <v>60.666666666666664</v>
      </c>
      <c r="AI177" s="21"/>
      <c r="AJ177" s="13"/>
      <c r="AK177" s="13"/>
    </row>
    <row r="178" spans="1:37" x14ac:dyDescent="0.35">
      <c r="A178" s="15" t="str">
        <f>VLOOKUP(B178,'[1]Tabla 1 Arsenal'!$B$11:$K$380,10,FALSE)</f>
        <v>P301</v>
      </c>
      <c r="B178" s="15">
        <v>102138</v>
      </c>
      <c r="C178" s="16" t="s">
        <v>230</v>
      </c>
      <c r="D178" s="16" t="s">
        <v>39</v>
      </c>
      <c r="E178" s="17">
        <v>88</v>
      </c>
      <c r="F178" s="18" t="s">
        <v>23</v>
      </c>
      <c r="G178" s="19">
        <v>15171</v>
      </c>
      <c r="H178" s="19">
        <v>13118</v>
      </c>
      <c r="I178" s="19">
        <v>16795</v>
      </c>
      <c r="J178" s="19">
        <v>13329</v>
      </c>
      <c r="K178" s="19">
        <v>17266</v>
      </c>
      <c r="L178" s="19">
        <v>15501</v>
      </c>
      <c r="M178" s="19">
        <v>15323</v>
      </c>
      <c r="N178" s="19">
        <v>18412</v>
      </c>
      <c r="O178" s="19">
        <v>16359</v>
      </c>
      <c r="P178" s="19">
        <v>16221</v>
      </c>
      <c r="Q178" s="19">
        <v>15386</v>
      </c>
      <c r="R178" s="19">
        <v>15678</v>
      </c>
      <c r="S178" s="19">
        <v>18868</v>
      </c>
      <c r="T178" s="19">
        <v>14056</v>
      </c>
      <c r="U178" s="19">
        <v>15110</v>
      </c>
      <c r="V178" s="19">
        <v>16365</v>
      </c>
      <c r="W178" s="19">
        <v>15064</v>
      </c>
      <c r="X178" s="19">
        <v>14640</v>
      </c>
      <c r="Y178" s="19">
        <v>17219</v>
      </c>
      <c r="Z178" s="19">
        <v>16826</v>
      </c>
      <c r="AA178" s="19">
        <v>13158</v>
      </c>
      <c r="AB178" s="19">
        <v>18886</v>
      </c>
      <c r="AC178" s="19">
        <v>14871</v>
      </c>
      <c r="AD178" s="19">
        <v>17121</v>
      </c>
      <c r="AE178" s="19">
        <f t="shared" si="11"/>
        <v>188559</v>
      </c>
      <c r="AF178" s="19">
        <f t="shared" si="12"/>
        <v>192184</v>
      </c>
      <c r="AG178" s="20">
        <f t="shared" si="13"/>
        <v>15713.25</v>
      </c>
      <c r="AH178" s="20">
        <f t="shared" si="14"/>
        <v>16015.333333333334</v>
      </c>
      <c r="AI178" s="21"/>
      <c r="AJ178" s="13"/>
      <c r="AK178" s="13"/>
    </row>
    <row r="179" spans="1:37" x14ac:dyDescent="0.35">
      <c r="A179" s="15" t="str">
        <f>VLOOKUP(B179,'[1]Tabla 1 Arsenal'!$B$11:$K$380,10,FALSE)</f>
        <v>P105</v>
      </c>
      <c r="B179" s="15">
        <v>422002</v>
      </c>
      <c r="C179" s="16" t="s">
        <v>231</v>
      </c>
      <c r="D179" s="16" t="s">
        <v>32</v>
      </c>
      <c r="E179" s="17">
        <v>11</v>
      </c>
      <c r="F179" s="18" t="s">
        <v>23</v>
      </c>
      <c r="G179" s="19">
        <v>14579</v>
      </c>
      <c r="H179" s="19">
        <v>13930</v>
      </c>
      <c r="I179" s="19">
        <v>17580</v>
      </c>
      <c r="J179" s="19">
        <v>14551</v>
      </c>
      <c r="K179" s="19">
        <v>17522</v>
      </c>
      <c r="L179" s="19">
        <v>16521</v>
      </c>
      <c r="M179" s="19">
        <v>17002</v>
      </c>
      <c r="N179" s="19">
        <v>20096</v>
      </c>
      <c r="O179" s="19">
        <v>14713</v>
      </c>
      <c r="P179" s="19">
        <v>15900</v>
      </c>
      <c r="Q179" s="19">
        <v>15605</v>
      </c>
      <c r="R179" s="19">
        <v>12554</v>
      </c>
      <c r="S179" s="19">
        <v>15518</v>
      </c>
      <c r="T179" s="19">
        <v>13658</v>
      </c>
      <c r="U179" s="19">
        <v>13615</v>
      </c>
      <c r="V179" s="19">
        <v>16027</v>
      </c>
      <c r="W179" s="19">
        <v>16275</v>
      </c>
      <c r="X179" s="19">
        <v>14977</v>
      </c>
      <c r="Y179" s="19">
        <v>18891</v>
      </c>
      <c r="Z179" s="19">
        <v>15877</v>
      </c>
      <c r="AA179" s="19">
        <v>15209</v>
      </c>
      <c r="AB179" s="19">
        <v>18909</v>
      </c>
      <c r="AC179" s="19">
        <v>16932</v>
      </c>
      <c r="AD179" s="19">
        <v>17841</v>
      </c>
      <c r="AE179" s="19">
        <f t="shared" si="11"/>
        <v>190553</v>
      </c>
      <c r="AF179" s="19">
        <f t="shared" si="12"/>
        <v>193729</v>
      </c>
      <c r="AG179" s="20">
        <f t="shared" si="13"/>
        <v>15879.416666666666</v>
      </c>
      <c r="AH179" s="20">
        <f t="shared" si="14"/>
        <v>16144.083333333334</v>
      </c>
      <c r="AI179" s="21"/>
      <c r="AJ179" s="13"/>
      <c r="AK179" s="13"/>
    </row>
    <row r="180" spans="1:37" x14ac:dyDescent="0.35">
      <c r="A180" s="15" t="str">
        <f>VLOOKUP(B180,'[1]Tabla 1 Arsenal'!$B$11:$K$380,10,FALSE)</f>
        <v>P006</v>
      </c>
      <c r="B180" s="15">
        <v>104001</v>
      </c>
      <c r="C180" s="16" t="s">
        <v>232</v>
      </c>
      <c r="D180" s="16" t="s">
        <v>32</v>
      </c>
      <c r="E180" s="17">
        <v>22</v>
      </c>
      <c r="F180" s="18" t="s">
        <v>23</v>
      </c>
      <c r="G180" s="19">
        <v>868</v>
      </c>
      <c r="H180" s="19">
        <v>708</v>
      </c>
      <c r="I180" s="19">
        <v>878</v>
      </c>
      <c r="J180" s="19">
        <v>827</v>
      </c>
      <c r="K180" s="19">
        <v>976</v>
      </c>
      <c r="L180" s="19">
        <v>572</v>
      </c>
      <c r="M180" s="19">
        <v>553</v>
      </c>
      <c r="N180" s="19">
        <v>465</v>
      </c>
      <c r="O180" s="19">
        <v>281</v>
      </c>
      <c r="P180" s="19">
        <v>0</v>
      </c>
      <c r="Q180" s="19">
        <v>0</v>
      </c>
      <c r="R180" s="19">
        <v>771</v>
      </c>
      <c r="S180" s="19">
        <v>929</v>
      </c>
      <c r="T180" s="19">
        <v>539</v>
      </c>
      <c r="U180" s="19">
        <v>605</v>
      </c>
      <c r="V180" s="19">
        <v>657</v>
      </c>
      <c r="W180" s="19">
        <v>398</v>
      </c>
      <c r="X180" s="19">
        <v>584</v>
      </c>
      <c r="Y180" s="19">
        <v>359</v>
      </c>
      <c r="Z180" s="19">
        <v>634</v>
      </c>
      <c r="AA180" s="19">
        <v>447</v>
      </c>
      <c r="AB180" s="19">
        <v>604</v>
      </c>
      <c r="AC180" s="19">
        <v>636</v>
      </c>
      <c r="AD180" s="19">
        <v>594</v>
      </c>
      <c r="AE180" s="19">
        <f t="shared" si="11"/>
        <v>6899</v>
      </c>
      <c r="AF180" s="19">
        <f t="shared" si="12"/>
        <v>6986</v>
      </c>
      <c r="AG180" s="20">
        <f t="shared" si="13"/>
        <v>574.91666666666663</v>
      </c>
      <c r="AH180" s="20">
        <f t="shared" si="14"/>
        <v>582.16666666666663</v>
      </c>
      <c r="AI180" s="21"/>
      <c r="AJ180" s="13"/>
      <c r="AK180" s="13"/>
    </row>
    <row r="181" spans="1:37" x14ac:dyDescent="0.35">
      <c r="A181" s="15" t="str">
        <f>VLOOKUP(B181,'[1]Tabla 1 Arsenal'!$B$11:$K$380,10,FALSE)</f>
        <v>P065</v>
      </c>
      <c r="B181" s="15">
        <v>103007</v>
      </c>
      <c r="C181" s="16" t="s">
        <v>233</v>
      </c>
      <c r="D181" s="16" t="s">
        <v>22</v>
      </c>
      <c r="E181" s="17">
        <v>267</v>
      </c>
      <c r="F181" s="18" t="s">
        <v>23</v>
      </c>
      <c r="G181" s="19">
        <v>325</v>
      </c>
      <c r="H181" s="19">
        <v>225</v>
      </c>
      <c r="I181" s="19">
        <v>273</v>
      </c>
      <c r="J181" s="19">
        <v>227</v>
      </c>
      <c r="K181" s="19">
        <v>228</v>
      </c>
      <c r="L181" s="19">
        <v>406</v>
      </c>
      <c r="M181" s="19">
        <v>355</v>
      </c>
      <c r="N181" s="19">
        <v>282</v>
      </c>
      <c r="O181" s="19">
        <v>270</v>
      </c>
      <c r="P181" s="19">
        <v>431</v>
      </c>
      <c r="Q181" s="19">
        <v>256</v>
      </c>
      <c r="R181" s="19">
        <v>347</v>
      </c>
      <c r="S181" s="19">
        <v>336</v>
      </c>
      <c r="T181" s="19">
        <v>285</v>
      </c>
      <c r="U181" s="19">
        <v>329</v>
      </c>
      <c r="V181" s="19">
        <v>290</v>
      </c>
      <c r="W181" s="19">
        <v>284</v>
      </c>
      <c r="X181" s="19">
        <v>280</v>
      </c>
      <c r="Y181" s="19">
        <v>306</v>
      </c>
      <c r="Z181" s="19">
        <v>385</v>
      </c>
      <c r="AA181" s="19">
        <v>214</v>
      </c>
      <c r="AB181" s="19">
        <v>407</v>
      </c>
      <c r="AC181" s="19">
        <v>215</v>
      </c>
      <c r="AD181" s="19">
        <v>337</v>
      </c>
      <c r="AE181" s="19">
        <f t="shared" si="11"/>
        <v>3625</v>
      </c>
      <c r="AF181" s="19">
        <f t="shared" si="12"/>
        <v>3668</v>
      </c>
      <c r="AG181" s="20">
        <f t="shared" si="13"/>
        <v>302.08333333333331</v>
      </c>
      <c r="AH181" s="20">
        <f t="shared" si="14"/>
        <v>305.66666666666669</v>
      </c>
      <c r="AI181" s="21"/>
      <c r="AJ181" s="13"/>
      <c r="AK181" s="13"/>
    </row>
    <row r="182" spans="1:37" x14ac:dyDescent="0.35">
      <c r="A182" s="15" t="str">
        <f>VLOOKUP(B182,'[1]Tabla 1 Arsenal'!$B$11:$K$380,10,FALSE)</f>
        <v>P108</v>
      </c>
      <c r="B182" s="15">
        <v>209123</v>
      </c>
      <c r="C182" s="16" t="s">
        <v>234</v>
      </c>
      <c r="D182" s="16" t="s">
        <v>22</v>
      </c>
      <c r="E182" s="17">
        <v>9996</v>
      </c>
      <c r="F182" s="18" t="s">
        <v>55</v>
      </c>
      <c r="G182" s="19">
        <v>148</v>
      </c>
      <c r="H182" s="19">
        <v>159</v>
      </c>
      <c r="I182" s="19">
        <v>131</v>
      </c>
      <c r="J182" s="19">
        <v>115</v>
      </c>
      <c r="K182" s="19">
        <v>171</v>
      </c>
      <c r="L182" s="19">
        <v>163</v>
      </c>
      <c r="M182" s="19">
        <v>184</v>
      </c>
      <c r="N182" s="19">
        <v>200</v>
      </c>
      <c r="O182" s="19">
        <v>149</v>
      </c>
      <c r="P182" s="19">
        <v>129</v>
      </c>
      <c r="Q182" s="19">
        <v>121</v>
      </c>
      <c r="R182" s="19">
        <v>144</v>
      </c>
      <c r="S182" s="19">
        <v>167</v>
      </c>
      <c r="T182" s="19">
        <v>141</v>
      </c>
      <c r="U182" s="19">
        <v>120</v>
      </c>
      <c r="V182" s="19">
        <v>162</v>
      </c>
      <c r="W182" s="19">
        <v>149</v>
      </c>
      <c r="X182" s="19">
        <v>134</v>
      </c>
      <c r="Y182" s="19">
        <v>181</v>
      </c>
      <c r="Z182" s="19">
        <v>174</v>
      </c>
      <c r="AA182" s="19">
        <v>150</v>
      </c>
      <c r="AB182" s="19">
        <v>142</v>
      </c>
      <c r="AC182" s="19">
        <v>131</v>
      </c>
      <c r="AD182" s="19">
        <v>177</v>
      </c>
      <c r="AE182" s="19">
        <f t="shared" si="11"/>
        <v>1814</v>
      </c>
      <c r="AF182" s="19">
        <f t="shared" si="12"/>
        <v>1828</v>
      </c>
      <c r="AG182" s="20">
        <f t="shared" si="13"/>
        <v>151.16666666666666</v>
      </c>
      <c r="AH182" s="20">
        <f t="shared" si="14"/>
        <v>152.33333333333334</v>
      </c>
      <c r="AI182" s="21"/>
      <c r="AJ182" s="13"/>
      <c r="AK182" s="13"/>
    </row>
    <row r="183" spans="1:37" x14ac:dyDescent="0.35">
      <c r="A183" s="15" t="str">
        <f>VLOOKUP(B183,'[1]Tabla 1 Arsenal'!$B$11:$K$380,10,FALSE)</f>
        <v>P158</v>
      </c>
      <c r="B183" s="15">
        <v>209148</v>
      </c>
      <c r="C183" s="16" t="s">
        <v>235</v>
      </c>
      <c r="D183" s="16" t="s">
        <v>22</v>
      </c>
      <c r="E183" s="17">
        <v>89726</v>
      </c>
      <c r="F183" s="18" t="s">
        <v>55</v>
      </c>
      <c r="G183" s="19">
        <v>43</v>
      </c>
      <c r="H183" s="19">
        <v>63</v>
      </c>
      <c r="I183" s="19">
        <v>69</v>
      </c>
      <c r="J183" s="19">
        <v>46</v>
      </c>
      <c r="K183" s="19">
        <v>73</v>
      </c>
      <c r="L183" s="19">
        <v>72</v>
      </c>
      <c r="M183" s="19">
        <v>47</v>
      </c>
      <c r="N183" s="19">
        <v>65</v>
      </c>
      <c r="O183" s="19">
        <v>68</v>
      </c>
      <c r="P183" s="19">
        <v>48</v>
      </c>
      <c r="Q183" s="19">
        <v>72</v>
      </c>
      <c r="R183" s="19">
        <v>71</v>
      </c>
      <c r="S183" s="19">
        <v>45</v>
      </c>
      <c r="T183" s="19">
        <v>66</v>
      </c>
      <c r="U183" s="19">
        <v>66</v>
      </c>
      <c r="V183" s="19">
        <v>45</v>
      </c>
      <c r="W183" s="19">
        <v>74</v>
      </c>
      <c r="X183" s="19">
        <v>71</v>
      </c>
      <c r="Y183" s="19">
        <v>56</v>
      </c>
      <c r="Z183" s="19">
        <v>79</v>
      </c>
      <c r="AA183" s="19">
        <v>59</v>
      </c>
      <c r="AB183" s="19">
        <v>56</v>
      </c>
      <c r="AC183" s="19">
        <v>58</v>
      </c>
      <c r="AD183" s="19">
        <v>67</v>
      </c>
      <c r="AE183" s="19">
        <f t="shared" si="11"/>
        <v>737</v>
      </c>
      <c r="AF183" s="19">
        <f t="shared" si="12"/>
        <v>742</v>
      </c>
      <c r="AG183" s="20">
        <f t="shared" si="13"/>
        <v>61.416666666666664</v>
      </c>
      <c r="AH183" s="20">
        <f t="shared" si="14"/>
        <v>61.833333333333336</v>
      </c>
      <c r="AI183" s="21"/>
      <c r="AJ183" s="13"/>
      <c r="AK183" s="13"/>
    </row>
    <row r="184" spans="1:37" x14ac:dyDescent="0.35">
      <c r="A184" s="15" t="str">
        <f>VLOOKUP(B184,'[1]Tabla 1 Arsenal'!$B$11:$K$380,10,FALSE)</f>
        <v>P327</v>
      </c>
      <c r="B184" s="15">
        <v>106041</v>
      </c>
      <c r="C184" s="16" t="s">
        <v>236</v>
      </c>
      <c r="D184" s="16" t="s">
        <v>37</v>
      </c>
      <c r="E184" s="17">
        <v>127</v>
      </c>
      <c r="F184" s="18" t="s">
        <v>23</v>
      </c>
      <c r="G184" s="19">
        <v>8572</v>
      </c>
      <c r="H184" s="19">
        <v>400</v>
      </c>
      <c r="I184" s="19">
        <v>0</v>
      </c>
      <c r="J184" s="19">
        <v>0</v>
      </c>
      <c r="K184" s="19">
        <v>400</v>
      </c>
      <c r="L184" s="19">
        <v>1281</v>
      </c>
      <c r="M184" s="19">
        <v>9421</v>
      </c>
      <c r="N184" s="19">
        <v>12194</v>
      </c>
      <c r="O184" s="19">
        <v>8154</v>
      </c>
      <c r="P184" s="19">
        <v>7561</v>
      </c>
      <c r="Q184" s="19">
        <v>6778</v>
      </c>
      <c r="R184" s="19">
        <v>12375</v>
      </c>
      <c r="S184" s="19">
        <v>5107</v>
      </c>
      <c r="T184" s="19">
        <v>297</v>
      </c>
      <c r="U184" s="19">
        <v>117</v>
      </c>
      <c r="V184" s="19">
        <v>116</v>
      </c>
      <c r="W184" s="19">
        <v>0</v>
      </c>
      <c r="X184" s="19">
        <v>6325</v>
      </c>
      <c r="Y184" s="19">
        <v>7749</v>
      </c>
      <c r="Z184" s="19">
        <v>10101</v>
      </c>
      <c r="AA184" s="19">
        <v>8018</v>
      </c>
      <c r="AB184" s="19">
        <v>11964</v>
      </c>
      <c r="AC184" s="19">
        <v>8489</v>
      </c>
      <c r="AD184" s="19">
        <v>9220</v>
      </c>
      <c r="AE184" s="19">
        <f t="shared" si="11"/>
        <v>67136</v>
      </c>
      <c r="AF184" s="19">
        <f t="shared" si="12"/>
        <v>67503</v>
      </c>
      <c r="AG184" s="20">
        <f t="shared" si="13"/>
        <v>5594.666666666667</v>
      </c>
      <c r="AH184" s="20">
        <f t="shared" si="14"/>
        <v>5625.25</v>
      </c>
      <c r="AI184" s="21"/>
      <c r="AJ184" s="13"/>
      <c r="AK184" s="13"/>
    </row>
    <row r="185" spans="1:37" x14ac:dyDescent="0.35">
      <c r="A185" s="15" t="str">
        <f>VLOOKUP(B185,'[1]Tabla 1 Arsenal'!$B$11:$K$380,10,FALSE)</f>
        <v>P328</v>
      </c>
      <c r="B185" s="15">
        <v>392004</v>
      </c>
      <c r="C185" s="16" t="s">
        <v>237</v>
      </c>
      <c r="D185" s="16" t="s">
        <v>135</v>
      </c>
      <c r="E185" s="17">
        <v>461</v>
      </c>
      <c r="F185" s="18" t="s">
        <v>23</v>
      </c>
      <c r="G185" s="19">
        <v>4419</v>
      </c>
      <c r="H185" s="19">
        <v>4855</v>
      </c>
      <c r="I185" s="19">
        <v>4501</v>
      </c>
      <c r="J185" s="19">
        <v>4753</v>
      </c>
      <c r="K185" s="19">
        <v>5353</v>
      </c>
      <c r="L185" s="19">
        <v>5057</v>
      </c>
      <c r="M185" s="19">
        <v>4418</v>
      </c>
      <c r="N185" s="19">
        <v>4663</v>
      </c>
      <c r="O185" s="19">
        <v>3629</v>
      </c>
      <c r="P185" s="19">
        <v>3085</v>
      </c>
      <c r="Q185" s="19">
        <v>3518</v>
      </c>
      <c r="R185" s="19">
        <v>3883</v>
      </c>
      <c r="S185" s="19">
        <v>3740</v>
      </c>
      <c r="T185" s="19">
        <v>4599</v>
      </c>
      <c r="U185" s="19">
        <v>5096</v>
      </c>
      <c r="V185" s="19">
        <v>5346</v>
      </c>
      <c r="W185" s="19">
        <v>5278</v>
      </c>
      <c r="X185" s="19">
        <v>3385</v>
      </c>
      <c r="Y185" s="19">
        <v>4607</v>
      </c>
      <c r="Z185" s="19">
        <v>4714</v>
      </c>
      <c r="AA185" s="19">
        <v>3981</v>
      </c>
      <c r="AB185" s="19">
        <v>4350</v>
      </c>
      <c r="AC185" s="19">
        <v>3365</v>
      </c>
      <c r="AD185" s="19">
        <v>3875</v>
      </c>
      <c r="AE185" s="19">
        <f t="shared" si="11"/>
        <v>52134</v>
      </c>
      <c r="AF185" s="19">
        <f t="shared" si="12"/>
        <v>52336</v>
      </c>
      <c r="AG185" s="20">
        <f t="shared" si="13"/>
        <v>4344.5</v>
      </c>
      <c r="AH185" s="20">
        <f t="shared" si="14"/>
        <v>4361.333333333333</v>
      </c>
      <c r="AI185" s="21"/>
      <c r="AJ185" s="13"/>
      <c r="AK185" s="13"/>
    </row>
    <row r="186" spans="1:37" x14ac:dyDescent="0.35">
      <c r="A186" s="15" t="str">
        <f>VLOOKUP(B186,'[1]Tabla 1 Arsenal'!$B$11:$K$380,10,FALSE)</f>
        <v>P149</v>
      </c>
      <c r="B186" s="15">
        <v>106025</v>
      </c>
      <c r="C186" s="16" t="s">
        <v>238</v>
      </c>
      <c r="D186" s="16" t="s">
        <v>37</v>
      </c>
      <c r="E186" s="17">
        <v>571</v>
      </c>
      <c r="F186" s="18" t="s">
        <v>23</v>
      </c>
      <c r="G186" s="19">
        <v>22</v>
      </c>
      <c r="H186" s="19">
        <v>25</v>
      </c>
      <c r="I186" s="19">
        <v>52</v>
      </c>
      <c r="J186" s="19">
        <v>0</v>
      </c>
      <c r="K186" s="19">
        <v>27</v>
      </c>
      <c r="L186" s="19">
        <v>46</v>
      </c>
      <c r="M186" s="19">
        <v>25</v>
      </c>
      <c r="N186" s="19">
        <v>30</v>
      </c>
      <c r="O186" s="19">
        <v>50</v>
      </c>
      <c r="P186" s="19">
        <v>46</v>
      </c>
      <c r="Q186" s="19">
        <v>26</v>
      </c>
      <c r="R186" s="19">
        <v>36</v>
      </c>
      <c r="S186" s="19">
        <v>12</v>
      </c>
      <c r="T186" s="19">
        <v>31</v>
      </c>
      <c r="U186" s="19">
        <v>51</v>
      </c>
      <c r="V186" s="19">
        <v>16</v>
      </c>
      <c r="W186" s="19">
        <v>27</v>
      </c>
      <c r="X186" s="19">
        <v>14</v>
      </c>
      <c r="Y186" s="19">
        <v>19</v>
      </c>
      <c r="Z186" s="19">
        <v>26</v>
      </c>
      <c r="AA186" s="19">
        <v>111</v>
      </c>
      <c r="AB186" s="19">
        <v>57</v>
      </c>
      <c r="AC186" s="19">
        <v>9</v>
      </c>
      <c r="AD186" s="19">
        <v>13</v>
      </c>
      <c r="AE186" s="19">
        <f t="shared" si="11"/>
        <v>385</v>
      </c>
      <c r="AF186" s="19">
        <f t="shared" si="12"/>
        <v>386</v>
      </c>
      <c r="AG186" s="20">
        <f t="shared" si="13"/>
        <v>32.083333333333336</v>
      </c>
      <c r="AH186" s="20">
        <f t="shared" si="14"/>
        <v>32.166666666666664</v>
      </c>
      <c r="AI186" s="21"/>
      <c r="AJ186" s="13"/>
      <c r="AK186" s="13"/>
    </row>
    <row r="187" spans="1:37" x14ac:dyDescent="0.35">
      <c r="A187" s="15" t="str">
        <f>VLOOKUP(B187,'[1]Tabla 1 Arsenal'!$B$11:$K$380,10,FALSE)</f>
        <v>P131</v>
      </c>
      <c r="B187" s="15">
        <v>209039</v>
      </c>
      <c r="C187" s="16" t="s">
        <v>239</v>
      </c>
      <c r="D187" s="16" t="s">
        <v>78</v>
      </c>
      <c r="E187" s="17">
        <v>34773</v>
      </c>
      <c r="F187" s="18" t="s">
        <v>55</v>
      </c>
      <c r="G187" s="19">
        <v>344</v>
      </c>
      <c r="H187" s="19">
        <v>321</v>
      </c>
      <c r="I187" s="19">
        <v>410</v>
      </c>
      <c r="J187" s="19">
        <v>330</v>
      </c>
      <c r="K187" s="19">
        <v>433</v>
      </c>
      <c r="L187" s="19">
        <v>378</v>
      </c>
      <c r="M187" s="19">
        <v>361</v>
      </c>
      <c r="N187" s="19">
        <v>483</v>
      </c>
      <c r="O187" s="19">
        <v>468</v>
      </c>
      <c r="P187" s="19">
        <v>398</v>
      </c>
      <c r="Q187" s="19">
        <v>373</v>
      </c>
      <c r="R187" s="19">
        <v>316</v>
      </c>
      <c r="S187" s="19">
        <v>371</v>
      </c>
      <c r="T187" s="19">
        <v>330</v>
      </c>
      <c r="U187" s="19">
        <v>434</v>
      </c>
      <c r="V187" s="19">
        <v>367</v>
      </c>
      <c r="W187" s="19">
        <v>325</v>
      </c>
      <c r="X187" s="19">
        <v>357</v>
      </c>
      <c r="Y187" s="19">
        <v>487</v>
      </c>
      <c r="Z187" s="19">
        <v>457</v>
      </c>
      <c r="AA187" s="19">
        <v>346</v>
      </c>
      <c r="AB187" s="19">
        <v>405</v>
      </c>
      <c r="AC187" s="19">
        <v>340</v>
      </c>
      <c r="AD187" s="19">
        <v>401</v>
      </c>
      <c r="AE187" s="19">
        <f t="shared" si="11"/>
        <v>4615</v>
      </c>
      <c r="AF187" s="19">
        <f t="shared" si="12"/>
        <v>4620</v>
      </c>
      <c r="AG187" s="20">
        <f t="shared" si="13"/>
        <v>384.58333333333331</v>
      </c>
      <c r="AH187" s="20">
        <f t="shared" si="14"/>
        <v>385</v>
      </c>
      <c r="AI187" s="21"/>
      <c r="AJ187" s="13"/>
      <c r="AK187" s="13"/>
    </row>
    <row r="188" spans="1:37" x14ac:dyDescent="0.35">
      <c r="A188" s="15" t="str">
        <f>VLOOKUP(B188,'[1]Tabla 1 Arsenal'!$B$11:$K$380,10,FALSE)</f>
        <v>P337</v>
      </c>
      <c r="B188" s="15">
        <v>101053</v>
      </c>
      <c r="C188" s="16" t="s">
        <v>240</v>
      </c>
      <c r="D188" s="16" t="s">
        <v>86</v>
      </c>
      <c r="E188" s="17">
        <v>15748</v>
      </c>
      <c r="F188" s="18" t="s">
        <v>55</v>
      </c>
      <c r="G188" s="19">
        <v>56</v>
      </c>
      <c r="H188" s="19">
        <v>28</v>
      </c>
      <c r="I188" s="19">
        <v>28</v>
      </c>
      <c r="J188" s="19">
        <v>28</v>
      </c>
      <c r="K188" s="19">
        <v>56</v>
      </c>
      <c r="L188" s="19">
        <v>56</v>
      </c>
      <c r="M188" s="19">
        <v>56</v>
      </c>
      <c r="N188" s="19">
        <v>56</v>
      </c>
      <c r="O188" s="19">
        <v>28</v>
      </c>
      <c r="P188" s="19">
        <v>28</v>
      </c>
      <c r="Q188" s="19">
        <v>56</v>
      </c>
      <c r="R188" s="19">
        <v>56</v>
      </c>
      <c r="S188" s="19">
        <v>56</v>
      </c>
      <c r="T188" s="19">
        <v>28</v>
      </c>
      <c r="U188" s="19">
        <v>28</v>
      </c>
      <c r="V188" s="19">
        <v>84</v>
      </c>
      <c r="W188" s="19">
        <v>56</v>
      </c>
      <c r="X188" s="19">
        <v>0</v>
      </c>
      <c r="Y188" s="19">
        <v>84</v>
      </c>
      <c r="Z188" s="19">
        <v>28</v>
      </c>
      <c r="AA188" s="19">
        <v>28</v>
      </c>
      <c r="AB188" s="19">
        <v>56</v>
      </c>
      <c r="AC188" s="19">
        <v>28</v>
      </c>
      <c r="AD188" s="19">
        <v>56</v>
      </c>
      <c r="AE188" s="19">
        <f t="shared" si="11"/>
        <v>532</v>
      </c>
      <c r="AF188" s="19">
        <f t="shared" si="12"/>
        <v>532</v>
      </c>
      <c r="AG188" s="20">
        <f t="shared" si="13"/>
        <v>44.333333333333336</v>
      </c>
      <c r="AH188" s="20">
        <f t="shared" si="14"/>
        <v>44.333333333333336</v>
      </c>
      <c r="AI188" s="21"/>
      <c r="AJ188" s="13"/>
      <c r="AK188" s="13"/>
    </row>
    <row r="189" spans="1:37" x14ac:dyDescent="0.35">
      <c r="A189" s="15" t="str">
        <f>VLOOKUP(B189,'[1]Tabla 1 Arsenal'!$B$11:$K$380,10,FALSE)</f>
        <v>P368</v>
      </c>
      <c r="B189" s="15">
        <v>209046</v>
      </c>
      <c r="C189" s="16" t="s">
        <v>241</v>
      </c>
      <c r="D189" s="16" t="s">
        <v>22</v>
      </c>
      <c r="E189" s="17">
        <v>26900</v>
      </c>
      <c r="F189" s="18" t="s">
        <v>55</v>
      </c>
      <c r="G189" s="19">
        <v>9</v>
      </c>
      <c r="H189" s="19">
        <v>12</v>
      </c>
      <c r="I189" s="19">
        <v>12</v>
      </c>
      <c r="J189" s="19">
        <v>11</v>
      </c>
      <c r="K189" s="19">
        <v>22</v>
      </c>
      <c r="L189" s="19">
        <v>15</v>
      </c>
      <c r="M189" s="19">
        <v>13</v>
      </c>
      <c r="N189" s="19">
        <v>16</v>
      </c>
      <c r="O189" s="19">
        <v>9</v>
      </c>
      <c r="P189" s="19">
        <v>5</v>
      </c>
      <c r="Q189" s="19">
        <v>3</v>
      </c>
      <c r="R189" s="19">
        <v>4</v>
      </c>
      <c r="S189" s="19">
        <v>3</v>
      </c>
      <c r="T189" s="19">
        <v>16</v>
      </c>
      <c r="U189" s="19">
        <v>10</v>
      </c>
      <c r="V189" s="19">
        <v>8</v>
      </c>
      <c r="W189" s="19">
        <v>6</v>
      </c>
      <c r="X189" s="19">
        <v>4</v>
      </c>
      <c r="Y189" s="19">
        <v>5</v>
      </c>
      <c r="Z189" s="19">
        <v>7</v>
      </c>
      <c r="AA189" s="19">
        <v>13</v>
      </c>
      <c r="AB189" s="19">
        <v>15</v>
      </c>
      <c r="AC189" s="19">
        <v>22</v>
      </c>
      <c r="AD189" s="19">
        <v>22</v>
      </c>
      <c r="AE189" s="19">
        <f t="shared" si="11"/>
        <v>131</v>
      </c>
      <c r="AF189" s="19">
        <f t="shared" si="12"/>
        <v>131</v>
      </c>
      <c r="AG189" s="20">
        <f t="shared" si="13"/>
        <v>10.916666666666666</v>
      </c>
      <c r="AH189" s="20">
        <f t="shared" si="14"/>
        <v>10.916666666666666</v>
      </c>
      <c r="AI189" s="21"/>
      <c r="AJ189" s="13"/>
      <c r="AK189" s="13"/>
    </row>
    <row r="190" spans="1:37" x14ac:dyDescent="0.35">
      <c r="A190" s="15" t="str">
        <f>VLOOKUP(B190,'[1]Tabla 1 Arsenal'!$B$11:$K$380,10,FALSE)</f>
        <v>P229</v>
      </c>
      <c r="B190" s="15">
        <v>209033</v>
      </c>
      <c r="C190" s="16" t="s">
        <v>242</v>
      </c>
      <c r="D190" s="16" t="s">
        <v>22</v>
      </c>
      <c r="E190" s="17">
        <v>13388</v>
      </c>
      <c r="F190" s="18" t="s">
        <v>55</v>
      </c>
      <c r="G190" s="19">
        <v>5</v>
      </c>
      <c r="H190" s="19">
        <v>5</v>
      </c>
      <c r="I190" s="19">
        <v>0</v>
      </c>
      <c r="J190" s="19">
        <v>1</v>
      </c>
      <c r="K190" s="19">
        <v>1</v>
      </c>
      <c r="L190" s="19">
        <v>9</v>
      </c>
      <c r="M190" s="19">
        <v>2</v>
      </c>
      <c r="N190" s="19">
        <v>2</v>
      </c>
      <c r="O190" s="19">
        <v>4</v>
      </c>
      <c r="P190" s="19">
        <v>2</v>
      </c>
      <c r="Q190" s="19">
        <v>6</v>
      </c>
      <c r="R190" s="19">
        <v>4</v>
      </c>
      <c r="S190" s="19">
        <v>3</v>
      </c>
      <c r="T190" s="19">
        <v>1</v>
      </c>
      <c r="U190" s="19">
        <v>2</v>
      </c>
      <c r="V190" s="19">
        <v>1</v>
      </c>
      <c r="W190" s="19">
        <v>2</v>
      </c>
      <c r="X190" s="19">
        <v>1</v>
      </c>
      <c r="Y190" s="19">
        <v>7</v>
      </c>
      <c r="Z190" s="19">
        <v>12</v>
      </c>
      <c r="AA190" s="19">
        <v>0</v>
      </c>
      <c r="AB190" s="19">
        <v>0</v>
      </c>
      <c r="AC190" s="19">
        <v>6</v>
      </c>
      <c r="AD190" s="19">
        <v>6</v>
      </c>
      <c r="AE190" s="19">
        <f t="shared" si="11"/>
        <v>41</v>
      </c>
      <c r="AF190" s="19">
        <f t="shared" si="12"/>
        <v>41</v>
      </c>
      <c r="AG190" s="20">
        <f t="shared" si="13"/>
        <v>3.4166666666666665</v>
      </c>
      <c r="AH190" s="20">
        <f t="shared" si="14"/>
        <v>3.4166666666666665</v>
      </c>
      <c r="AI190" s="21"/>
      <c r="AJ190" s="13"/>
      <c r="AK190" s="13"/>
    </row>
    <row r="191" spans="1:37" x14ac:dyDescent="0.35">
      <c r="A191" s="15" t="str">
        <f>VLOOKUP(B191,'[1]Tabla 1 Arsenal'!$B$11:$K$380,10,FALSE)</f>
        <v>P093</v>
      </c>
      <c r="B191" s="15">
        <v>101016</v>
      </c>
      <c r="C191" s="16" t="s">
        <v>243</v>
      </c>
      <c r="D191" s="16" t="s">
        <v>22</v>
      </c>
      <c r="E191" s="17">
        <v>221578</v>
      </c>
      <c r="F191" s="18" t="s">
        <v>23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12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6</v>
      </c>
      <c r="V191" s="19">
        <v>0</v>
      </c>
      <c r="W191" s="19">
        <v>6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f t="shared" si="11"/>
        <v>12</v>
      </c>
      <c r="AF191" s="19">
        <f t="shared" si="12"/>
        <v>12</v>
      </c>
      <c r="AG191" s="20">
        <f t="shared" si="13"/>
        <v>1</v>
      </c>
      <c r="AH191" s="20">
        <f t="shared" si="14"/>
        <v>1</v>
      </c>
      <c r="AI191" s="21"/>
      <c r="AJ191" s="13"/>
      <c r="AK191" s="13"/>
    </row>
    <row r="192" spans="1:37" x14ac:dyDescent="0.35">
      <c r="A192" s="15" t="str">
        <f>VLOOKUP(B192,'[1]Tabla 1 Arsenal'!$B$11:$K$380,10,FALSE)</f>
        <v>P278</v>
      </c>
      <c r="B192" s="15">
        <v>102057</v>
      </c>
      <c r="C192" s="16" t="s">
        <v>244</v>
      </c>
      <c r="D192" s="16" t="s">
        <v>22</v>
      </c>
      <c r="E192" s="17">
        <v>572</v>
      </c>
      <c r="F192" s="18" t="s">
        <v>23</v>
      </c>
      <c r="G192" s="19">
        <v>1373</v>
      </c>
      <c r="H192" s="19">
        <v>1065</v>
      </c>
      <c r="I192" s="19">
        <v>1113</v>
      </c>
      <c r="J192" s="19">
        <v>1029</v>
      </c>
      <c r="K192" s="19">
        <v>802</v>
      </c>
      <c r="L192" s="19">
        <v>1065</v>
      </c>
      <c r="M192" s="19">
        <v>994</v>
      </c>
      <c r="N192" s="19">
        <v>1242</v>
      </c>
      <c r="O192" s="19">
        <v>989</v>
      </c>
      <c r="P192" s="19">
        <v>945</v>
      </c>
      <c r="Q192" s="19">
        <v>943</v>
      </c>
      <c r="R192" s="19">
        <v>999</v>
      </c>
      <c r="S192" s="19">
        <v>642</v>
      </c>
      <c r="T192" s="19">
        <v>853</v>
      </c>
      <c r="U192" s="19">
        <v>1011</v>
      </c>
      <c r="V192" s="19">
        <v>1060</v>
      </c>
      <c r="W192" s="19">
        <v>820</v>
      </c>
      <c r="X192" s="19">
        <v>951</v>
      </c>
      <c r="Y192" s="19">
        <v>896</v>
      </c>
      <c r="Z192" s="19">
        <v>1194</v>
      </c>
      <c r="AA192" s="19">
        <v>1095</v>
      </c>
      <c r="AB192" s="19">
        <v>1727</v>
      </c>
      <c r="AC192" s="19">
        <v>945</v>
      </c>
      <c r="AD192" s="19">
        <v>1351</v>
      </c>
      <c r="AE192" s="19">
        <f t="shared" si="11"/>
        <v>12559</v>
      </c>
      <c r="AF192" s="19">
        <f t="shared" si="12"/>
        <v>12545</v>
      </c>
      <c r="AG192" s="20">
        <f t="shared" si="13"/>
        <v>1046.5833333333333</v>
      </c>
      <c r="AH192" s="20">
        <f t="shared" si="14"/>
        <v>1045.4166666666667</v>
      </c>
      <c r="AI192" s="21"/>
      <c r="AJ192" s="13"/>
      <c r="AK192" s="13"/>
    </row>
    <row r="193" spans="1:37" x14ac:dyDescent="0.35">
      <c r="A193" s="15" t="str">
        <f>VLOOKUP(B193,'[1]Tabla 1 Arsenal'!$B$11:$K$380,10,FALSE)</f>
        <v>P135</v>
      </c>
      <c r="B193" s="15">
        <v>103019</v>
      </c>
      <c r="C193" s="16" t="s">
        <v>245</v>
      </c>
      <c r="D193" s="16" t="s">
        <v>22</v>
      </c>
      <c r="E193" s="17">
        <v>1050</v>
      </c>
      <c r="F193" s="18" t="s">
        <v>23</v>
      </c>
      <c r="G193" s="19">
        <v>95</v>
      </c>
      <c r="H193" s="19">
        <v>57</v>
      </c>
      <c r="I193" s="19">
        <v>46</v>
      </c>
      <c r="J193" s="19">
        <v>54</v>
      </c>
      <c r="K193" s="19">
        <v>48</v>
      </c>
      <c r="L193" s="19">
        <v>85</v>
      </c>
      <c r="M193" s="19">
        <v>67</v>
      </c>
      <c r="N193" s="19">
        <v>20</v>
      </c>
      <c r="O193" s="19">
        <v>40</v>
      </c>
      <c r="P193" s="19">
        <v>29</v>
      </c>
      <c r="Q193" s="19">
        <v>1</v>
      </c>
      <c r="R193" s="19">
        <v>23</v>
      </c>
      <c r="S193" s="19">
        <v>39</v>
      </c>
      <c r="T193" s="19">
        <v>16</v>
      </c>
      <c r="U193" s="19">
        <v>30</v>
      </c>
      <c r="V193" s="19">
        <v>76</v>
      </c>
      <c r="W193" s="19">
        <v>40</v>
      </c>
      <c r="X193" s="19">
        <v>90</v>
      </c>
      <c r="Y193" s="19">
        <v>1</v>
      </c>
      <c r="Z193" s="19">
        <v>25</v>
      </c>
      <c r="AA193" s="19">
        <v>63</v>
      </c>
      <c r="AB193" s="19">
        <v>4</v>
      </c>
      <c r="AC193" s="19">
        <v>73</v>
      </c>
      <c r="AD193" s="19">
        <v>105</v>
      </c>
      <c r="AE193" s="19">
        <f t="shared" si="11"/>
        <v>565</v>
      </c>
      <c r="AF193" s="19">
        <f t="shared" si="12"/>
        <v>562</v>
      </c>
      <c r="AG193" s="20">
        <f t="shared" si="13"/>
        <v>47.083333333333336</v>
      </c>
      <c r="AH193" s="20">
        <f t="shared" si="14"/>
        <v>46.833333333333336</v>
      </c>
      <c r="AI193" s="21"/>
      <c r="AJ193" s="13"/>
      <c r="AK193" s="13"/>
    </row>
    <row r="194" spans="1:37" x14ac:dyDescent="0.35">
      <c r="A194" s="15" t="str">
        <f>VLOOKUP(B194,'[1]Tabla 1 Arsenal'!$B$11:$K$380,10,FALSE)</f>
        <v>P348</v>
      </c>
      <c r="B194" s="15">
        <v>106050</v>
      </c>
      <c r="C194" s="16" t="s">
        <v>246</v>
      </c>
      <c r="D194" s="16" t="s">
        <v>37</v>
      </c>
      <c r="E194" s="17">
        <v>83386</v>
      </c>
      <c r="F194" s="18" t="s">
        <v>55</v>
      </c>
      <c r="G194" s="19">
        <v>19</v>
      </c>
      <c r="H194" s="19">
        <v>10</v>
      </c>
      <c r="I194" s="19">
        <v>16</v>
      </c>
      <c r="J194" s="19">
        <v>19</v>
      </c>
      <c r="K194" s="19">
        <v>13</v>
      </c>
      <c r="L194" s="19">
        <v>12</v>
      </c>
      <c r="M194" s="19">
        <v>20</v>
      </c>
      <c r="N194" s="19">
        <v>9</v>
      </c>
      <c r="O194" s="19">
        <v>15</v>
      </c>
      <c r="P194" s="19">
        <v>18</v>
      </c>
      <c r="Q194" s="19">
        <v>9</v>
      </c>
      <c r="R194" s="19">
        <v>12</v>
      </c>
      <c r="S194" s="19">
        <v>20</v>
      </c>
      <c r="T194" s="19">
        <v>9</v>
      </c>
      <c r="U194" s="19">
        <v>11</v>
      </c>
      <c r="V194" s="19">
        <v>19</v>
      </c>
      <c r="W194" s="19">
        <v>11</v>
      </c>
      <c r="X194" s="19">
        <v>13</v>
      </c>
      <c r="Y194" s="19">
        <v>20</v>
      </c>
      <c r="Z194" s="19">
        <v>10</v>
      </c>
      <c r="AA194" s="19">
        <v>13</v>
      </c>
      <c r="AB194" s="19">
        <v>17</v>
      </c>
      <c r="AC194" s="19">
        <v>11</v>
      </c>
      <c r="AD194" s="19">
        <v>17</v>
      </c>
      <c r="AE194" s="19">
        <f t="shared" si="11"/>
        <v>172</v>
      </c>
      <c r="AF194" s="19">
        <f t="shared" si="12"/>
        <v>171</v>
      </c>
      <c r="AG194" s="20">
        <f t="shared" si="13"/>
        <v>14.333333333333334</v>
      </c>
      <c r="AH194" s="20">
        <f t="shared" si="14"/>
        <v>14.25</v>
      </c>
      <c r="AI194" s="21"/>
      <c r="AJ194" s="13"/>
      <c r="AK194" s="13"/>
    </row>
    <row r="195" spans="1:37" x14ac:dyDescent="0.35">
      <c r="A195" s="15" t="str">
        <f>VLOOKUP(B195,'[1]Tabla 1 Arsenal'!$B$11:$K$380,10,FALSE)</f>
        <v>P225</v>
      </c>
      <c r="B195" s="15">
        <v>104020</v>
      </c>
      <c r="C195" s="16" t="s">
        <v>247</v>
      </c>
      <c r="D195" s="16" t="s">
        <v>32</v>
      </c>
      <c r="E195" s="17">
        <v>26</v>
      </c>
      <c r="F195" s="18" t="s">
        <v>23</v>
      </c>
      <c r="G195" s="19">
        <v>4771</v>
      </c>
      <c r="H195" s="19">
        <v>4578</v>
      </c>
      <c r="I195" s="19">
        <v>6094</v>
      </c>
      <c r="J195" s="19">
        <v>6085</v>
      </c>
      <c r="K195" s="19">
        <v>8211</v>
      </c>
      <c r="L195" s="19">
        <v>7576</v>
      </c>
      <c r="M195" s="19">
        <v>7224</v>
      </c>
      <c r="N195" s="19">
        <v>6831</v>
      </c>
      <c r="O195" s="19">
        <v>6370</v>
      </c>
      <c r="P195" s="19">
        <v>7159</v>
      </c>
      <c r="Q195" s="19">
        <v>5312</v>
      </c>
      <c r="R195" s="19">
        <v>5913</v>
      </c>
      <c r="S195" s="19">
        <v>7557</v>
      </c>
      <c r="T195" s="19">
        <v>2541</v>
      </c>
      <c r="U195" s="19">
        <v>588</v>
      </c>
      <c r="V195" s="19">
        <v>6624</v>
      </c>
      <c r="W195" s="19">
        <v>5371</v>
      </c>
      <c r="X195" s="19">
        <v>5360</v>
      </c>
      <c r="Y195" s="19">
        <v>7126</v>
      </c>
      <c r="Z195" s="19">
        <v>7450</v>
      </c>
      <c r="AA195" s="19">
        <v>6524</v>
      </c>
      <c r="AB195" s="19">
        <v>8804</v>
      </c>
      <c r="AC195" s="19">
        <v>8163</v>
      </c>
      <c r="AD195" s="19">
        <v>9430</v>
      </c>
      <c r="AE195" s="19">
        <f t="shared" si="11"/>
        <v>76124</v>
      </c>
      <c r="AF195" s="19">
        <f t="shared" si="12"/>
        <v>75538</v>
      </c>
      <c r="AG195" s="20">
        <f t="shared" si="13"/>
        <v>6343.666666666667</v>
      </c>
      <c r="AH195" s="20">
        <f t="shared" si="14"/>
        <v>6294.833333333333</v>
      </c>
      <c r="AI195" s="21"/>
      <c r="AJ195" s="13"/>
      <c r="AK195" s="13"/>
    </row>
    <row r="196" spans="1:37" x14ac:dyDescent="0.35">
      <c r="A196" s="15" t="str">
        <f>VLOOKUP(B196,'[1]Tabla 1 Arsenal'!$B$11:$K$380,10,FALSE)</f>
        <v>P239</v>
      </c>
      <c r="B196" s="15">
        <v>102013</v>
      </c>
      <c r="C196" s="16" t="s">
        <v>248</v>
      </c>
      <c r="D196" s="16" t="s">
        <v>37</v>
      </c>
      <c r="E196" s="17">
        <v>184</v>
      </c>
      <c r="F196" s="18" t="s">
        <v>23</v>
      </c>
      <c r="G196" s="19">
        <v>364</v>
      </c>
      <c r="H196" s="19">
        <v>252</v>
      </c>
      <c r="I196" s="19">
        <v>187</v>
      </c>
      <c r="J196" s="19">
        <v>133</v>
      </c>
      <c r="K196" s="19">
        <v>332</v>
      </c>
      <c r="L196" s="19">
        <v>538</v>
      </c>
      <c r="M196" s="19">
        <v>448</v>
      </c>
      <c r="N196" s="19">
        <v>467</v>
      </c>
      <c r="O196" s="19">
        <v>476</v>
      </c>
      <c r="P196" s="19">
        <v>163</v>
      </c>
      <c r="Q196" s="19">
        <v>170</v>
      </c>
      <c r="R196" s="19">
        <v>543</v>
      </c>
      <c r="S196" s="19">
        <v>547</v>
      </c>
      <c r="T196" s="19">
        <v>205</v>
      </c>
      <c r="U196" s="19">
        <v>338</v>
      </c>
      <c r="V196" s="19">
        <v>494</v>
      </c>
      <c r="W196" s="19">
        <v>346</v>
      </c>
      <c r="X196" s="19">
        <v>277</v>
      </c>
      <c r="Y196" s="19">
        <v>458</v>
      </c>
      <c r="Z196" s="19">
        <v>96</v>
      </c>
      <c r="AA196" s="19">
        <v>275</v>
      </c>
      <c r="AB196" s="19">
        <v>248</v>
      </c>
      <c r="AC196" s="19">
        <v>301</v>
      </c>
      <c r="AD196" s="19">
        <v>456</v>
      </c>
      <c r="AE196" s="19">
        <f t="shared" si="11"/>
        <v>4073</v>
      </c>
      <c r="AF196" s="19">
        <f t="shared" si="12"/>
        <v>4041</v>
      </c>
      <c r="AG196" s="20">
        <f t="shared" si="13"/>
        <v>339.41666666666669</v>
      </c>
      <c r="AH196" s="20">
        <f t="shared" si="14"/>
        <v>336.75</v>
      </c>
      <c r="AI196" s="21"/>
      <c r="AJ196" s="13"/>
      <c r="AK196" s="13"/>
    </row>
    <row r="197" spans="1:37" x14ac:dyDescent="0.35">
      <c r="A197" s="15" t="str">
        <f>VLOOKUP(B197,'[1]Tabla 1 Arsenal'!$B$11:$K$380,10,FALSE)</f>
        <v>P266</v>
      </c>
      <c r="B197" s="15">
        <v>104046</v>
      </c>
      <c r="C197" s="16" t="s">
        <v>249</v>
      </c>
      <c r="D197" s="16" t="s">
        <v>32</v>
      </c>
      <c r="E197" s="17">
        <v>15</v>
      </c>
      <c r="F197" s="18" t="s">
        <v>23</v>
      </c>
      <c r="G197" s="19">
        <v>11226</v>
      </c>
      <c r="H197" s="19">
        <v>10901</v>
      </c>
      <c r="I197" s="19">
        <v>11898</v>
      </c>
      <c r="J197" s="19">
        <v>10818</v>
      </c>
      <c r="K197" s="19">
        <v>12831</v>
      </c>
      <c r="L197" s="19">
        <v>11150</v>
      </c>
      <c r="M197" s="19">
        <v>11954</v>
      </c>
      <c r="N197" s="19">
        <v>11930</v>
      </c>
      <c r="O197" s="19">
        <v>11639</v>
      </c>
      <c r="P197" s="19">
        <v>11774</v>
      </c>
      <c r="Q197" s="19">
        <v>10973</v>
      </c>
      <c r="R197" s="19">
        <v>9428</v>
      </c>
      <c r="S197" s="19">
        <v>12042</v>
      </c>
      <c r="T197" s="19">
        <v>9562</v>
      </c>
      <c r="U197" s="19">
        <v>10218</v>
      </c>
      <c r="V197" s="19">
        <v>12512</v>
      </c>
      <c r="W197" s="19">
        <v>12080</v>
      </c>
      <c r="X197" s="19">
        <v>11304</v>
      </c>
      <c r="Y197" s="19">
        <v>12719</v>
      </c>
      <c r="Z197" s="19">
        <v>12154</v>
      </c>
      <c r="AA197" s="19">
        <v>9989</v>
      </c>
      <c r="AB197" s="19">
        <v>12464</v>
      </c>
      <c r="AC197" s="19">
        <v>9869</v>
      </c>
      <c r="AD197" s="19">
        <v>9567</v>
      </c>
      <c r="AE197" s="19">
        <f t="shared" si="11"/>
        <v>136522</v>
      </c>
      <c r="AF197" s="19">
        <f t="shared" si="12"/>
        <v>134480</v>
      </c>
      <c r="AG197" s="20">
        <f t="shared" si="13"/>
        <v>11376.833333333334</v>
      </c>
      <c r="AH197" s="20">
        <f t="shared" si="14"/>
        <v>11206.666666666666</v>
      </c>
      <c r="AI197" s="21"/>
      <c r="AJ197" s="13"/>
      <c r="AK197" s="13"/>
    </row>
    <row r="198" spans="1:37" x14ac:dyDescent="0.35">
      <c r="A198" s="15" t="str">
        <f>VLOOKUP(B198,'[1]Tabla 1 Arsenal'!$B$11:$K$380,10,FALSE)</f>
        <v>P015</v>
      </c>
      <c r="B198" s="15">
        <v>106073</v>
      </c>
      <c r="C198" s="16" t="s">
        <v>250</v>
      </c>
      <c r="D198" s="16" t="s">
        <v>22</v>
      </c>
      <c r="E198" s="17">
        <v>21950</v>
      </c>
      <c r="F198" s="18" t="s">
        <v>23</v>
      </c>
      <c r="G198" s="19">
        <v>101</v>
      </c>
      <c r="H198" s="19">
        <v>129</v>
      </c>
      <c r="I198" s="19">
        <v>64</v>
      </c>
      <c r="J198" s="19">
        <v>96</v>
      </c>
      <c r="K198" s="19">
        <v>102</v>
      </c>
      <c r="L198" s="19">
        <v>124</v>
      </c>
      <c r="M198" s="19">
        <v>173</v>
      </c>
      <c r="N198" s="19">
        <v>95</v>
      </c>
      <c r="O198" s="19">
        <v>18</v>
      </c>
      <c r="P198" s="19">
        <v>113</v>
      </c>
      <c r="Q198" s="19">
        <v>214</v>
      </c>
      <c r="R198" s="19">
        <v>84</v>
      </c>
      <c r="S198" s="19">
        <v>23</v>
      </c>
      <c r="T198" s="19">
        <v>145</v>
      </c>
      <c r="U198" s="19">
        <v>145</v>
      </c>
      <c r="V198" s="19">
        <v>176</v>
      </c>
      <c r="W198" s="19">
        <v>29</v>
      </c>
      <c r="X198" s="19">
        <v>101</v>
      </c>
      <c r="Y198" s="19">
        <v>141</v>
      </c>
      <c r="Z198" s="19">
        <v>122</v>
      </c>
      <c r="AA198" s="19">
        <v>82</v>
      </c>
      <c r="AB198" s="19">
        <v>235</v>
      </c>
      <c r="AC198" s="19">
        <v>0</v>
      </c>
      <c r="AD198" s="19">
        <v>92</v>
      </c>
      <c r="AE198" s="19">
        <f t="shared" ref="AE198:AE261" si="15">SUM(G198:R198)</f>
        <v>1313</v>
      </c>
      <c r="AF198" s="19">
        <f t="shared" ref="AF198:AF261" si="16">SUM(S198:AD198)</f>
        <v>1291</v>
      </c>
      <c r="AG198" s="20">
        <f t="shared" ref="AG198:AG261" si="17">AVERAGE(G198:R198)</f>
        <v>109.41666666666667</v>
      </c>
      <c r="AH198" s="20">
        <f t="shared" si="14"/>
        <v>107.58333333333333</v>
      </c>
      <c r="AI198" s="21"/>
      <c r="AJ198" s="13"/>
      <c r="AK198" s="13"/>
    </row>
    <row r="199" spans="1:37" x14ac:dyDescent="0.35">
      <c r="A199" s="15" t="str">
        <f>VLOOKUP(B199,'[1]Tabla 1 Arsenal'!$B$11:$K$380,10,FALSE)</f>
        <v>P270</v>
      </c>
      <c r="B199" s="15">
        <v>209026</v>
      </c>
      <c r="C199" s="16" t="s">
        <v>251</v>
      </c>
      <c r="D199" s="16" t="s">
        <v>37</v>
      </c>
      <c r="E199" s="17">
        <v>213</v>
      </c>
      <c r="F199" s="18" t="s">
        <v>23</v>
      </c>
      <c r="G199" s="19">
        <v>1451</v>
      </c>
      <c r="H199" s="19">
        <v>1440</v>
      </c>
      <c r="I199" s="19">
        <v>2173</v>
      </c>
      <c r="J199" s="19">
        <v>1414</v>
      </c>
      <c r="K199" s="19">
        <v>1357</v>
      </c>
      <c r="L199" s="19">
        <v>1285</v>
      </c>
      <c r="M199" s="19">
        <v>1962</v>
      </c>
      <c r="N199" s="19">
        <v>1439</v>
      </c>
      <c r="O199" s="19">
        <v>1393</v>
      </c>
      <c r="P199" s="19">
        <v>1100</v>
      </c>
      <c r="Q199" s="19">
        <v>1520</v>
      </c>
      <c r="R199" s="19">
        <v>1400</v>
      </c>
      <c r="S199" s="19">
        <v>1334</v>
      </c>
      <c r="T199" s="19">
        <v>1479</v>
      </c>
      <c r="U199" s="19">
        <v>1788</v>
      </c>
      <c r="V199" s="19">
        <v>1580</v>
      </c>
      <c r="W199" s="19">
        <v>1369</v>
      </c>
      <c r="X199" s="19">
        <v>1533</v>
      </c>
      <c r="Y199" s="19">
        <v>1380</v>
      </c>
      <c r="Z199" s="19">
        <v>1366</v>
      </c>
      <c r="AA199" s="19">
        <v>1393</v>
      </c>
      <c r="AB199" s="19">
        <v>1724</v>
      </c>
      <c r="AC199" s="19">
        <v>1139</v>
      </c>
      <c r="AD199" s="19">
        <v>1483</v>
      </c>
      <c r="AE199" s="19">
        <f t="shared" si="15"/>
        <v>17934</v>
      </c>
      <c r="AF199" s="19">
        <f t="shared" si="16"/>
        <v>17568</v>
      </c>
      <c r="AG199" s="20">
        <f t="shared" si="17"/>
        <v>1494.5</v>
      </c>
      <c r="AH199" s="20">
        <f t="shared" si="14"/>
        <v>1464</v>
      </c>
      <c r="AI199" s="21"/>
      <c r="AJ199" s="13"/>
      <c r="AK199" s="13"/>
    </row>
    <row r="200" spans="1:37" x14ac:dyDescent="0.35">
      <c r="A200" s="15" t="str">
        <f>VLOOKUP(B200,'[1]Tabla 1 Arsenal'!$B$11:$K$380,10,FALSE)</f>
        <v>P370</v>
      </c>
      <c r="B200" s="15">
        <v>209037</v>
      </c>
      <c r="C200" s="16" t="s">
        <v>252</v>
      </c>
      <c r="D200" s="16" t="s">
        <v>22</v>
      </c>
      <c r="E200" s="17">
        <v>307290</v>
      </c>
      <c r="F200" s="18" t="s">
        <v>55</v>
      </c>
      <c r="G200" s="19">
        <v>0</v>
      </c>
      <c r="H200" s="19">
        <v>0</v>
      </c>
      <c r="I200" s="19">
        <v>0</v>
      </c>
      <c r="J200" s="19">
        <v>0</v>
      </c>
      <c r="K200" s="19">
        <v>9</v>
      </c>
      <c r="L200" s="19">
        <v>4</v>
      </c>
      <c r="M200" s="19">
        <v>11</v>
      </c>
      <c r="N200" s="19">
        <v>8</v>
      </c>
      <c r="O200" s="19">
        <v>4</v>
      </c>
      <c r="P200" s="19">
        <v>2</v>
      </c>
      <c r="Q200" s="19">
        <v>0</v>
      </c>
      <c r="R200" s="19">
        <v>2</v>
      </c>
      <c r="S200" s="19">
        <v>5</v>
      </c>
      <c r="T200" s="19">
        <v>4</v>
      </c>
      <c r="U200" s="19">
        <v>3</v>
      </c>
      <c r="V200" s="19">
        <v>2</v>
      </c>
      <c r="W200" s="19">
        <v>3</v>
      </c>
      <c r="X200" s="19">
        <v>0</v>
      </c>
      <c r="Y200" s="19">
        <v>1</v>
      </c>
      <c r="Z200" s="19">
        <v>3</v>
      </c>
      <c r="AA200" s="19">
        <v>2</v>
      </c>
      <c r="AB200" s="19">
        <v>7</v>
      </c>
      <c r="AC200" s="19">
        <v>5</v>
      </c>
      <c r="AD200" s="19">
        <v>4</v>
      </c>
      <c r="AE200" s="19">
        <f t="shared" si="15"/>
        <v>40</v>
      </c>
      <c r="AF200" s="19">
        <f t="shared" si="16"/>
        <v>39</v>
      </c>
      <c r="AG200" s="20">
        <f t="shared" si="17"/>
        <v>3.3333333333333335</v>
      </c>
      <c r="AH200" s="20">
        <f t="shared" si="14"/>
        <v>3.25</v>
      </c>
      <c r="AI200" s="21"/>
      <c r="AJ200" s="13"/>
      <c r="AK200" s="13"/>
    </row>
    <row r="201" spans="1:37" x14ac:dyDescent="0.35">
      <c r="A201" s="15" t="str">
        <f>VLOOKUP(B201,'[1]Tabla 1 Arsenal'!$B$11:$K$380,10,FALSE)</f>
        <v>P161</v>
      </c>
      <c r="B201" s="15">
        <v>106027</v>
      </c>
      <c r="C201" s="16" t="s">
        <v>253</v>
      </c>
      <c r="D201" s="16" t="s">
        <v>22</v>
      </c>
      <c r="E201" s="17">
        <v>2678</v>
      </c>
      <c r="F201" s="18" t="s">
        <v>23</v>
      </c>
      <c r="G201" s="19">
        <v>57</v>
      </c>
      <c r="H201" s="19">
        <v>46</v>
      </c>
      <c r="I201" s="19">
        <v>70</v>
      </c>
      <c r="J201" s="19">
        <v>89</v>
      </c>
      <c r="K201" s="19">
        <v>78</v>
      </c>
      <c r="L201" s="19">
        <v>45</v>
      </c>
      <c r="M201" s="19">
        <v>95</v>
      </c>
      <c r="N201" s="19">
        <v>69</v>
      </c>
      <c r="O201" s="19">
        <v>25</v>
      </c>
      <c r="P201" s="19">
        <v>87</v>
      </c>
      <c r="Q201" s="19">
        <v>43</v>
      </c>
      <c r="R201" s="19">
        <v>51</v>
      </c>
      <c r="S201" s="19">
        <v>63</v>
      </c>
      <c r="T201" s="19">
        <v>75</v>
      </c>
      <c r="U201" s="19">
        <v>95</v>
      </c>
      <c r="V201" s="19">
        <v>82</v>
      </c>
      <c r="W201" s="19">
        <v>64</v>
      </c>
      <c r="X201" s="19">
        <v>79</v>
      </c>
      <c r="Y201" s="19">
        <v>26</v>
      </c>
      <c r="Z201" s="19">
        <v>75</v>
      </c>
      <c r="AA201" s="19">
        <v>26</v>
      </c>
      <c r="AB201" s="19">
        <v>57</v>
      </c>
      <c r="AC201" s="19">
        <v>29</v>
      </c>
      <c r="AD201" s="19">
        <v>65</v>
      </c>
      <c r="AE201" s="19">
        <f t="shared" si="15"/>
        <v>755</v>
      </c>
      <c r="AF201" s="19">
        <f t="shared" si="16"/>
        <v>736</v>
      </c>
      <c r="AG201" s="20">
        <f t="shared" si="17"/>
        <v>62.916666666666664</v>
      </c>
      <c r="AH201" s="20">
        <f t="shared" si="14"/>
        <v>61.333333333333336</v>
      </c>
      <c r="AI201" s="21"/>
      <c r="AJ201" s="13"/>
      <c r="AK201" s="13"/>
    </row>
    <row r="202" spans="1:37" x14ac:dyDescent="0.35">
      <c r="A202" s="15" t="str">
        <f>VLOOKUP(B202,'[1]Tabla 1 Arsenal'!$B$11:$K$380,10,FALSE)</f>
        <v>P155</v>
      </c>
      <c r="B202" s="15">
        <v>108026</v>
      </c>
      <c r="C202" s="16" t="s">
        <v>254</v>
      </c>
      <c r="D202" s="16" t="s">
        <v>39</v>
      </c>
      <c r="E202" s="17">
        <v>740</v>
      </c>
      <c r="F202" s="18" t="s">
        <v>23</v>
      </c>
      <c r="G202" s="19">
        <v>89</v>
      </c>
      <c r="H202" s="19">
        <v>21</v>
      </c>
      <c r="I202" s="19">
        <v>12</v>
      </c>
      <c r="J202" s="19">
        <v>5</v>
      </c>
      <c r="K202" s="19">
        <v>3</v>
      </c>
      <c r="L202" s="19">
        <v>82</v>
      </c>
      <c r="M202" s="19">
        <v>109</v>
      </c>
      <c r="N202" s="19">
        <v>132</v>
      </c>
      <c r="O202" s="19">
        <v>89</v>
      </c>
      <c r="P202" s="19">
        <v>110</v>
      </c>
      <c r="Q202" s="19">
        <v>58</v>
      </c>
      <c r="R202" s="19">
        <v>84</v>
      </c>
      <c r="S202" s="19">
        <v>42</v>
      </c>
      <c r="T202" s="19">
        <v>1</v>
      </c>
      <c r="U202" s="19">
        <v>41</v>
      </c>
      <c r="V202" s="19">
        <v>83</v>
      </c>
      <c r="W202" s="19">
        <v>98</v>
      </c>
      <c r="X202" s="19">
        <v>0</v>
      </c>
      <c r="Y202" s="19">
        <v>25</v>
      </c>
      <c r="Z202" s="19">
        <v>132</v>
      </c>
      <c r="AA202" s="19">
        <v>0</v>
      </c>
      <c r="AB202" s="19">
        <v>211</v>
      </c>
      <c r="AC202" s="19">
        <v>129</v>
      </c>
      <c r="AD202" s="19">
        <v>11</v>
      </c>
      <c r="AE202" s="19">
        <f t="shared" si="15"/>
        <v>794</v>
      </c>
      <c r="AF202" s="19">
        <f t="shared" si="16"/>
        <v>773</v>
      </c>
      <c r="AG202" s="20">
        <f t="shared" si="17"/>
        <v>66.166666666666671</v>
      </c>
      <c r="AH202" s="20">
        <f t="shared" si="14"/>
        <v>64.416666666666671</v>
      </c>
      <c r="AI202" s="21"/>
      <c r="AJ202" s="13"/>
      <c r="AK202" s="13"/>
    </row>
    <row r="203" spans="1:37" x14ac:dyDescent="0.35">
      <c r="A203" s="15" t="str">
        <f>VLOOKUP(B203,'[1]Tabla 1 Arsenal'!$B$11:$K$380,10,FALSE)</f>
        <v>P349</v>
      </c>
      <c r="B203" s="15">
        <v>106043</v>
      </c>
      <c r="C203" s="16" t="s">
        <v>255</v>
      </c>
      <c r="D203" s="16" t="s">
        <v>37</v>
      </c>
      <c r="E203" s="17">
        <v>143</v>
      </c>
      <c r="F203" s="18" t="s">
        <v>23</v>
      </c>
      <c r="G203" s="19">
        <v>1239</v>
      </c>
      <c r="H203" s="19">
        <v>747</v>
      </c>
      <c r="I203" s="19">
        <v>1629</v>
      </c>
      <c r="J203" s="19">
        <v>1424</v>
      </c>
      <c r="K203" s="19">
        <v>1065</v>
      </c>
      <c r="L203" s="19">
        <v>1017</v>
      </c>
      <c r="M203" s="19">
        <v>1308</v>
      </c>
      <c r="N203" s="19">
        <v>828</v>
      </c>
      <c r="O203" s="19">
        <v>1026</v>
      </c>
      <c r="P203" s="19">
        <v>664</v>
      </c>
      <c r="Q203" s="19">
        <v>1199</v>
      </c>
      <c r="R203" s="19">
        <v>1237</v>
      </c>
      <c r="S203" s="19">
        <v>1374</v>
      </c>
      <c r="T203" s="19">
        <v>1137</v>
      </c>
      <c r="U203" s="19">
        <v>1654</v>
      </c>
      <c r="V203" s="19">
        <v>1454</v>
      </c>
      <c r="W203" s="19">
        <v>906</v>
      </c>
      <c r="X203" s="19">
        <v>628</v>
      </c>
      <c r="Y203" s="19">
        <v>1051</v>
      </c>
      <c r="Z203" s="19">
        <v>1281</v>
      </c>
      <c r="AA203" s="19">
        <v>656</v>
      </c>
      <c r="AB203" s="19">
        <v>1055</v>
      </c>
      <c r="AC203" s="19">
        <v>752</v>
      </c>
      <c r="AD203" s="19">
        <v>1071</v>
      </c>
      <c r="AE203" s="19">
        <f t="shared" si="15"/>
        <v>13383</v>
      </c>
      <c r="AF203" s="19">
        <f t="shared" si="16"/>
        <v>13019</v>
      </c>
      <c r="AG203" s="20">
        <f t="shared" si="17"/>
        <v>1115.25</v>
      </c>
      <c r="AH203" s="20">
        <f t="shared" si="14"/>
        <v>1084.9166666666667</v>
      </c>
      <c r="AI203" s="21"/>
      <c r="AJ203" s="13"/>
      <c r="AK203" s="13"/>
    </row>
    <row r="204" spans="1:37" x14ac:dyDescent="0.35">
      <c r="A204" s="15" t="str">
        <f>VLOOKUP(B204,'[1]Tabla 1 Arsenal'!$B$11:$K$380,10,FALSE)</f>
        <v>P281</v>
      </c>
      <c r="B204" s="15">
        <v>102048</v>
      </c>
      <c r="C204" s="16" t="s">
        <v>256</v>
      </c>
      <c r="D204" s="16" t="s">
        <v>32</v>
      </c>
      <c r="E204" s="17">
        <v>5973</v>
      </c>
      <c r="F204" s="18" t="s">
        <v>55</v>
      </c>
      <c r="G204" s="19">
        <v>750</v>
      </c>
      <c r="H204" s="19">
        <v>840</v>
      </c>
      <c r="I204" s="19">
        <v>1020</v>
      </c>
      <c r="J204" s="19">
        <v>900</v>
      </c>
      <c r="K204" s="19">
        <v>1050</v>
      </c>
      <c r="L204" s="19">
        <v>870</v>
      </c>
      <c r="M204" s="19">
        <v>1020</v>
      </c>
      <c r="N204" s="19">
        <v>1170</v>
      </c>
      <c r="O204" s="19">
        <v>1140</v>
      </c>
      <c r="P204" s="19">
        <v>810</v>
      </c>
      <c r="Q204" s="19">
        <v>1140</v>
      </c>
      <c r="R204" s="19">
        <v>1110</v>
      </c>
      <c r="S204" s="19">
        <v>960</v>
      </c>
      <c r="T204" s="19">
        <v>750</v>
      </c>
      <c r="U204" s="19">
        <v>810</v>
      </c>
      <c r="V204" s="19">
        <v>900</v>
      </c>
      <c r="W204" s="19">
        <v>810</v>
      </c>
      <c r="X204" s="19">
        <v>780</v>
      </c>
      <c r="Y204" s="19">
        <v>840</v>
      </c>
      <c r="Z204" s="19">
        <v>960</v>
      </c>
      <c r="AA204" s="19">
        <v>1020</v>
      </c>
      <c r="AB204" s="19">
        <v>1230</v>
      </c>
      <c r="AC204" s="19">
        <v>1140</v>
      </c>
      <c r="AD204" s="19">
        <v>1290</v>
      </c>
      <c r="AE204" s="19">
        <f t="shared" si="15"/>
        <v>11820</v>
      </c>
      <c r="AF204" s="19">
        <f t="shared" si="16"/>
        <v>11490</v>
      </c>
      <c r="AG204" s="20">
        <f t="shared" si="17"/>
        <v>985</v>
      </c>
      <c r="AH204" s="20">
        <f t="shared" si="14"/>
        <v>957.5</v>
      </c>
      <c r="AI204" s="21"/>
      <c r="AJ204" s="13"/>
      <c r="AK204" s="13"/>
    </row>
    <row r="205" spans="1:37" x14ac:dyDescent="0.35">
      <c r="A205" s="15" t="str">
        <f>VLOOKUP(B205,'[1]Tabla 1 Arsenal'!$B$11:$K$380,10,FALSE)</f>
        <v>P094</v>
      </c>
      <c r="B205" s="15">
        <v>101034</v>
      </c>
      <c r="C205" s="16" t="s">
        <v>257</v>
      </c>
      <c r="D205" s="16" t="s">
        <v>32</v>
      </c>
      <c r="E205" s="17">
        <v>17472</v>
      </c>
      <c r="F205" s="18" t="s">
        <v>55</v>
      </c>
      <c r="G205" s="19">
        <v>600</v>
      </c>
      <c r="H205" s="19">
        <v>630</v>
      </c>
      <c r="I205" s="19">
        <v>600</v>
      </c>
      <c r="J205" s="19">
        <v>600</v>
      </c>
      <c r="K205" s="19">
        <v>660</v>
      </c>
      <c r="L205" s="19">
        <v>630</v>
      </c>
      <c r="M205" s="19">
        <v>540</v>
      </c>
      <c r="N205" s="19">
        <v>600</v>
      </c>
      <c r="O205" s="19">
        <v>480</v>
      </c>
      <c r="P205" s="19">
        <v>660</v>
      </c>
      <c r="Q205" s="19">
        <v>660</v>
      </c>
      <c r="R205" s="19">
        <v>630</v>
      </c>
      <c r="S205" s="19">
        <v>690</v>
      </c>
      <c r="T205" s="19">
        <v>510</v>
      </c>
      <c r="U205" s="19">
        <v>690</v>
      </c>
      <c r="V205" s="19">
        <v>570</v>
      </c>
      <c r="W205" s="19">
        <v>660</v>
      </c>
      <c r="X205" s="19">
        <v>600</v>
      </c>
      <c r="Y205" s="19">
        <v>540</v>
      </c>
      <c r="Z205" s="19">
        <v>570</v>
      </c>
      <c r="AA205" s="19">
        <v>570</v>
      </c>
      <c r="AB205" s="19">
        <v>570</v>
      </c>
      <c r="AC205" s="19">
        <v>570</v>
      </c>
      <c r="AD205" s="19">
        <v>540</v>
      </c>
      <c r="AE205" s="19">
        <f t="shared" si="15"/>
        <v>7290</v>
      </c>
      <c r="AF205" s="19">
        <f t="shared" si="16"/>
        <v>7080</v>
      </c>
      <c r="AG205" s="20">
        <f t="shared" si="17"/>
        <v>607.5</v>
      </c>
      <c r="AH205" s="20">
        <f t="shared" si="14"/>
        <v>590</v>
      </c>
      <c r="AI205" s="21"/>
      <c r="AJ205" s="13"/>
      <c r="AK205" s="13"/>
    </row>
    <row r="206" spans="1:37" x14ac:dyDescent="0.35">
      <c r="A206" s="15" t="str">
        <f>VLOOKUP(B206,'[1]Tabla 1 Arsenal'!$B$11:$K$380,10,FALSE)</f>
        <v>P231</v>
      </c>
      <c r="B206" s="15">
        <v>102081</v>
      </c>
      <c r="C206" s="16" t="s">
        <v>258</v>
      </c>
      <c r="D206" s="16" t="s">
        <v>32</v>
      </c>
      <c r="E206" s="17">
        <v>71</v>
      </c>
      <c r="F206" s="18" t="s">
        <v>23</v>
      </c>
      <c r="G206" s="19">
        <v>356</v>
      </c>
      <c r="H206" s="19">
        <v>294</v>
      </c>
      <c r="I206" s="19">
        <v>261</v>
      </c>
      <c r="J206" s="19">
        <v>318</v>
      </c>
      <c r="K206" s="19">
        <v>339</v>
      </c>
      <c r="L206" s="19">
        <v>422</v>
      </c>
      <c r="M206" s="19">
        <v>468</v>
      </c>
      <c r="N206" s="19">
        <v>384</v>
      </c>
      <c r="O206" s="19">
        <v>195</v>
      </c>
      <c r="P206" s="19">
        <v>206</v>
      </c>
      <c r="Q206" s="19">
        <v>398</v>
      </c>
      <c r="R206" s="19">
        <v>268</v>
      </c>
      <c r="S206" s="19">
        <v>344</v>
      </c>
      <c r="T206" s="19">
        <v>433</v>
      </c>
      <c r="U206" s="19">
        <v>314</v>
      </c>
      <c r="V206" s="19">
        <v>437</v>
      </c>
      <c r="W206" s="19">
        <v>378</v>
      </c>
      <c r="X206" s="19">
        <v>350</v>
      </c>
      <c r="Y206" s="19">
        <v>137</v>
      </c>
      <c r="Z206" s="19">
        <v>194</v>
      </c>
      <c r="AA206" s="19">
        <v>213</v>
      </c>
      <c r="AB206" s="19">
        <v>198</v>
      </c>
      <c r="AC206" s="19">
        <v>463</v>
      </c>
      <c r="AD206" s="19">
        <v>324</v>
      </c>
      <c r="AE206" s="19">
        <f t="shared" si="15"/>
        <v>3909</v>
      </c>
      <c r="AF206" s="19">
        <f t="shared" si="16"/>
        <v>3785</v>
      </c>
      <c r="AG206" s="20">
        <f t="shared" si="17"/>
        <v>325.75</v>
      </c>
      <c r="AH206" s="20">
        <f t="shared" si="14"/>
        <v>315.41666666666669</v>
      </c>
      <c r="AI206" s="21"/>
      <c r="AJ206" s="13"/>
      <c r="AK206" s="13"/>
    </row>
    <row r="207" spans="1:37" x14ac:dyDescent="0.35">
      <c r="A207" s="15" t="str">
        <f>VLOOKUP(B207,'[1]Tabla 1 Arsenal'!$B$11:$K$380,10,FALSE)</f>
        <v>P330</v>
      </c>
      <c r="B207" s="15">
        <v>108024</v>
      </c>
      <c r="C207" s="16" t="s">
        <v>259</v>
      </c>
      <c r="D207" s="16" t="s">
        <v>39</v>
      </c>
      <c r="E207" s="17">
        <v>470</v>
      </c>
      <c r="F207" s="18" t="s">
        <v>23</v>
      </c>
      <c r="G207" s="19">
        <v>1617</v>
      </c>
      <c r="H207" s="19">
        <v>897</v>
      </c>
      <c r="I207" s="19">
        <v>1562</v>
      </c>
      <c r="J207" s="19">
        <v>1362</v>
      </c>
      <c r="K207" s="19">
        <v>1342</v>
      </c>
      <c r="L207" s="19">
        <v>1619</v>
      </c>
      <c r="M207" s="19">
        <v>1244</v>
      </c>
      <c r="N207" s="19">
        <v>1244</v>
      </c>
      <c r="O207" s="19">
        <v>1143</v>
      </c>
      <c r="P207" s="19">
        <v>1131</v>
      </c>
      <c r="Q207" s="19">
        <v>811</v>
      </c>
      <c r="R207" s="19">
        <v>1322</v>
      </c>
      <c r="S207" s="19">
        <v>1200</v>
      </c>
      <c r="T207" s="19">
        <v>1101</v>
      </c>
      <c r="U207" s="19">
        <v>1305</v>
      </c>
      <c r="V207" s="19">
        <v>1296</v>
      </c>
      <c r="W207" s="19">
        <v>1283</v>
      </c>
      <c r="X207" s="19">
        <v>946</v>
      </c>
      <c r="Y207" s="19">
        <v>1786</v>
      </c>
      <c r="Z207" s="19">
        <v>1249</v>
      </c>
      <c r="AA207" s="19">
        <v>745</v>
      </c>
      <c r="AB207" s="19">
        <v>1421</v>
      </c>
      <c r="AC207" s="19">
        <v>1345</v>
      </c>
      <c r="AD207" s="19">
        <v>1127</v>
      </c>
      <c r="AE207" s="19">
        <f t="shared" si="15"/>
        <v>15294</v>
      </c>
      <c r="AF207" s="19">
        <f t="shared" si="16"/>
        <v>14804</v>
      </c>
      <c r="AG207" s="20">
        <f t="shared" si="17"/>
        <v>1274.5</v>
      </c>
      <c r="AH207" s="20">
        <f t="shared" si="14"/>
        <v>1233.6666666666667</v>
      </c>
      <c r="AI207" s="21"/>
      <c r="AJ207" s="13"/>
      <c r="AK207" s="13"/>
    </row>
    <row r="208" spans="1:37" x14ac:dyDescent="0.35">
      <c r="A208" s="15" t="str">
        <f>VLOOKUP(B208,'[1]Tabla 1 Arsenal'!$B$11:$K$380,10,FALSE)</f>
        <v>P287</v>
      </c>
      <c r="B208" s="15">
        <v>102085</v>
      </c>
      <c r="C208" s="16" t="s">
        <v>260</v>
      </c>
      <c r="D208" s="16" t="s">
        <v>94</v>
      </c>
      <c r="E208" s="17">
        <v>7140</v>
      </c>
      <c r="F208" s="18" t="s">
        <v>23</v>
      </c>
      <c r="G208" s="19">
        <v>122</v>
      </c>
      <c r="H208" s="19">
        <v>112</v>
      </c>
      <c r="I208" s="19">
        <v>149</v>
      </c>
      <c r="J208" s="19">
        <v>116.2</v>
      </c>
      <c r="K208" s="19">
        <v>114</v>
      </c>
      <c r="L208" s="19">
        <v>206</v>
      </c>
      <c r="M208" s="19">
        <v>148</v>
      </c>
      <c r="N208" s="19">
        <v>159</v>
      </c>
      <c r="O208" s="19">
        <v>105</v>
      </c>
      <c r="P208" s="19">
        <v>90</v>
      </c>
      <c r="Q208" s="19">
        <v>146</v>
      </c>
      <c r="R208" s="19">
        <v>136</v>
      </c>
      <c r="S208" s="19">
        <v>24</v>
      </c>
      <c r="T208" s="19">
        <v>16</v>
      </c>
      <c r="U208" s="19">
        <v>69</v>
      </c>
      <c r="V208" s="19">
        <v>139.80000000000001</v>
      </c>
      <c r="W208" s="19">
        <v>278</v>
      </c>
      <c r="X208" s="19">
        <v>371</v>
      </c>
      <c r="Y208" s="19">
        <v>48</v>
      </c>
      <c r="Z208" s="19">
        <v>124</v>
      </c>
      <c r="AA208" s="19">
        <v>107</v>
      </c>
      <c r="AB208" s="19">
        <v>153</v>
      </c>
      <c r="AC208" s="19">
        <v>168</v>
      </c>
      <c r="AD208" s="19">
        <v>48</v>
      </c>
      <c r="AE208" s="19">
        <f t="shared" si="15"/>
        <v>1603.2</v>
      </c>
      <c r="AF208" s="19">
        <f t="shared" si="16"/>
        <v>1545.8</v>
      </c>
      <c r="AG208" s="20">
        <f t="shared" si="17"/>
        <v>133.6</v>
      </c>
      <c r="AH208" s="20">
        <f t="shared" si="14"/>
        <v>128.81666666666666</v>
      </c>
      <c r="AI208" s="21"/>
      <c r="AJ208" s="13"/>
      <c r="AK208" s="13"/>
    </row>
    <row r="209" spans="1:37" x14ac:dyDescent="0.35">
      <c r="A209" s="15" t="str">
        <f>VLOOKUP(B209,'[1]Tabla 1 Arsenal'!$B$11:$K$380,10,FALSE)</f>
        <v>P041</v>
      </c>
      <c r="B209" s="15">
        <v>106004</v>
      </c>
      <c r="C209" s="16" t="s">
        <v>261</v>
      </c>
      <c r="D209" s="16" t="s">
        <v>37</v>
      </c>
      <c r="E209" s="17">
        <v>80</v>
      </c>
      <c r="F209" s="18" t="s">
        <v>23</v>
      </c>
      <c r="G209" s="19">
        <v>77</v>
      </c>
      <c r="H209" s="19">
        <v>95</v>
      </c>
      <c r="I209" s="19">
        <v>102</v>
      </c>
      <c r="J209" s="19">
        <v>71</v>
      </c>
      <c r="K209" s="19">
        <v>134</v>
      </c>
      <c r="L209" s="19">
        <v>109</v>
      </c>
      <c r="M209" s="19">
        <v>131</v>
      </c>
      <c r="N209" s="19">
        <v>145</v>
      </c>
      <c r="O209" s="19">
        <v>169</v>
      </c>
      <c r="P209" s="19">
        <v>112</v>
      </c>
      <c r="Q209" s="19">
        <v>118</v>
      </c>
      <c r="R209" s="19">
        <v>118</v>
      </c>
      <c r="S209" s="19">
        <v>113</v>
      </c>
      <c r="T209" s="19">
        <v>99</v>
      </c>
      <c r="U209" s="19">
        <v>120</v>
      </c>
      <c r="V209" s="19">
        <v>134</v>
      </c>
      <c r="W209" s="19">
        <v>88</v>
      </c>
      <c r="X209" s="19">
        <v>101</v>
      </c>
      <c r="Y209" s="19">
        <v>181</v>
      </c>
      <c r="Z209" s="19">
        <v>82</v>
      </c>
      <c r="AA209" s="19">
        <v>85</v>
      </c>
      <c r="AB209" s="19">
        <v>122</v>
      </c>
      <c r="AC209" s="19">
        <v>75</v>
      </c>
      <c r="AD209" s="19">
        <v>131</v>
      </c>
      <c r="AE209" s="19">
        <f t="shared" si="15"/>
        <v>1381</v>
      </c>
      <c r="AF209" s="19">
        <f t="shared" si="16"/>
        <v>1331</v>
      </c>
      <c r="AG209" s="20">
        <f t="shared" si="17"/>
        <v>115.08333333333333</v>
      </c>
      <c r="AH209" s="20">
        <f t="shared" si="14"/>
        <v>110.91666666666667</v>
      </c>
      <c r="AI209" s="21"/>
      <c r="AJ209" s="13"/>
      <c r="AK209" s="13"/>
    </row>
    <row r="210" spans="1:37" x14ac:dyDescent="0.35">
      <c r="A210" s="15" t="str">
        <f>VLOOKUP(B210,'[1]Tabla 1 Arsenal'!$B$11:$K$380,10,FALSE)</f>
        <v>P083</v>
      </c>
      <c r="B210" s="15">
        <v>106011</v>
      </c>
      <c r="C210" s="16" t="s">
        <v>262</v>
      </c>
      <c r="D210" s="16" t="s">
        <v>37</v>
      </c>
      <c r="E210" s="17">
        <v>81</v>
      </c>
      <c r="F210" s="18" t="s">
        <v>23</v>
      </c>
      <c r="G210" s="19">
        <v>366</v>
      </c>
      <c r="H210" s="19">
        <v>298</v>
      </c>
      <c r="I210" s="19">
        <v>400</v>
      </c>
      <c r="J210" s="19">
        <v>289</v>
      </c>
      <c r="K210" s="19">
        <v>409</v>
      </c>
      <c r="L210" s="19">
        <v>327</v>
      </c>
      <c r="M210" s="19">
        <v>362</v>
      </c>
      <c r="N210" s="19">
        <v>546</v>
      </c>
      <c r="O210" s="19">
        <v>315</v>
      </c>
      <c r="P210" s="19">
        <v>338</v>
      </c>
      <c r="Q210" s="19">
        <v>385</v>
      </c>
      <c r="R210" s="19">
        <v>372</v>
      </c>
      <c r="S210" s="19">
        <v>392</v>
      </c>
      <c r="T210" s="19">
        <v>292</v>
      </c>
      <c r="U210" s="19">
        <v>302</v>
      </c>
      <c r="V210" s="19">
        <v>443</v>
      </c>
      <c r="W210" s="19">
        <v>328</v>
      </c>
      <c r="X210" s="19">
        <v>316</v>
      </c>
      <c r="Y210" s="19">
        <v>364</v>
      </c>
      <c r="Z210" s="19">
        <v>360</v>
      </c>
      <c r="AA210" s="19">
        <v>328</v>
      </c>
      <c r="AB210" s="19">
        <v>399</v>
      </c>
      <c r="AC210" s="19">
        <v>346</v>
      </c>
      <c r="AD210" s="19">
        <v>362</v>
      </c>
      <c r="AE210" s="19">
        <f t="shared" si="15"/>
        <v>4407</v>
      </c>
      <c r="AF210" s="19">
        <f t="shared" si="16"/>
        <v>4232</v>
      </c>
      <c r="AG210" s="20">
        <f t="shared" si="17"/>
        <v>367.25</v>
      </c>
      <c r="AH210" s="20">
        <f t="shared" si="14"/>
        <v>352.66666666666669</v>
      </c>
      <c r="AI210" s="21"/>
      <c r="AJ210" s="13"/>
      <c r="AK210" s="13"/>
    </row>
    <row r="211" spans="1:37" x14ac:dyDescent="0.35">
      <c r="A211" s="15" t="str">
        <f>VLOOKUP(B211,'[1]Tabla 1 Arsenal'!$B$11:$K$380,10,FALSE)</f>
        <v>P361</v>
      </c>
      <c r="B211" s="15">
        <v>209107</v>
      </c>
      <c r="C211" s="16" t="s">
        <v>263</v>
      </c>
      <c r="D211" s="16" t="s">
        <v>22</v>
      </c>
      <c r="E211" s="17">
        <v>64260</v>
      </c>
      <c r="F211" s="18" t="s">
        <v>55</v>
      </c>
      <c r="G211" s="19">
        <v>40</v>
      </c>
      <c r="H211" s="19">
        <v>62</v>
      </c>
      <c r="I211" s="19">
        <v>71</v>
      </c>
      <c r="J211" s="19">
        <v>44</v>
      </c>
      <c r="K211" s="19">
        <v>63</v>
      </c>
      <c r="L211" s="19">
        <v>63</v>
      </c>
      <c r="M211" s="19">
        <v>59</v>
      </c>
      <c r="N211" s="19">
        <v>61</v>
      </c>
      <c r="O211" s="19">
        <v>59</v>
      </c>
      <c r="P211" s="19">
        <v>47</v>
      </c>
      <c r="Q211" s="19">
        <v>65</v>
      </c>
      <c r="R211" s="19">
        <v>55</v>
      </c>
      <c r="S211" s="19">
        <v>48</v>
      </c>
      <c r="T211" s="19">
        <v>63</v>
      </c>
      <c r="U211" s="19">
        <v>54</v>
      </c>
      <c r="V211" s="19">
        <v>56</v>
      </c>
      <c r="W211" s="19">
        <v>63</v>
      </c>
      <c r="X211" s="19">
        <v>48</v>
      </c>
      <c r="Y211" s="19">
        <v>59</v>
      </c>
      <c r="Z211" s="19">
        <v>63</v>
      </c>
      <c r="AA211" s="19">
        <v>44</v>
      </c>
      <c r="AB211" s="19">
        <v>62</v>
      </c>
      <c r="AC211" s="19">
        <v>51</v>
      </c>
      <c r="AD211" s="19">
        <v>50</v>
      </c>
      <c r="AE211" s="19">
        <f t="shared" si="15"/>
        <v>689</v>
      </c>
      <c r="AF211" s="19">
        <f t="shared" si="16"/>
        <v>661</v>
      </c>
      <c r="AG211" s="20">
        <f t="shared" si="17"/>
        <v>57.416666666666664</v>
      </c>
      <c r="AH211" s="20">
        <f t="shared" si="14"/>
        <v>55.083333333333336</v>
      </c>
      <c r="AI211" s="21"/>
      <c r="AJ211" s="13"/>
      <c r="AK211" s="13"/>
    </row>
    <row r="212" spans="1:37" x14ac:dyDescent="0.35">
      <c r="A212" s="15" t="str">
        <f>VLOOKUP(B212,'[1]Tabla 1 Arsenal'!$B$11:$K$380,10,FALSE)</f>
        <v>P025</v>
      </c>
      <c r="B212" s="15">
        <v>103036</v>
      </c>
      <c r="C212" s="16" t="s">
        <v>264</v>
      </c>
      <c r="D212" s="16" t="s">
        <v>32</v>
      </c>
      <c r="E212" s="17">
        <v>46</v>
      </c>
      <c r="F212" s="18" t="s">
        <v>23</v>
      </c>
      <c r="G212" s="19">
        <v>258</v>
      </c>
      <c r="H212" s="19">
        <v>126</v>
      </c>
      <c r="I212" s="19">
        <v>442</v>
      </c>
      <c r="J212" s="19">
        <v>126</v>
      </c>
      <c r="K212" s="19">
        <v>787</v>
      </c>
      <c r="L212" s="19">
        <v>571</v>
      </c>
      <c r="M212" s="19">
        <v>248</v>
      </c>
      <c r="N212" s="19">
        <v>518</v>
      </c>
      <c r="O212" s="19">
        <v>203</v>
      </c>
      <c r="P212" s="19">
        <v>182</v>
      </c>
      <c r="Q212" s="19">
        <v>328</v>
      </c>
      <c r="R212" s="19">
        <v>161</v>
      </c>
      <c r="S212" s="19">
        <v>286</v>
      </c>
      <c r="T212" s="19">
        <v>228</v>
      </c>
      <c r="U212" s="19">
        <v>126</v>
      </c>
      <c r="V212" s="19">
        <v>406</v>
      </c>
      <c r="W212" s="19">
        <v>349</v>
      </c>
      <c r="X212" s="19">
        <v>230</v>
      </c>
      <c r="Y212" s="19">
        <v>384</v>
      </c>
      <c r="Z212" s="19">
        <v>460</v>
      </c>
      <c r="AA212" s="19">
        <v>253</v>
      </c>
      <c r="AB212" s="19">
        <v>719</v>
      </c>
      <c r="AC212" s="19">
        <v>239</v>
      </c>
      <c r="AD212" s="19">
        <v>107</v>
      </c>
      <c r="AE212" s="19">
        <f t="shared" si="15"/>
        <v>3950</v>
      </c>
      <c r="AF212" s="19">
        <f t="shared" si="16"/>
        <v>3787</v>
      </c>
      <c r="AG212" s="20">
        <f t="shared" si="17"/>
        <v>329.16666666666669</v>
      </c>
      <c r="AH212" s="20">
        <f t="shared" si="14"/>
        <v>315.58333333333331</v>
      </c>
      <c r="AI212" s="21"/>
      <c r="AJ212" s="13"/>
      <c r="AK212" s="13"/>
    </row>
    <row r="213" spans="1:37" x14ac:dyDescent="0.35">
      <c r="A213" s="15" t="str">
        <f>VLOOKUP(B213,'[1]Tabla 1 Arsenal'!$B$11:$K$380,10,FALSE)</f>
        <v>P332</v>
      </c>
      <c r="B213" s="15">
        <v>392005</v>
      </c>
      <c r="C213" s="16" t="s">
        <v>265</v>
      </c>
      <c r="D213" s="16" t="s">
        <v>135</v>
      </c>
      <c r="E213" s="17">
        <v>500</v>
      </c>
      <c r="F213" s="18" t="s">
        <v>23</v>
      </c>
      <c r="G213" s="19">
        <v>636</v>
      </c>
      <c r="H213" s="19">
        <v>478</v>
      </c>
      <c r="I213" s="19">
        <v>589</v>
      </c>
      <c r="J213" s="19">
        <v>601</v>
      </c>
      <c r="K213" s="19">
        <v>825</v>
      </c>
      <c r="L213" s="19">
        <v>825</v>
      </c>
      <c r="M213" s="19">
        <v>659</v>
      </c>
      <c r="N213" s="19">
        <v>713</v>
      </c>
      <c r="O213" s="19">
        <v>426</v>
      </c>
      <c r="P213" s="19">
        <v>673</v>
      </c>
      <c r="Q213" s="19">
        <v>828</v>
      </c>
      <c r="R213" s="19">
        <v>430</v>
      </c>
      <c r="S213" s="19">
        <v>493</v>
      </c>
      <c r="T213" s="19">
        <v>679</v>
      </c>
      <c r="U213" s="19">
        <v>490</v>
      </c>
      <c r="V213" s="19">
        <v>679</v>
      </c>
      <c r="W213" s="19">
        <v>711</v>
      </c>
      <c r="X213" s="19">
        <v>388</v>
      </c>
      <c r="Y213" s="19">
        <v>970</v>
      </c>
      <c r="Z213" s="19">
        <v>663</v>
      </c>
      <c r="AA213" s="19">
        <v>430</v>
      </c>
      <c r="AB213" s="19">
        <v>647</v>
      </c>
      <c r="AC213" s="19">
        <v>701</v>
      </c>
      <c r="AD213" s="19">
        <v>514</v>
      </c>
      <c r="AE213" s="19">
        <f t="shared" si="15"/>
        <v>7683</v>
      </c>
      <c r="AF213" s="19">
        <f t="shared" si="16"/>
        <v>7365</v>
      </c>
      <c r="AG213" s="20">
        <f t="shared" si="17"/>
        <v>640.25</v>
      </c>
      <c r="AH213" s="20">
        <f t="shared" si="14"/>
        <v>613.75</v>
      </c>
      <c r="AI213" s="21"/>
      <c r="AJ213" s="13"/>
      <c r="AK213" s="13"/>
    </row>
    <row r="214" spans="1:37" x14ac:dyDescent="0.35">
      <c r="A214" s="15" t="str">
        <f>VLOOKUP(B214,'[1]Tabla 1 Arsenal'!$B$11:$K$380,10,FALSE)</f>
        <v>P074</v>
      </c>
      <c r="B214" s="15">
        <v>103045</v>
      </c>
      <c r="C214" s="16" t="s">
        <v>266</v>
      </c>
      <c r="D214" s="16" t="s">
        <v>32</v>
      </c>
      <c r="E214" s="17">
        <v>196</v>
      </c>
      <c r="F214" s="18" t="s">
        <v>23</v>
      </c>
      <c r="G214" s="19">
        <v>126</v>
      </c>
      <c r="H214" s="19">
        <v>56</v>
      </c>
      <c r="I214" s="19">
        <v>56</v>
      </c>
      <c r="J214" s="19">
        <v>20</v>
      </c>
      <c r="K214" s="19">
        <v>151</v>
      </c>
      <c r="L214" s="19">
        <v>132</v>
      </c>
      <c r="M214" s="19">
        <v>93</v>
      </c>
      <c r="N214" s="19">
        <v>196</v>
      </c>
      <c r="O214" s="19">
        <v>66</v>
      </c>
      <c r="P214" s="19">
        <v>98</v>
      </c>
      <c r="Q214" s="19">
        <v>96</v>
      </c>
      <c r="R214" s="19">
        <v>34</v>
      </c>
      <c r="S214" s="19">
        <v>56</v>
      </c>
      <c r="T214" s="19">
        <v>76</v>
      </c>
      <c r="U214" s="19">
        <v>76</v>
      </c>
      <c r="V214" s="19">
        <v>110</v>
      </c>
      <c r="W214" s="19">
        <v>136</v>
      </c>
      <c r="X214" s="19">
        <v>58</v>
      </c>
      <c r="Y214" s="19">
        <v>94</v>
      </c>
      <c r="Z214" s="19">
        <v>88</v>
      </c>
      <c r="AA214" s="19">
        <v>56</v>
      </c>
      <c r="AB214" s="19">
        <v>200</v>
      </c>
      <c r="AC214" s="19">
        <v>96</v>
      </c>
      <c r="AD214" s="19">
        <v>28</v>
      </c>
      <c r="AE214" s="19">
        <f t="shared" si="15"/>
        <v>1124</v>
      </c>
      <c r="AF214" s="19">
        <f t="shared" si="16"/>
        <v>1074</v>
      </c>
      <c r="AG214" s="20">
        <f t="shared" si="17"/>
        <v>93.666666666666671</v>
      </c>
      <c r="AH214" s="20">
        <f t="shared" si="14"/>
        <v>89.5</v>
      </c>
      <c r="AI214" s="21"/>
      <c r="AJ214" s="13"/>
      <c r="AK214" s="13"/>
    </row>
    <row r="215" spans="1:37" x14ac:dyDescent="0.35">
      <c r="A215" s="15" t="str">
        <f>VLOOKUP(B215,'[1]Tabla 1 Arsenal'!$B$11:$K$380,10,FALSE)</f>
        <v>P024</v>
      </c>
      <c r="B215" s="15">
        <v>104004</v>
      </c>
      <c r="C215" s="16" t="s">
        <v>267</v>
      </c>
      <c r="D215" s="16" t="s">
        <v>32</v>
      </c>
      <c r="E215" s="17">
        <v>29</v>
      </c>
      <c r="F215" s="18" t="s">
        <v>23</v>
      </c>
      <c r="G215" s="19">
        <v>331</v>
      </c>
      <c r="H215" s="19">
        <v>241</v>
      </c>
      <c r="I215" s="19">
        <v>405</v>
      </c>
      <c r="J215" s="19">
        <v>109</v>
      </c>
      <c r="K215" s="19">
        <v>306</v>
      </c>
      <c r="L215" s="19">
        <v>199</v>
      </c>
      <c r="M215" s="19">
        <v>205</v>
      </c>
      <c r="N215" s="19">
        <v>254</v>
      </c>
      <c r="O215" s="19">
        <v>227</v>
      </c>
      <c r="P215" s="19">
        <v>507</v>
      </c>
      <c r="Q215" s="19">
        <v>317</v>
      </c>
      <c r="R215" s="19">
        <v>204</v>
      </c>
      <c r="S215" s="19">
        <v>355</v>
      </c>
      <c r="T215" s="19">
        <v>43</v>
      </c>
      <c r="U215" s="19">
        <v>202</v>
      </c>
      <c r="V215" s="19">
        <v>358</v>
      </c>
      <c r="W215" s="19">
        <v>180</v>
      </c>
      <c r="X215" s="19">
        <v>240</v>
      </c>
      <c r="Y215" s="19">
        <v>185</v>
      </c>
      <c r="Z215" s="19">
        <v>345</v>
      </c>
      <c r="AA215" s="19">
        <v>249</v>
      </c>
      <c r="AB215" s="19">
        <v>340</v>
      </c>
      <c r="AC215" s="19">
        <v>360</v>
      </c>
      <c r="AD215" s="19">
        <v>300</v>
      </c>
      <c r="AE215" s="19">
        <f t="shared" si="15"/>
        <v>3305</v>
      </c>
      <c r="AF215" s="19">
        <f t="shared" si="16"/>
        <v>3157</v>
      </c>
      <c r="AG215" s="20">
        <f t="shared" si="17"/>
        <v>275.41666666666669</v>
      </c>
      <c r="AH215" s="20">
        <f t="shared" si="14"/>
        <v>263.08333333333331</v>
      </c>
      <c r="AI215" s="21"/>
      <c r="AJ215" s="13"/>
      <c r="AK215" s="13"/>
    </row>
    <row r="216" spans="1:37" x14ac:dyDescent="0.35">
      <c r="A216" s="15" t="str">
        <f>VLOOKUP(B216,'[1]Tabla 1 Arsenal'!$B$11:$K$380,10,FALSE)</f>
        <v>P137</v>
      </c>
      <c r="B216" s="15">
        <v>101027</v>
      </c>
      <c r="C216" s="16" t="s">
        <v>268</v>
      </c>
      <c r="D216" s="16" t="s">
        <v>22</v>
      </c>
      <c r="E216" s="17">
        <v>4046</v>
      </c>
      <c r="F216" s="18" t="s">
        <v>55</v>
      </c>
      <c r="G216" s="19">
        <v>206</v>
      </c>
      <c r="H216" s="19">
        <v>201</v>
      </c>
      <c r="I216" s="19">
        <v>278</v>
      </c>
      <c r="J216" s="19">
        <v>244</v>
      </c>
      <c r="K216" s="19">
        <v>359</v>
      </c>
      <c r="L216" s="19">
        <v>367</v>
      </c>
      <c r="M216" s="19">
        <v>305</v>
      </c>
      <c r="N216" s="19">
        <v>279</v>
      </c>
      <c r="O216" s="19">
        <v>310</v>
      </c>
      <c r="P216" s="19">
        <v>344</v>
      </c>
      <c r="Q216" s="19">
        <v>278</v>
      </c>
      <c r="R216" s="19">
        <v>215</v>
      </c>
      <c r="S216" s="19">
        <v>257</v>
      </c>
      <c r="T216" s="19">
        <v>214</v>
      </c>
      <c r="U216" s="19">
        <v>262</v>
      </c>
      <c r="V216" s="19">
        <v>368</v>
      </c>
      <c r="W216" s="19">
        <v>312</v>
      </c>
      <c r="X216" s="19">
        <v>246</v>
      </c>
      <c r="Y216" s="19">
        <v>286</v>
      </c>
      <c r="Z216" s="19">
        <v>260</v>
      </c>
      <c r="AA216" s="19">
        <v>233</v>
      </c>
      <c r="AB216" s="19">
        <v>265</v>
      </c>
      <c r="AC216" s="19">
        <v>239</v>
      </c>
      <c r="AD216" s="19">
        <v>279</v>
      </c>
      <c r="AE216" s="19">
        <f t="shared" si="15"/>
        <v>3386</v>
      </c>
      <c r="AF216" s="19">
        <f t="shared" si="16"/>
        <v>3221</v>
      </c>
      <c r="AG216" s="20">
        <f t="shared" si="17"/>
        <v>282.16666666666669</v>
      </c>
      <c r="AH216" s="20">
        <f t="shared" si="14"/>
        <v>268.41666666666669</v>
      </c>
      <c r="AI216" s="21"/>
      <c r="AJ216" s="13"/>
      <c r="AK216" s="13"/>
    </row>
    <row r="217" spans="1:37" x14ac:dyDescent="0.35">
      <c r="A217" s="15" t="str">
        <f>VLOOKUP(B217,'[1]Tabla 1 Arsenal'!$B$11:$K$380,10,FALSE)</f>
        <v>P340</v>
      </c>
      <c r="B217" s="15">
        <v>209084</v>
      </c>
      <c r="C217" s="16" t="s">
        <v>269</v>
      </c>
      <c r="D217" s="16" t="s">
        <v>32</v>
      </c>
      <c r="E217" s="17">
        <v>113</v>
      </c>
      <c r="F217" s="18" t="s">
        <v>55</v>
      </c>
      <c r="G217" s="19">
        <v>15240</v>
      </c>
      <c r="H217" s="19">
        <v>14190</v>
      </c>
      <c r="I217" s="19">
        <v>15510</v>
      </c>
      <c r="J217" s="19">
        <v>15600</v>
      </c>
      <c r="K217" s="19">
        <v>16020</v>
      </c>
      <c r="L217" s="19">
        <v>15330</v>
      </c>
      <c r="M217" s="19">
        <v>16470</v>
      </c>
      <c r="N217" s="19">
        <v>15720</v>
      </c>
      <c r="O217" s="19">
        <v>15540</v>
      </c>
      <c r="P217" s="19">
        <v>15720</v>
      </c>
      <c r="Q217" s="19">
        <v>15870</v>
      </c>
      <c r="R217" s="19">
        <v>16530</v>
      </c>
      <c r="S217" s="19">
        <v>17130</v>
      </c>
      <c r="T217" s="19">
        <v>14550</v>
      </c>
      <c r="U217" s="19">
        <v>15600</v>
      </c>
      <c r="V217" s="19">
        <v>14880</v>
      </c>
      <c r="W217" s="19">
        <v>15210</v>
      </c>
      <c r="X217" s="19">
        <v>13920</v>
      </c>
      <c r="Y217" s="19">
        <v>15210</v>
      </c>
      <c r="Z217" s="19">
        <v>14580</v>
      </c>
      <c r="AA217" s="19">
        <v>14520</v>
      </c>
      <c r="AB217" s="19">
        <v>14820</v>
      </c>
      <c r="AC217" s="19">
        <v>14310</v>
      </c>
      <c r="AD217" s="19">
        <v>13710</v>
      </c>
      <c r="AE217" s="19">
        <f t="shared" si="15"/>
        <v>187740</v>
      </c>
      <c r="AF217" s="19">
        <f t="shared" si="16"/>
        <v>178440</v>
      </c>
      <c r="AG217" s="20">
        <f t="shared" si="17"/>
        <v>15645</v>
      </c>
      <c r="AH217" s="20">
        <f t="shared" si="14"/>
        <v>14870</v>
      </c>
      <c r="AI217" s="21"/>
      <c r="AJ217" s="13"/>
      <c r="AK217" s="13"/>
    </row>
    <row r="218" spans="1:37" x14ac:dyDescent="0.35">
      <c r="A218" s="15" t="str">
        <f>VLOOKUP(B218,'[1]Tabla 1 Arsenal'!$B$11:$K$380,10,FALSE)</f>
        <v>P099</v>
      </c>
      <c r="B218" s="15">
        <v>106058</v>
      </c>
      <c r="C218" s="16" t="s">
        <v>270</v>
      </c>
      <c r="D218" s="16" t="s">
        <v>37</v>
      </c>
      <c r="E218" s="17">
        <v>115</v>
      </c>
      <c r="F218" s="18" t="s">
        <v>23</v>
      </c>
      <c r="G218" s="19">
        <v>2876</v>
      </c>
      <c r="H218" s="19">
        <v>2475</v>
      </c>
      <c r="I218" s="19">
        <v>2977</v>
      </c>
      <c r="J218" s="19">
        <v>2822</v>
      </c>
      <c r="K218" s="19">
        <v>3099</v>
      </c>
      <c r="L218" s="19">
        <v>2561</v>
      </c>
      <c r="M218" s="19">
        <v>2936</v>
      </c>
      <c r="N218" s="19">
        <v>3120</v>
      </c>
      <c r="O218" s="19">
        <v>2683</v>
      </c>
      <c r="P218" s="19">
        <v>2661</v>
      </c>
      <c r="Q218" s="19">
        <v>2478</v>
      </c>
      <c r="R218" s="19">
        <v>2053</v>
      </c>
      <c r="S218" s="19">
        <v>2683</v>
      </c>
      <c r="T218" s="19">
        <v>2298</v>
      </c>
      <c r="U218" s="19">
        <v>2429</v>
      </c>
      <c r="V218" s="19">
        <v>2818</v>
      </c>
      <c r="W218" s="19">
        <v>2547</v>
      </c>
      <c r="X218" s="19">
        <v>2247</v>
      </c>
      <c r="Y218" s="19">
        <v>2608</v>
      </c>
      <c r="Z218" s="19">
        <v>2579</v>
      </c>
      <c r="AA218" s="19">
        <v>2438</v>
      </c>
      <c r="AB218" s="19">
        <v>2860</v>
      </c>
      <c r="AC218" s="19">
        <v>2718</v>
      </c>
      <c r="AD218" s="19">
        <v>2886</v>
      </c>
      <c r="AE218" s="19">
        <f t="shared" si="15"/>
        <v>32741</v>
      </c>
      <c r="AF218" s="19">
        <f t="shared" si="16"/>
        <v>31111</v>
      </c>
      <c r="AG218" s="20">
        <f t="shared" si="17"/>
        <v>2728.4166666666665</v>
      </c>
      <c r="AH218" s="20">
        <f t="shared" si="14"/>
        <v>2592.5833333333335</v>
      </c>
      <c r="AI218" s="21"/>
      <c r="AJ218" s="13"/>
      <c r="AK218" s="13"/>
    </row>
    <row r="219" spans="1:37" x14ac:dyDescent="0.35">
      <c r="A219" s="15" t="str">
        <f>VLOOKUP(B219,'[1]Tabla 1 Arsenal'!$B$11:$K$380,10,FALSE)</f>
        <v>P249</v>
      </c>
      <c r="B219" s="15">
        <v>106035</v>
      </c>
      <c r="C219" s="16" t="s">
        <v>271</v>
      </c>
      <c r="D219" s="16" t="s">
        <v>37</v>
      </c>
      <c r="E219" s="17">
        <v>4060</v>
      </c>
      <c r="F219" s="18" t="s">
        <v>23</v>
      </c>
      <c r="G219" s="19">
        <v>1</v>
      </c>
      <c r="H219" s="19">
        <v>1</v>
      </c>
      <c r="I219" s="19">
        <v>0</v>
      </c>
      <c r="J219" s="19">
        <v>4</v>
      </c>
      <c r="K219" s="19">
        <v>3</v>
      </c>
      <c r="L219" s="19">
        <v>1</v>
      </c>
      <c r="M219" s="19">
        <v>5</v>
      </c>
      <c r="N219" s="19">
        <v>1</v>
      </c>
      <c r="O219" s="19">
        <v>4</v>
      </c>
      <c r="P219" s="19">
        <v>7</v>
      </c>
      <c r="Q219" s="19">
        <v>7</v>
      </c>
      <c r="R219" s="19">
        <v>2</v>
      </c>
      <c r="S219" s="19">
        <v>2</v>
      </c>
      <c r="T219" s="19">
        <v>0</v>
      </c>
      <c r="U219" s="19">
        <v>0</v>
      </c>
      <c r="V219" s="19">
        <v>9</v>
      </c>
      <c r="W219" s="19">
        <v>0</v>
      </c>
      <c r="X219" s="19">
        <v>0</v>
      </c>
      <c r="Y219" s="19">
        <v>8</v>
      </c>
      <c r="Z219" s="19">
        <v>10</v>
      </c>
      <c r="AA219" s="19">
        <v>4</v>
      </c>
      <c r="AB219" s="19">
        <v>0</v>
      </c>
      <c r="AC219" s="19">
        <v>1</v>
      </c>
      <c r="AD219" s="19">
        <v>0</v>
      </c>
      <c r="AE219" s="19">
        <f t="shared" si="15"/>
        <v>36</v>
      </c>
      <c r="AF219" s="19">
        <f t="shared" si="16"/>
        <v>34</v>
      </c>
      <c r="AG219" s="20">
        <f t="shared" si="17"/>
        <v>3</v>
      </c>
      <c r="AH219" s="20">
        <f t="shared" si="14"/>
        <v>2.8333333333333335</v>
      </c>
      <c r="AI219" s="21"/>
      <c r="AJ219" s="13"/>
      <c r="AK219" s="13"/>
    </row>
    <row r="220" spans="1:37" x14ac:dyDescent="0.35">
      <c r="A220" s="15" t="str">
        <f>VLOOKUP(B220,'[1]Tabla 1 Arsenal'!$B$11:$K$380,10,FALSE)</f>
        <v>P186</v>
      </c>
      <c r="B220" s="15">
        <v>102107</v>
      </c>
      <c r="C220" s="16" t="s">
        <v>272</v>
      </c>
      <c r="D220" s="16" t="s">
        <v>32</v>
      </c>
      <c r="E220" s="17">
        <v>42</v>
      </c>
      <c r="F220" s="18" t="s">
        <v>23</v>
      </c>
      <c r="G220" s="19">
        <v>768</v>
      </c>
      <c r="H220" s="19">
        <v>288</v>
      </c>
      <c r="I220" s="19">
        <v>1064</v>
      </c>
      <c r="J220" s="19">
        <v>817</v>
      </c>
      <c r="K220" s="19">
        <v>1084</v>
      </c>
      <c r="L220" s="19">
        <v>1035</v>
      </c>
      <c r="M220" s="19">
        <v>1276</v>
      </c>
      <c r="N220" s="19">
        <v>1162</v>
      </c>
      <c r="O220" s="19">
        <v>869</v>
      </c>
      <c r="P220" s="19">
        <v>987</v>
      </c>
      <c r="Q220" s="19">
        <v>943</v>
      </c>
      <c r="R220" s="19">
        <v>1214</v>
      </c>
      <c r="S220" s="19">
        <v>1567</v>
      </c>
      <c r="T220" s="19">
        <v>330</v>
      </c>
      <c r="U220" s="19">
        <v>486</v>
      </c>
      <c r="V220" s="19">
        <v>1345</v>
      </c>
      <c r="W220" s="19">
        <v>715</v>
      </c>
      <c r="X220" s="19">
        <v>766</v>
      </c>
      <c r="Y220" s="19">
        <v>1160</v>
      </c>
      <c r="Z220" s="19">
        <v>1056</v>
      </c>
      <c r="AA220" s="19">
        <v>529</v>
      </c>
      <c r="AB220" s="19">
        <v>901</v>
      </c>
      <c r="AC220" s="19">
        <v>888</v>
      </c>
      <c r="AD220" s="19">
        <v>1123</v>
      </c>
      <c r="AE220" s="19">
        <f t="shared" si="15"/>
        <v>11507</v>
      </c>
      <c r="AF220" s="19">
        <f t="shared" si="16"/>
        <v>10866</v>
      </c>
      <c r="AG220" s="20">
        <f t="shared" si="17"/>
        <v>958.91666666666663</v>
      </c>
      <c r="AH220" s="20">
        <f t="shared" si="14"/>
        <v>905.5</v>
      </c>
      <c r="AI220" s="21"/>
      <c r="AJ220" s="13"/>
      <c r="AK220" s="13"/>
    </row>
    <row r="221" spans="1:37" x14ac:dyDescent="0.35">
      <c r="A221" s="15" t="str">
        <f>VLOOKUP(B221,'[1]Tabla 1 Arsenal'!$B$11:$K$380,10,FALSE)</f>
        <v>P116</v>
      </c>
      <c r="B221" s="15">
        <v>106016</v>
      </c>
      <c r="C221" s="16" t="s">
        <v>273</v>
      </c>
      <c r="D221" s="16" t="s">
        <v>37</v>
      </c>
      <c r="E221" s="17">
        <v>238</v>
      </c>
      <c r="F221" s="18" t="s">
        <v>23</v>
      </c>
      <c r="G221" s="19">
        <v>30</v>
      </c>
      <c r="H221" s="19">
        <v>67</v>
      </c>
      <c r="I221" s="19">
        <v>36</v>
      </c>
      <c r="J221" s="19">
        <v>79</v>
      </c>
      <c r="K221" s="19">
        <v>28</v>
      </c>
      <c r="L221" s="19">
        <v>34</v>
      </c>
      <c r="M221" s="19">
        <v>80</v>
      </c>
      <c r="N221" s="19">
        <v>88</v>
      </c>
      <c r="O221" s="19">
        <v>110</v>
      </c>
      <c r="P221" s="19">
        <v>69</v>
      </c>
      <c r="Q221" s="19">
        <v>115</v>
      </c>
      <c r="R221" s="19">
        <v>54</v>
      </c>
      <c r="S221" s="19">
        <v>33</v>
      </c>
      <c r="T221" s="19">
        <v>55</v>
      </c>
      <c r="U221" s="19">
        <v>32</v>
      </c>
      <c r="V221" s="19">
        <v>117</v>
      </c>
      <c r="W221" s="19">
        <v>42</v>
      </c>
      <c r="X221" s="19">
        <v>32</v>
      </c>
      <c r="Y221" s="19">
        <v>97</v>
      </c>
      <c r="Z221" s="19">
        <v>54</v>
      </c>
      <c r="AA221" s="19">
        <v>39</v>
      </c>
      <c r="AB221" s="19">
        <v>77</v>
      </c>
      <c r="AC221" s="19">
        <v>124</v>
      </c>
      <c r="AD221" s="19">
        <v>37</v>
      </c>
      <c r="AE221" s="19">
        <f t="shared" si="15"/>
        <v>790</v>
      </c>
      <c r="AF221" s="19">
        <f t="shared" si="16"/>
        <v>739</v>
      </c>
      <c r="AG221" s="20">
        <f t="shared" si="17"/>
        <v>65.833333333333329</v>
      </c>
      <c r="AH221" s="20">
        <f t="shared" si="14"/>
        <v>61.583333333333336</v>
      </c>
      <c r="AI221" s="21"/>
      <c r="AJ221" s="13"/>
      <c r="AK221" s="13"/>
    </row>
    <row r="222" spans="1:37" x14ac:dyDescent="0.35">
      <c r="A222" s="15" t="str">
        <f>VLOOKUP(B222,'[1]Tabla 1 Arsenal'!$B$11:$K$380,10,FALSE)</f>
        <v>P174</v>
      </c>
      <c r="B222" s="15">
        <v>101015</v>
      </c>
      <c r="C222" s="16" t="s">
        <v>274</v>
      </c>
      <c r="D222" s="16" t="s">
        <v>32</v>
      </c>
      <c r="E222" s="17">
        <v>771</v>
      </c>
      <c r="F222" s="18" t="s">
        <v>55</v>
      </c>
      <c r="G222" s="19">
        <v>615</v>
      </c>
      <c r="H222" s="19">
        <v>585</v>
      </c>
      <c r="I222" s="19">
        <v>765</v>
      </c>
      <c r="J222" s="19">
        <v>645</v>
      </c>
      <c r="K222" s="19">
        <v>765</v>
      </c>
      <c r="L222" s="19">
        <v>705</v>
      </c>
      <c r="M222" s="19">
        <v>765</v>
      </c>
      <c r="N222" s="19">
        <v>705</v>
      </c>
      <c r="O222" s="19">
        <v>810</v>
      </c>
      <c r="P222" s="19">
        <v>690</v>
      </c>
      <c r="Q222" s="19">
        <v>660</v>
      </c>
      <c r="R222" s="19">
        <v>750</v>
      </c>
      <c r="S222" s="19">
        <v>750</v>
      </c>
      <c r="T222" s="19">
        <v>630</v>
      </c>
      <c r="U222" s="19">
        <v>720</v>
      </c>
      <c r="V222" s="19">
        <v>600</v>
      </c>
      <c r="W222" s="19">
        <v>690</v>
      </c>
      <c r="X222" s="19">
        <v>660</v>
      </c>
      <c r="Y222" s="19">
        <v>660</v>
      </c>
      <c r="Z222" s="19">
        <v>570</v>
      </c>
      <c r="AA222" s="19">
        <v>660</v>
      </c>
      <c r="AB222" s="19">
        <v>690</v>
      </c>
      <c r="AC222" s="19">
        <v>630</v>
      </c>
      <c r="AD222" s="19">
        <v>630</v>
      </c>
      <c r="AE222" s="19">
        <f t="shared" si="15"/>
        <v>8460</v>
      </c>
      <c r="AF222" s="19">
        <f t="shared" si="16"/>
        <v>7890</v>
      </c>
      <c r="AG222" s="20">
        <f t="shared" si="17"/>
        <v>705</v>
      </c>
      <c r="AH222" s="20">
        <f t="shared" si="14"/>
        <v>657.5</v>
      </c>
      <c r="AI222" s="21"/>
      <c r="AJ222" s="13"/>
      <c r="AK222" s="13"/>
    </row>
    <row r="223" spans="1:37" x14ac:dyDescent="0.35">
      <c r="A223" s="15" t="str">
        <f>VLOOKUP(B223,'[1]Tabla 1 Arsenal'!$B$11:$K$380,10,FALSE)</f>
        <v>P355</v>
      </c>
      <c r="B223" s="15">
        <v>107011</v>
      </c>
      <c r="C223" s="16" t="s">
        <v>275</v>
      </c>
      <c r="D223" s="16" t="s">
        <v>23</v>
      </c>
      <c r="E223" s="17">
        <v>553</v>
      </c>
      <c r="F223" s="18" t="s">
        <v>23</v>
      </c>
      <c r="G223" s="19">
        <v>670</v>
      </c>
      <c r="H223" s="19">
        <v>593</v>
      </c>
      <c r="I223" s="19">
        <v>759</v>
      </c>
      <c r="J223" s="19">
        <v>551</v>
      </c>
      <c r="K223" s="19">
        <v>788</v>
      </c>
      <c r="L223" s="19">
        <v>733</v>
      </c>
      <c r="M223" s="19">
        <v>691</v>
      </c>
      <c r="N223" s="19">
        <v>718</v>
      </c>
      <c r="O223" s="19">
        <v>657</v>
      </c>
      <c r="P223" s="19">
        <v>587</v>
      </c>
      <c r="Q223" s="19">
        <v>503</v>
      </c>
      <c r="R223" s="19">
        <v>547</v>
      </c>
      <c r="S223" s="19">
        <v>647</v>
      </c>
      <c r="T223" s="19">
        <v>462</v>
      </c>
      <c r="U223" s="19">
        <v>557</v>
      </c>
      <c r="V223" s="19">
        <v>616</v>
      </c>
      <c r="W223" s="19">
        <v>565</v>
      </c>
      <c r="X223" s="19">
        <v>717</v>
      </c>
      <c r="Y223" s="19">
        <v>833</v>
      </c>
      <c r="Z223" s="19">
        <v>625</v>
      </c>
      <c r="AA223" s="19">
        <v>450</v>
      </c>
      <c r="AB223" s="19">
        <v>623</v>
      </c>
      <c r="AC223" s="19">
        <v>492</v>
      </c>
      <c r="AD223" s="19">
        <v>669</v>
      </c>
      <c r="AE223" s="19">
        <f t="shared" si="15"/>
        <v>7797</v>
      </c>
      <c r="AF223" s="19">
        <f t="shared" si="16"/>
        <v>7256</v>
      </c>
      <c r="AG223" s="20">
        <f t="shared" si="17"/>
        <v>649.75</v>
      </c>
      <c r="AH223" s="20">
        <f t="shared" si="14"/>
        <v>604.66666666666663</v>
      </c>
      <c r="AI223" s="21"/>
      <c r="AJ223" s="13"/>
      <c r="AK223" s="13"/>
    </row>
    <row r="224" spans="1:37" x14ac:dyDescent="0.35">
      <c r="A224" s="15" t="str">
        <f>VLOOKUP(B224,'[1]Tabla 1 Arsenal'!$B$11:$K$380,10,FALSE)</f>
        <v>P268</v>
      </c>
      <c r="B224" s="15">
        <v>209089</v>
      </c>
      <c r="C224" s="16" t="s">
        <v>276</v>
      </c>
      <c r="D224" s="16" t="s">
        <v>32</v>
      </c>
      <c r="E224" s="17">
        <v>202</v>
      </c>
      <c r="F224" s="18" t="s">
        <v>55</v>
      </c>
      <c r="G224" s="19">
        <v>1771</v>
      </c>
      <c r="H224" s="19">
        <v>1426</v>
      </c>
      <c r="I224" s="19">
        <v>1801</v>
      </c>
      <c r="J224" s="19">
        <v>1680</v>
      </c>
      <c r="K224" s="19">
        <v>1926</v>
      </c>
      <c r="L224" s="19">
        <v>1580</v>
      </c>
      <c r="M224" s="19">
        <v>1637</v>
      </c>
      <c r="N224" s="19">
        <v>1641</v>
      </c>
      <c r="O224" s="19">
        <v>1282</v>
      </c>
      <c r="P224" s="19">
        <v>1625</v>
      </c>
      <c r="Q224" s="19">
        <v>1513</v>
      </c>
      <c r="R224" s="19">
        <v>1520</v>
      </c>
      <c r="S224" s="19">
        <v>2132</v>
      </c>
      <c r="T224" s="19">
        <v>1717</v>
      </c>
      <c r="U224" s="19">
        <v>1525</v>
      </c>
      <c r="V224" s="19">
        <v>1637</v>
      </c>
      <c r="W224" s="19">
        <v>1528</v>
      </c>
      <c r="X224" s="19">
        <v>1344</v>
      </c>
      <c r="Y224" s="19">
        <v>1387</v>
      </c>
      <c r="Z224" s="19">
        <v>1374</v>
      </c>
      <c r="AA224" s="19">
        <v>1093</v>
      </c>
      <c r="AB224" s="19">
        <v>1758</v>
      </c>
      <c r="AC224" s="19">
        <v>1291</v>
      </c>
      <c r="AD224" s="19">
        <v>1265</v>
      </c>
      <c r="AE224" s="19">
        <f t="shared" si="15"/>
        <v>19402</v>
      </c>
      <c r="AF224" s="19">
        <f t="shared" si="16"/>
        <v>18051</v>
      </c>
      <c r="AG224" s="20">
        <f t="shared" si="17"/>
        <v>1616.8333333333333</v>
      </c>
      <c r="AH224" s="20">
        <f t="shared" si="14"/>
        <v>1504.25</v>
      </c>
      <c r="AI224" s="21"/>
      <c r="AJ224" s="13"/>
      <c r="AK224" s="13"/>
    </row>
    <row r="225" spans="1:37" x14ac:dyDescent="0.35">
      <c r="A225" s="15" t="str">
        <f>VLOOKUP(B225,'[1]Tabla 1 Arsenal'!$B$11:$K$380,10,FALSE)</f>
        <v>P192</v>
      </c>
      <c r="B225" s="15">
        <v>101080</v>
      </c>
      <c r="C225" s="16" t="s">
        <v>277</v>
      </c>
      <c r="D225" s="16" t="s">
        <v>86</v>
      </c>
      <c r="E225" s="17">
        <v>2987</v>
      </c>
      <c r="F225" s="18" t="s">
        <v>55</v>
      </c>
      <c r="G225" s="19">
        <v>855</v>
      </c>
      <c r="H225" s="19">
        <v>630</v>
      </c>
      <c r="I225" s="19">
        <v>588</v>
      </c>
      <c r="J225" s="19">
        <v>777</v>
      </c>
      <c r="K225" s="19">
        <v>819</v>
      </c>
      <c r="L225" s="19">
        <v>588</v>
      </c>
      <c r="M225" s="19">
        <v>777</v>
      </c>
      <c r="N225" s="19">
        <v>756</v>
      </c>
      <c r="O225" s="19">
        <v>672</v>
      </c>
      <c r="P225" s="19">
        <v>672</v>
      </c>
      <c r="Q225" s="19">
        <v>411</v>
      </c>
      <c r="R225" s="19">
        <v>708</v>
      </c>
      <c r="S225" s="19">
        <v>609</v>
      </c>
      <c r="T225" s="19">
        <v>639</v>
      </c>
      <c r="U225" s="19">
        <v>840</v>
      </c>
      <c r="V225" s="19">
        <v>780</v>
      </c>
      <c r="W225" s="19">
        <v>900</v>
      </c>
      <c r="X225" s="19">
        <v>774</v>
      </c>
      <c r="Y225" s="19">
        <v>1020</v>
      </c>
      <c r="Z225" s="19">
        <v>441</v>
      </c>
      <c r="AA225" s="19">
        <v>414</v>
      </c>
      <c r="AB225" s="19">
        <v>540</v>
      </c>
      <c r="AC225" s="19">
        <v>330</v>
      </c>
      <c r="AD225" s="19">
        <v>390</v>
      </c>
      <c r="AE225" s="19">
        <f t="shared" si="15"/>
        <v>8253</v>
      </c>
      <c r="AF225" s="19">
        <f t="shared" si="16"/>
        <v>7677</v>
      </c>
      <c r="AG225" s="20">
        <f t="shared" si="17"/>
        <v>687.75</v>
      </c>
      <c r="AH225" s="20">
        <f t="shared" si="14"/>
        <v>639.75</v>
      </c>
      <c r="AI225" s="21"/>
      <c r="AJ225" s="13"/>
      <c r="AK225" s="13"/>
    </row>
    <row r="226" spans="1:37" x14ac:dyDescent="0.35">
      <c r="A226" s="15" t="str">
        <f>VLOOKUP(B226,'[1]Tabla 1 Arsenal'!$B$11:$K$380,10,FALSE)</f>
        <v>P017</v>
      </c>
      <c r="B226" s="15">
        <v>109007</v>
      </c>
      <c r="C226" s="16" t="s">
        <v>278</v>
      </c>
      <c r="D226" s="16" t="s">
        <v>32</v>
      </c>
      <c r="E226" s="17">
        <v>20</v>
      </c>
      <c r="F226" s="18" t="s">
        <v>23</v>
      </c>
      <c r="G226" s="19">
        <v>140</v>
      </c>
      <c r="H226" s="19">
        <v>37</v>
      </c>
      <c r="I226" s="19">
        <v>85</v>
      </c>
      <c r="J226" s="19">
        <v>132</v>
      </c>
      <c r="K226" s="19">
        <v>60</v>
      </c>
      <c r="L226" s="19">
        <v>178</v>
      </c>
      <c r="M226" s="19">
        <v>124</v>
      </c>
      <c r="N226" s="19">
        <v>167</v>
      </c>
      <c r="O226" s="19">
        <v>73</v>
      </c>
      <c r="P226" s="19">
        <v>153</v>
      </c>
      <c r="Q226" s="19">
        <v>154</v>
      </c>
      <c r="R226" s="19">
        <v>134</v>
      </c>
      <c r="S226" s="19">
        <v>94</v>
      </c>
      <c r="T226" s="19">
        <v>151</v>
      </c>
      <c r="U226" s="19">
        <v>206</v>
      </c>
      <c r="V226" s="19">
        <v>101</v>
      </c>
      <c r="W226" s="19">
        <v>141</v>
      </c>
      <c r="X226" s="19">
        <v>85</v>
      </c>
      <c r="Y226" s="19">
        <v>19</v>
      </c>
      <c r="Z226" s="19">
        <v>84</v>
      </c>
      <c r="AA226" s="19">
        <v>54</v>
      </c>
      <c r="AB226" s="19">
        <v>258</v>
      </c>
      <c r="AC226" s="19">
        <v>107</v>
      </c>
      <c r="AD226" s="19">
        <v>34</v>
      </c>
      <c r="AE226" s="19">
        <f t="shared" si="15"/>
        <v>1437</v>
      </c>
      <c r="AF226" s="19">
        <f t="shared" si="16"/>
        <v>1334</v>
      </c>
      <c r="AG226" s="20">
        <f t="shared" si="17"/>
        <v>119.75</v>
      </c>
      <c r="AH226" s="20">
        <f t="shared" si="14"/>
        <v>111.16666666666667</v>
      </c>
      <c r="AI226" s="21"/>
      <c r="AJ226" s="13"/>
      <c r="AK226" s="13"/>
    </row>
    <row r="227" spans="1:37" x14ac:dyDescent="0.35">
      <c r="A227" s="15" t="str">
        <f>VLOOKUP(B227,'[1]Tabla 1 Arsenal'!$B$11:$K$380,10,FALSE)</f>
        <v>P047</v>
      </c>
      <c r="B227" s="15">
        <v>106006</v>
      </c>
      <c r="C227" s="16" t="s">
        <v>279</v>
      </c>
      <c r="D227" s="16" t="s">
        <v>37</v>
      </c>
      <c r="E227" s="17">
        <v>393</v>
      </c>
      <c r="F227" s="18" t="s">
        <v>23</v>
      </c>
      <c r="G227" s="19">
        <v>137</v>
      </c>
      <c r="H227" s="19">
        <v>200</v>
      </c>
      <c r="I227" s="19">
        <v>142</v>
      </c>
      <c r="J227" s="19">
        <v>168</v>
      </c>
      <c r="K227" s="19">
        <v>170</v>
      </c>
      <c r="L227" s="19">
        <v>208</v>
      </c>
      <c r="M227" s="19">
        <v>189</v>
      </c>
      <c r="N227" s="19">
        <v>224</v>
      </c>
      <c r="O227" s="19">
        <v>220</v>
      </c>
      <c r="P227" s="19">
        <v>199</v>
      </c>
      <c r="Q227" s="19">
        <v>176</v>
      </c>
      <c r="R227" s="19">
        <v>141</v>
      </c>
      <c r="S227" s="19">
        <v>277</v>
      </c>
      <c r="T227" s="19">
        <v>105</v>
      </c>
      <c r="U227" s="19">
        <v>147</v>
      </c>
      <c r="V227" s="19">
        <v>189</v>
      </c>
      <c r="W227" s="19">
        <v>181</v>
      </c>
      <c r="X227" s="19">
        <v>166</v>
      </c>
      <c r="Y227" s="19">
        <v>170</v>
      </c>
      <c r="Z227" s="19">
        <v>147</v>
      </c>
      <c r="AA227" s="19">
        <v>187</v>
      </c>
      <c r="AB227" s="19">
        <v>172</v>
      </c>
      <c r="AC227" s="19">
        <v>146</v>
      </c>
      <c r="AD227" s="19">
        <v>130</v>
      </c>
      <c r="AE227" s="19">
        <f t="shared" si="15"/>
        <v>2174</v>
      </c>
      <c r="AF227" s="19">
        <f t="shared" si="16"/>
        <v>2017</v>
      </c>
      <c r="AG227" s="20">
        <f t="shared" si="17"/>
        <v>181.16666666666666</v>
      </c>
      <c r="AH227" s="20">
        <f t="shared" ref="AH227:AH290" si="18">AVERAGE(S227:AD227)</f>
        <v>168.08333333333334</v>
      </c>
      <c r="AI227" s="21"/>
      <c r="AJ227" s="13"/>
      <c r="AK227" s="13"/>
    </row>
    <row r="228" spans="1:37" x14ac:dyDescent="0.35">
      <c r="A228" s="15" t="str">
        <f>VLOOKUP(B228,'[1]Tabla 1 Arsenal'!$B$11:$K$380,10,FALSE)</f>
        <v>P078</v>
      </c>
      <c r="B228" s="15">
        <v>102083</v>
      </c>
      <c r="C228" s="16" t="s">
        <v>280</v>
      </c>
      <c r="D228" s="16" t="s">
        <v>39</v>
      </c>
      <c r="E228" s="17">
        <v>18</v>
      </c>
      <c r="F228" s="18" t="s">
        <v>23</v>
      </c>
      <c r="G228" s="19">
        <v>3461</v>
      </c>
      <c r="H228" s="19">
        <v>2866</v>
      </c>
      <c r="I228" s="19">
        <v>3887</v>
      </c>
      <c r="J228" s="19">
        <v>2579</v>
      </c>
      <c r="K228" s="19">
        <v>3519</v>
      </c>
      <c r="L228" s="19">
        <v>3002</v>
      </c>
      <c r="M228" s="19">
        <v>2611</v>
      </c>
      <c r="N228" s="19">
        <v>3530</v>
      </c>
      <c r="O228" s="19">
        <v>2911</v>
      </c>
      <c r="P228" s="19">
        <v>3290</v>
      </c>
      <c r="Q228" s="19">
        <v>2951</v>
      </c>
      <c r="R228" s="19">
        <v>2518</v>
      </c>
      <c r="S228" s="19">
        <v>3043</v>
      </c>
      <c r="T228" s="19">
        <v>2302</v>
      </c>
      <c r="U228" s="19">
        <v>1992</v>
      </c>
      <c r="V228" s="19">
        <v>2961</v>
      </c>
      <c r="W228" s="19">
        <v>3625</v>
      </c>
      <c r="X228" s="19">
        <v>1936</v>
      </c>
      <c r="Y228" s="19">
        <v>3177</v>
      </c>
      <c r="Z228" s="19">
        <v>3257</v>
      </c>
      <c r="AA228" s="19">
        <v>2828</v>
      </c>
      <c r="AB228" s="19">
        <v>3540</v>
      </c>
      <c r="AC228" s="19">
        <v>2704</v>
      </c>
      <c r="AD228" s="19">
        <v>3078</v>
      </c>
      <c r="AE228" s="19">
        <f t="shared" si="15"/>
        <v>37125</v>
      </c>
      <c r="AF228" s="19">
        <f t="shared" si="16"/>
        <v>34443</v>
      </c>
      <c r="AG228" s="20">
        <f t="shared" si="17"/>
        <v>3093.75</v>
      </c>
      <c r="AH228" s="20">
        <f t="shared" si="18"/>
        <v>2870.25</v>
      </c>
      <c r="AI228" s="21"/>
      <c r="AJ228" s="13"/>
      <c r="AK228" s="13"/>
    </row>
    <row r="229" spans="1:37" x14ac:dyDescent="0.35">
      <c r="A229" s="15" t="str">
        <f>VLOOKUP(B229,'[1]Tabla 1 Arsenal'!$B$11:$K$380,10,FALSE)</f>
        <v>P238</v>
      </c>
      <c r="B229" s="15">
        <v>102012</v>
      </c>
      <c r="C229" s="16" t="s">
        <v>281</v>
      </c>
      <c r="D229" s="16" t="s">
        <v>37</v>
      </c>
      <c r="E229" s="17">
        <v>225</v>
      </c>
      <c r="F229" s="18" t="s">
        <v>23</v>
      </c>
      <c r="G229" s="19">
        <v>633</v>
      </c>
      <c r="H229" s="19">
        <v>358</v>
      </c>
      <c r="I229" s="19">
        <v>563</v>
      </c>
      <c r="J229" s="19">
        <v>423</v>
      </c>
      <c r="K229" s="19">
        <v>1166</v>
      </c>
      <c r="L229" s="19">
        <v>1050</v>
      </c>
      <c r="M229" s="19">
        <v>911</v>
      </c>
      <c r="N229" s="19">
        <v>878</v>
      </c>
      <c r="O229" s="19">
        <v>975</v>
      </c>
      <c r="P229" s="19">
        <v>698</v>
      </c>
      <c r="Q229" s="19">
        <v>683</v>
      </c>
      <c r="R229" s="19">
        <v>749</v>
      </c>
      <c r="S229" s="19">
        <v>635</v>
      </c>
      <c r="T229" s="19">
        <v>561</v>
      </c>
      <c r="U229" s="19">
        <v>419</v>
      </c>
      <c r="V229" s="19">
        <v>998</v>
      </c>
      <c r="W229" s="19">
        <v>846</v>
      </c>
      <c r="X229" s="19">
        <v>560</v>
      </c>
      <c r="Y229" s="19">
        <v>654</v>
      </c>
      <c r="Z229" s="19">
        <v>859</v>
      </c>
      <c r="AA229" s="19">
        <v>680</v>
      </c>
      <c r="AB229" s="19">
        <v>701</v>
      </c>
      <c r="AC229" s="19">
        <v>892</v>
      </c>
      <c r="AD229" s="19">
        <v>587</v>
      </c>
      <c r="AE229" s="19">
        <f t="shared" si="15"/>
        <v>9087</v>
      </c>
      <c r="AF229" s="19">
        <f t="shared" si="16"/>
        <v>8392</v>
      </c>
      <c r="AG229" s="20">
        <f t="shared" si="17"/>
        <v>757.25</v>
      </c>
      <c r="AH229" s="20">
        <f t="shared" si="18"/>
        <v>699.33333333333337</v>
      </c>
      <c r="AI229" s="21"/>
      <c r="AJ229" s="13"/>
      <c r="AK229" s="13"/>
    </row>
    <row r="230" spans="1:37" x14ac:dyDescent="0.35">
      <c r="A230" s="15" t="str">
        <f>VLOOKUP(B230,'[1]Tabla 1 Arsenal'!$B$11:$K$380,10,FALSE)</f>
        <v>P267</v>
      </c>
      <c r="B230" s="15">
        <v>106095</v>
      </c>
      <c r="C230" s="16" t="s">
        <v>282</v>
      </c>
      <c r="D230" s="16" t="s">
        <v>22</v>
      </c>
      <c r="E230" s="17">
        <v>869</v>
      </c>
      <c r="F230" s="18" t="s">
        <v>23</v>
      </c>
      <c r="G230" s="19">
        <v>490</v>
      </c>
      <c r="H230" s="19">
        <v>379</v>
      </c>
      <c r="I230" s="19">
        <v>340</v>
      </c>
      <c r="J230" s="19">
        <v>424</v>
      </c>
      <c r="K230" s="19">
        <v>412</v>
      </c>
      <c r="L230" s="19">
        <v>427</v>
      </c>
      <c r="M230" s="19">
        <v>387</v>
      </c>
      <c r="N230" s="19">
        <v>364</v>
      </c>
      <c r="O230" s="19">
        <v>368</v>
      </c>
      <c r="P230" s="19">
        <v>376</v>
      </c>
      <c r="Q230" s="19">
        <v>296</v>
      </c>
      <c r="R230" s="19">
        <v>349</v>
      </c>
      <c r="S230" s="19">
        <v>261</v>
      </c>
      <c r="T230" s="19">
        <v>361</v>
      </c>
      <c r="U230" s="19">
        <v>337</v>
      </c>
      <c r="V230" s="19">
        <v>348</v>
      </c>
      <c r="W230" s="19">
        <v>244</v>
      </c>
      <c r="X230" s="19">
        <v>338</v>
      </c>
      <c r="Y230" s="19">
        <v>331</v>
      </c>
      <c r="Z230" s="19">
        <v>471</v>
      </c>
      <c r="AA230" s="19">
        <v>341</v>
      </c>
      <c r="AB230" s="19">
        <v>583</v>
      </c>
      <c r="AC230" s="19">
        <v>213</v>
      </c>
      <c r="AD230" s="19">
        <v>412</v>
      </c>
      <c r="AE230" s="19">
        <f t="shared" si="15"/>
        <v>4612</v>
      </c>
      <c r="AF230" s="19">
        <f t="shared" si="16"/>
        <v>4240</v>
      </c>
      <c r="AG230" s="20">
        <f t="shared" si="17"/>
        <v>384.33333333333331</v>
      </c>
      <c r="AH230" s="20">
        <f t="shared" si="18"/>
        <v>353.33333333333331</v>
      </c>
      <c r="AI230" s="21"/>
      <c r="AJ230" s="13"/>
      <c r="AK230" s="13"/>
    </row>
    <row r="231" spans="1:37" x14ac:dyDescent="0.35">
      <c r="A231" s="15" t="str">
        <f>VLOOKUP(B231,'[1]Tabla 1 Arsenal'!$B$11:$K$380,10,FALSE)</f>
        <v>P224</v>
      </c>
      <c r="B231" s="15">
        <v>106032</v>
      </c>
      <c r="C231" s="16" t="s">
        <v>283</v>
      </c>
      <c r="D231" s="16" t="s">
        <v>37</v>
      </c>
      <c r="E231" s="17">
        <v>200</v>
      </c>
      <c r="F231" s="18" t="s">
        <v>23</v>
      </c>
      <c r="G231" s="19">
        <v>12257</v>
      </c>
      <c r="H231" s="19">
        <v>10347</v>
      </c>
      <c r="I231" s="19">
        <v>11729</v>
      </c>
      <c r="J231" s="19">
        <v>9829</v>
      </c>
      <c r="K231" s="19">
        <v>8450</v>
      </c>
      <c r="L231" s="19">
        <v>8530</v>
      </c>
      <c r="M231" s="19">
        <v>9518</v>
      </c>
      <c r="N231" s="19">
        <v>11005</v>
      </c>
      <c r="O231" s="19">
        <v>8835</v>
      </c>
      <c r="P231" s="19">
        <v>8209</v>
      </c>
      <c r="Q231" s="19">
        <v>9889</v>
      </c>
      <c r="R231" s="19">
        <v>9897</v>
      </c>
      <c r="S231" s="19">
        <v>8803</v>
      </c>
      <c r="T231" s="19">
        <v>7497</v>
      </c>
      <c r="U231" s="19">
        <v>8290</v>
      </c>
      <c r="V231" s="19">
        <v>10867</v>
      </c>
      <c r="W231" s="19">
        <v>9213</v>
      </c>
      <c r="X231" s="19">
        <v>9541</v>
      </c>
      <c r="Y231" s="19">
        <v>9558</v>
      </c>
      <c r="Z231" s="19">
        <v>8332</v>
      </c>
      <c r="AA231" s="19">
        <v>8072</v>
      </c>
      <c r="AB231" s="19">
        <v>10670</v>
      </c>
      <c r="AC231" s="19">
        <v>7740</v>
      </c>
      <c r="AD231" s="19">
        <v>10092</v>
      </c>
      <c r="AE231" s="19">
        <f t="shared" si="15"/>
        <v>118495</v>
      </c>
      <c r="AF231" s="19">
        <f t="shared" si="16"/>
        <v>108675</v>
      </c>
      <c r="AG231" s="20">
        <f t="shared" si="17"/>
        <v>9874.5833333333339</v>
      </c>
      <c r="AH231" s="20">
        <f t="shared" si="18"/>
        <v>9056.25</v>
      </c>
      <c r="AI231" s="21"/>
      <c r="AJ231" s="13"/>
      <c r="AK231" s="13"/>
    </row>
    <row r="232" spans="1:37" x14ac:dyDescent="0.35">
      <c r="A232" s="15" t="str">
        <f>VLOOKUP(B232,'[1]Tabla 1 Arsenal'!$B$11:$K$380,10,FALSE)</f>
        <v>P336</v>
      </c>
      <c r="B232" s="15">
        <v>101063</v>
      </c>
      <c r="C232" s="16" t="s">
        <v>284</v>
      </c>
      <c r="D232" s="16" t="s">
        <v>39</v>
      </c>
      <c r="E232" s="17">
        <v>5012</v>
      </c>
      <c r="F232" s="18" t="s">
        <v>23</v>
      </c>
      <c r="G232" s="19">
        <v>28</v>
      </c>
      <c r="H232" s="19">
        <v>36</v>
      </c>
      <c r="I232" s="19">
        <v>35</v>
      </c>
      <c r="J232" s="19">
        <v>11</v>
      </c>
      <c r="K232" s="19">
        <v>15</v>
      </c>
      <c r="L232" s="19">
        <v>27</v>
      </c>
      <c r="M232" s="19">
        <v>37</v>
      </c>
      <c r="N232" s="19">
        <v>41</v>
      </c>
      <c r="O232" s="19">
        <v>47</v>
      </c>
      <c r="P232" s="19">
        <v>52</v>
      </c>
      <c r="Q232" s="19">
        <v>35</v>
      </c>
      <c r="R232" s="19">
        <v>42</v>
      </c>
      <c r="S232" s="19">
        <v>24</v>
      </c>
      <c r="T232" s="19">
        <v>21</v>
      </c>
      <c r="U232" s="19">
        <v>26</v>
      </c>
      <c r="V232" s="19">
        <v>52</v>
      </c>
      <c r="W232" s="19">
        <v>47</v>
      </c>
      <c r="X232" s="19">
        <v>39</v>
      </c>
      <c r="Y232" s="19">
        <v>35</v>
      </c>
      <c r="Z232" s="19">
        <v>25</v>
      </c>
      <c r="AA232" s="19">
        <v>30</v>
      </c>
      <c r="AB232" s="19">
        <v>31</v>
      </c>
      <c r="AC232" s="19">
        <v>10</v>
      </c>
      <c r="AD232" s="19">
        <v>32</v>
      </c>
      <c r="AE232" s="19">
        <f t="shared" si="15"/>
        <v>406</v>
      </c>
      <c r="AF232" s="19">
        <f t="shared" si="16"/>
        <v>372</v>
      </c>
      <c r="AG232" s="20">
        <f t="shared" si="17"/>
        <v>33.833333333333336</v>
      </c>
      <c r="AH232" s="20">
        <f t="shared" si="18"/>
        <v>31</v>
      </c>
      <c r="AI232" s="21"/>
      <c r="AJ232" s="13"/>
      <c r="AK232" s="13"/>
    </row>
    <row r="233" spans="1:37" x14ac:dyDescent="0.35">
      <c r="A233" s="15" t="str">
        <f>VLOOKUP(B233,'[1]Tabla 1 Arsenal'!$B$11:$K$380,10,FALSE)</f>
        <v>P121</v>
      </c>
      <c r="B233" s="15">
        <v>106072</v>
      </c>
      <c r="C233" s="16" t="s">
        <v>285</v>
      </c>
      <c r="D233" s="16" t="s">
        <v>37</v>
      </c>
      <c r="E233" s="17">
        <v>220</v>
      </c>
      <c r="F233" s="18" t="s">
        <v>23</v>
      </c>
      <c r="G233" s="19">
        <v>639</v>
      </c>
      <c r="H233" s="19">
        <v>674</v>
      </c>
      <c r="I233" s="19">
        <v>519</v>
      </c>
      <c r="J233" s="19">
        <v>427</v>
      </c>
      <c r="K233" s="19">
        <v>856</v>
      </c>
      <c r="L233" s="19">
        <v>617</v>
      </c>
      <c r="M233" s="19">
        <v>583</v>
      </c>
      <c r="N233" s="19">
        <v>535</v>
      </c>
      <c r="O233" s="19">
        <v>793</v>
      </c>
      <c r="P233" s="19">
        <v>790</v>
      </c>
      <c r="Q233" s="19">
        <v>841</v>
      </c>
      <c r="R233" s="19">
        <v>523</v>
      </c>
      <c r="S233" s="19">
        <v>760</v>
      </c>
      <c r="T233" s="19">
        <v>397</v>
      </c>
      <c r="U233" s="19">
        <v>442</v>
      </c>
      <c r="V233" s="19">
        <v>402</v>
      </c>
      <c r="W233" s="19">
        <v>771</v>
      </c>
      <c r="X233" s="19">
        <v>518</v>
      </c>
      <c r="Y233" s="19">
        <v>766</v>
      </c>
      <c r="Z233" s="19">
        <v>633</v>
      </c>
      <c r="AA233" s="19">
        <v>485</v>
      </c>
      <c r="AB233" s="19">
        <v>708</v>
      </c>
      <c r="AC233" s="19">
        <v>575</v>
      </c>
      <c r="AD233" s="19">
        <v>670</v>
      </c>
      <c r="AE233" s="19">
        <f t="shared" si="15"/>
        <v>7797</v>
      </c>
      <c r="AF233" s="19">
        <f t="shared" si="16"/>
        <v>7127</v>
      </c>
      <c r="AG233" s="20">
        <f t="shared" si="17"/>
        <v>649.75</v>
      </c>
      <c r="AH233" s="20">
        <f t="shared" si="18"/>
        <v>593.91666666666663</v>
      </c>
      <c r="AI233" s="21"/>
      <c r="AJ233" s="13"/>
      <c r="AK233" s="13"/>
    </row>
    <row r="234" spans="1:37" x14ac:dyDescent="0.35">
      <c r="A234" s="15" t="str">
        <f>VLOOKUP(B234,'[1]Tabla 1 Arsenal'!$B$11:$K$380,10,FALSE)</f>
        <v>P360</v>
      </c>
      <c r="B234" s="15">
        <v>102154</v>
      </c>
      <c r="C234" s="16" t="s">
        <v>286</v>
      </c>
      <c r="D234" s="16" t="s">
        <v>32</v>
      </c>
      <c r="E234" s="17">
        <v>155</v>
      </c>
      <c r="F234" s="18" t="s">
        <v>23</v>
      </c>
      <c r="G234" s="19">
        <v>219</v>
      </c>
      <c r="H234" s="19">
        <v>620</v>
      </c>
      <c r="I234" s="19">
        <v>254</v>
      </c>
      <c r="J234" s="19">
        <v>387</v>
      </c>
      <c r="K234" s="19">
        <v>820</v>
      </c>
      <c r="L234" s="19">
        <v>818</v>
      </c>
      <c r="M234" s="19">
        <v>676</v>
      </c>
      <c r="N234" s="19">
        <v>1071</v>
      </c>
      <c r="O234" s="19">
        <v>1074</v>
      </c>
      <c r="P234" s="19">
        <v>1580</v>
      </c>
      <c r="Q234" s="19">
        <v>1095</v>
      </c>
      <c r="R234" s="19">
        <v>1038</v>
      </c>
      <c r="S234" s="19">
        <v>689</v>
      </c>
      <c r="T234" s="19">
        <v>180</v>
      </c>
      <c r="U234" s="19">
        <v>854</v>
      </c>
      <c r="V234" s="19">
        <v>902</v>
      </c>
      <c r="W234" s="19">
        <v>1013</v>
      </c>
      <c r="X234" s="19">
        <v>872</v>
      </c>
      <c r="Y234" s="19">
        <v>985</v>
      </c>
      <c r="Z234" s="19">
        <v>626</v>
      </c>
      <c r="AA234" s="19">
        <v>623</v>
      </c>
      <c r="AB234" s="19">
        <v>807</v>
      </c>
      <c r="AC234" s="19">
        <v>530</v>
      </c>
      <c r="AD234" s="19">
        <v>730</v>
      </c>
      <c r="AE234" s="19">
        <f t="shared" si="15"/>
        <v>9652</v>
      </c>
      <c r="AF234" s="19">
        <f t="shared" si="16"/>
        <v>8811</v>
      </c>
      <c r="AG234" s="20">
        <f t="shared" si="17"/>
        <v>804.33333333333337</v>
      </c>
      <c r="AH234" s="20">
        <f t="shared" si="18"/>
        <v>734.25</v>
      </c>
      <c r="AI234" s="21"/>
      <c r="AJ234" s="13"/>
      <c r="AK234" s="13"/>
    </row>
    <row r="235" spans="1:37" x14ac:dyDescent="0.35">
      <c r="A235" s="15" t="str">
        <f>VLOOKUP(B235,'[1]Tabla 1 Arsenal'!$B$11:$K$380,10,FALSE)</f>
        <v>P050</v>
      </c>
      <c r="B235" s="15">
        <v>102027</v>
      </c>
      <c r="C235" s="16" t="s">
        <v>287</v>
      </c>
      <c r="D235" s="16" t="s">
        <v>39</v>
      </c>
      <c r="E235" s="17">
        <v>3808</v>
      </c>
      <c r="F235" s="18" t="s">
        <v>23</v>
      </c>
      <c r="G235" s="19">
        <v>493</v>
      </c>
      <c r="H235" s="19">
        <v>391</v>
      </c>
      <c r="I235" s="19">
        <v>477</v>
      </c>
      <c r="J235" s="19">
        <v>600</v>
      </c>
      <c r="K235" s="19">
        <v>454</v>
      </c>
      <c r="L235" s="19">
        <v>413</v>
      </c>
      <c r="M235" s="19">
        <v>389</v>
      </c>
      <c r="N235" s="19">
        <v>471</v>
      </c>
      <c r="O235" s="19">
        <v>441</v>
      </c>
      <c r="P235" s="19">
        <v>609</v>
      </c>
      <c r="Q235" s="19">
        <v>540</v>
      </c>
      <c r="R235" s="19">
        <v>374</v>
      </c>
      <c r="S235" s="19">
        <v>393</v>
      </c>
      <c r="T235" s="19">
        <v>335</v>
      </c>
      <c r="U235" s="19">
        <v>302</v>
      </c>
      <c r="V235" s="19">
        <v>446</v>
      </c>
      <c r="W235" s="19">
        <v>463</v>
      </c>
      <c r="X235" s="19">
        <v>422</v>
      </c>
      <c r="Y235" s="19">
        <v>418</v>
      </c>
      <c r="Z235" s="19">
        <v>504</v>
      </c>
      <c r="AA235" s="19">
        <v>442</v>
      </c>
      <c r="AB235" s="19">
        <v>559</v>
      </c>
      <c r="AC235" s="19">
        <v>437</v>
      </c>
      <c r="AD235" s="19">
        <v>430</v>
      </c>
      <c r="AE235" s="19">
        <f t="shared" si="15"/>
        <v>5652</v>
      </c>
      <c r="AF235" s="19">
        <f t="shared" si="16"/>
        <v>5151</v>
      </c>
      <c r="AG235" s="20">
        <f t="shared" si="17"/>
        <v>471</v>
      </c>
      <c r="AH235" s="20">
        <f t="shared" si="18"/>
        <v>429.25</v>
      </c>
      <c r="AI235" s="21"/>
      <c r="AJ235" s="13"/>
      <c r="AK235" s="13"/>
    </row>
    <row r="236" spans="1:37" x14ac:dyDescent="0.35">
      <c r="A236" s="15" t="str">
        <f>VLOOKUP(B236,'[1]Tabla 1 Arsenal'!$B$11:$K$380,10,FALSE)</f>
        <v>P304</v>
      </c>
      <c r="B236" s="15">
        <v>101001</v>
      </c>
      <c r="C236" s="16" t="s">
        <v>288</v>
      </c>
      <c r="D236" s="16" t="s">
        <v>37</v>
      </c>
      <c r="E236" s="17">
        <v>2028</v>
      </c>
      <c r="F236" s="18" t="s">
        <v>23</v>
      </c>
      <c r="G236" s="19">
        <v>179</v>
      </c>
      <c r="H236" s="19">
        <v>194</v>
      </c>
      <c r="I236" s="19">
        <v>196</v>
      </c>
      <c r="J236" s="19">
        <v>134</v>
      </c>
      <c r="K236" s="19">
        <v>178</v>
      </c>
      <c r="L236" s="19">
        <v>161</v>
      </c>
      <c r="M236" s="19">
        <v>174</v>
      </c>
      <c r="N236" s="19">
        <v>195</v>
      </c>
      <c r="O236" s="19">
        <v>207</v>
      </c>
      <c r="P236" s="19">
        <v>190</v>
      </c>
      <c r="Q236" s="19">
        <v>217</v>
      </c>
      <c r="R236" s="19">
        <v>179</v>
      </c>
      <c r="S236" s="19">
        <v>235</v>
      </c>
      <c r="T236" s="19">
        <v>162</v>
      </c>
      <c r="U236" s="19">
        <v>143</v>
      </c>
      <c r="V236" s="19">
        <v>196</v>
      </c>
      <c r="W236" s="19">
        <v>202</v>
      </c>
      <c r="X236" s="19">
        <v>170</v>
      </c>
      <c r="Y236" s="19">
        <v>168</v>
      </c>
      <c r="Z236" s="19">
        <v>148</v>
      </c>
      <c r="AA236" s="19">
        <v>144</v>
      </c>
      <c r="AB236" s="19">
        <v>173</v>
      </c>
      <c r="AC236" s="19">
        <v>108</v>
      </c>
      <c r="AD236" s="19">
        <v>148</v>
      </c>
      <c r="AE236" s="19">
        <f t="shared" si="15"/>
        <v>2204</v>
      </c>
      <c r="AF236" s="19">
        <f t="shared" si="16"/>
        <v>1997</v>
      </c>
      <c r="AG236" s="20">
        <f t="shared" si="17"/>
        <v>183.66666666666666</v>
      </c>
      <c r="AH236" s="20">
        <f t="shared" si="18"/>
        <v>166.41666666666666</v>
      </c>
      <c r="AI236" s="21"/>
      <c r="AJ236" s="13"/>
      <c r="AK236" s="13"/>
    </row>
    <row r="237" spans="1:37" x14ac:dyDescent="0.35">
      <c r="A237" s="15" t="str">
        <f>VLOOKUP(B237,'[1]Tabla 1 Arsenal'!$B$11:$K$380,10,FALSE)</f>
        <v>P018</v>
      </c>
      <c r="B237" s="15">
        <v>109043</v>
      </c>
      <c r="C237" s="16" t="s">
        <v>289</v>
      </c>
      <c r="D237" s="16" t="s">
        <v>32</v>
      </c>
      <c r="E237" s="17">
        <v>34</v>
      </c>
      <c r="F237" s="18" t="s">
        <v>23</v>
      </c>
      <c r="G237" s="19">
        <v>411</v>
      </c>
      <c r="H237" s="19">
        <v>361</v>
      </c>
      <c r="I237" s="19">
        <v>399</v>
      </c>
      <c r="J237" s="19">
        <v>302</v>
      </c>
      <c r="K237" s="19">
        <v>403</v>
      </c>
      <c r="L237" s="19">
        <v>351</v>
      </c>
      <c r="M237" s="19">
        <v>321</v>
      </c>
      <c r="N237" s="19">
        <v>375</v>
      </c>
      <c r="O237" s="19">
        <v>421</v>
      </c>
      <c r="P237" s="19">
        <v>366</v>
      </c>
      <c r="Q237" s="19">
        <v>223</v>
      </c>
      <c r="R237" s="19">
        <v>258</v>
      </c>
      <c r="S237" s="19">
        <v>282</v>
      </c>
      <c r="T237" s="19">
        <v>285</v>
      </c>
      <c r="U237" s="19">
        <v>280</v>
      </c>
      <c r="V237" s="19">
        <v>325</v>
      </c>
      <c r="W237" s="19">
        <v>255</v>
      </c>
      <c r="X237" s="19">
        <v>327</v>
      </c>
      <c r="Y237" s="19">
        <v>250</v>
      </c>
      <c r="Z237" s="19">
        <v>312</v>
      </c>
      <c r="AA237" s="19">
        <v>238</v>
      </c>
      <c r="AB237" s="19">
        <v>466</v>
      </c>
      <c r="AC237" s="19">
        <v>316</v>
      </c>
      <c r="AD237" s="19">
        <v>437</v>
      </c>
      <c r="AE237" s="19">
        <f t="shared" si="15"/>
        <v>4191</v>
      </c>
      <c r="AF237" s="19">
        <f t="shared" si="16"/>
        <v>3773</v>
      </c>
      <c r="AG237" s="20">
        <f t="shared" si="17"/>
        <v>349.25</v>
      </c>
      <c r="AH237" s="20">
        <f t="shared" si="18"/>
        <v>314.41666666666669</v>
      </c>
      <c r="AI237" s="21"/>
      <c r="AJ237" s="13"/>
      <c r="AK237" s="13"/>
    </row>
    <row r="238" spans="1:37" x14ac:dyDescent="0.35">
      <c r="A238" s="15" t="str">
        <f>VLOOKUP(B238,'[1]Tabla 1 Arsenal'!$B$11:$K$380,10,FALSE)</f>
        <v>P119</v>
      </c>
      <c r="B238" s="15">
        <v>103044</v>
      </c>
      <c r="C238" s="16" t="s">
        <v>290</v>
      </c>
      <c r="D238" s="16" t="s">
        <v>22</v>
      </c>
      <c r="E238" s="17">
        <v>26073</v>
      </c>
      <c r="F238" s="18" t="s">
        <v>23</v>
      </c>
      <c r="G238" s="19">
        <v>13</v>
      </c>
      <c r="H238" s="19">
        <v>50</v>
      </c>
      <c r="I238" s="19">
        <v>9</v>
      </c>
      <c r="J238" s="19">
        <v>16</v>
      </c>
      <c r="K238" s="19">
        <v>17</v>
      </c>
      <c r="L238" s="19">
        <v>3</v>
      </c>
      <c r="M238" s="19">
        <v>19</v>
      </c>
      <c r="N238" s="19">
        <v>11</v>
      </c>
      <c r="O238" s="19">
        <v>0</v>
      </c>
      <c r="P238" s="19">
        <v>43</v>
      </c>
      <c r="Q238" s="19">
        <v>15</v>
      </c>
      <c r="R238" s="19">
        <v>0</v>
      </c>
      <c r="S238" s="19">
        <v>10</v>
      </c>
      <c r="T238" s="19">
        <v>7</v>
      </c>
      <c r="U238" s="19">
        <v>4</v>
      </c>
      <c r="V238" s="19">
        <v>2</v>
      </c>
      <c r="W238" s="19">
        <v>6</v>
      </c>
      <c r="X238" s="19">
        <v>17</v>
      </c>
      <c r="Y238" s="19">
        <v>9</v>
      </c>
      <c r="Z238" s="19">
        <v>45</v>
      </c>
      <c r="AA238" s="19">
        <v>25</v>
      </c>
      <c r="AB238" s="19">
        <v>9</v>
      </c>
      <c r="AC238" s="19">
        <v>0</v>
      </c>
      <c r="AD238" s="19">
        <v>42</v>
      </c>
      <c r="AE238" s="19">
        <f t="shared" si="15"/>
        <v>196</v>
      </c>
      <c r="AF238" s="19">
        <f t="shared" si="16"/>
        <v>176</v>
      </c>
      <c r="AG238" s="20">
        <f t="shared" si="17"/>
        <v>16.333333333333332</v>
      </c>
      <c r="AH238" s="20">
        <f t="shared" si="18"/>
        <v>14.666666666666666</v>
      </c>
      <c r="AI238" s="21"/>
      <c r="AJ238" s="13"/>
      <c r="AK238" s="13"/>
    </row>
    <row r="239" spans="1:37" x14ac:dyDescent="0.35">
      <c r="A239" s="15" t="str">
        <f>VLOOKUP(B239,'[1]Tabla 1 Arsenal'!$B$11:$K$380,10,FALSE)</f>
        <v>P283</v>
      </c>
      <c r="B239" s="15">
        <v>101084</v>
      </c>
      <c r="C239" s="16" t="s">
        <v>291</v>
      </c>
      <c r="D239" s="16" t="s">
        <v>37</v>
      </c>
      <c r="E239" s="17">
        <v>2070600</v>
      </c>
      <c r="F239" s="18" t="s">
        <v>55</v>
      </c>
      <c r="G239" s="19">
        <v>22</v>
      </c>
      <c r="H239" s="19">
        <v>26</v>
      </c>
      <c r="I239" s="19">
        <v>34</v>
      </c>
      <c r="J239" s="19">
        <v>29</v>
      </c>
      <c r="K239" s="19">
        <v>40</v>
      </c>
      <c r="L239" s="19">
        <v>32</v>
      </c>
      <c r="M239" s="19">
        <v>46</v>
      </c>
      <c r="N239" s="19">
        <v>60</v>
      </c>
      <c r="O239" s="19">
        <v>56</v>
      </c>
      <c r="P239" s="19">
        <v>60</v>
      </c>
      <c r="Q239" s="19">
        <v>54</v>
      </c>
      <c r="R239" s="19">
        <v>40</v>
      </c>
      <c r="S239" s="19">
        <v>54</v>
      </c>
      <c r="T239" s="19">
        <v>34</v>
      </c>
      <c r="U239" s="19">
        <v>54</v>
      </c>
      <c r="V239" s="19">
        <v>48</v>
      </c>
      <c r="W239" s="19">
        <v>38</v>
      </c>
      <c r="X239" s="19">
        <v>26</v>
      </c>
      <c r="Y239" s="19">
        <v>24</v>
      </c>
      <c r="Z239" s="19">
        <v>26</v>
      </c>
      <c r="AA239" s="19">
        <v>36</v>
      </c>
      <c r="AB239" s="19">
        <v>28</v>
      </c>
      <c r="AC239" s="19">
        <v>40</v>
      </c>
      <c r="AD239" s="19">
        <v>40</v>
      </c>
      <c r="AE239" s="19">
        <f t="shared" si="15"/>
        <v>499</v>
      </c>
      <c r="AF239" s="19">
        <f t="shared" si="16"/>
        <v>448</v>
      </c>
      <c r="AG239" s="20">
        <f t="shared" si="17"/>
        <v>41.583333333333336</v>
      </c>
      <c r="AH239" s="20">
        <f t="shared" si="18"/>
        <v>37.333333333333336</v>
      </c>
      <c r="AI239" s="21"/>
      <c r="AJ239" s="13"/>
      <c r="AK239" s="13"/>
    </row>
    <row r="240" spans="1:37" x14ac:dyDescent="0.35">
      <c r="A240" s="15" t="str">
        <f>VLOOKUP(B240,'[1]Tabla 1 Arsenal'!$B$11:$K$380,10,FALSE)</f>
        <v>P299</v>
      </c>
      <c r="B240" s="15">
        <v>104043</v>
      </c>
      <c r="C240" s="16" t="s">
        <v>292</v>
      </c>
      <c r="D240" s="16" t="s">
        <v>32</v>
      </c>
      <c r="E240" s="17">
        <v>37</v>
      </c>
      <c r="F240" s="18" t="s">
        <v>23</v>
      </c>
      <c r="G240" s="19">
        <v>1541</v>
      </c>
      <c r="H240" s="19">
        <v>1487</v>
      </c>
      <c r="I240" s="19">
        <v>1829</v>
      </c>
      <c r="J240" s="19">
        <v>1652</v>
      </c>
      <c r="K240" s="19">
        <v>2254</v>
      </c>
      <c r="L240" s="19">
        <v>2035</v>
      </c>
      <c r="M240" s="19">
        <v>1723</v>
      </c>
      <c r="N240" s="19">
        <v>1898</v>
      </c>
      <c r="O240" s="19">
        <v>1353</v>
      </c>
      <c r="P240" s="19">
        <v>1543</v>
      </c>
      <c r="Q240" s="19">
        <v>1363</v>
      </c>
      <c r="R240" s="19">
        <v>1120</v>
      </c>
      <c r="S240" s="19">
        <v>1903</v>
      </c>
      <c r="T240" s="19">
        <v>1424</v>
      </c>
      <c r="U240" s="19">
        <v>1662</v>
      </c>
      <c r="V240" s="19">
        <v>1561</v>
      </c>
      <c r="W240" s="19">
        <v>1175</v>
      </c>
      <c r="X240" s="19">
        <v>1473.4</v>
      </c>
      <c r="Y240" s="19">
        <v>1728</v>
      </c>
      <c r="Z240" s="19">
        <v>1749</v>
      </c>
      <c r="AA240" s="19">
        <v>1352</v>
      </c>
      <c r="AB240" s="19">
        <v>1437</v>
      </c>
      <c r="AC240" s="19">
        <v>1257</v>
      </c>
      <c r="AD240" s="19">
        <v>1038</v>
      </c>
      <c r="AE240" s="19">
        <f t="shared" si="15"/>
        <v>19798</v>
      </c>
      <c r="AF240" s="19">
        <f t="shared" si="16"/>
        <v>17759.400000000001</v>
      </c>
      <c r="AG240" s="20">
        <f t="shared" si="17"/>
        <v>1649.8333333333333</v>
      </c>
      <c r="AH240" s="20">
        <f t="shared" si="18"/>
        <v>1479.95</v>
      </c>
      <c r="AI240" s="21"/>
      <c r="AJ240" s="13"/>
      <c r="AK240" s="13"/>
    </row>
    <row r="241" spans="1:37" x14ac:dyDescent="0.35">
      <c r="A241" s="15" t="str">
        <f>VLOOKUP(B241,'[1]Tabla 1 Arsenal'!$B$11:$K$380,10,FALSE)</f>
        <v>P200</v>
      </c>
      <c r="B241" s="15">
        <v>102061</v>
      </c>
      <c r="C241" s="16" t="s">
        <v>293</v>
      </c>
      <c r="D241" s="16" t="s">
        <v>32</v>
      </c>
      <c r="E241" s="17">
        <v>9</v>
      </c>
      <c r="F241" s="18" t="s">
        <v>23</v>
      </c>
      <c r="G241" s="19">
        <v>260</v>
      </c>
      <c r="H241" s="19">
        <v>345</v>
      </c>
      <c r="I241" s="19">
        <v>417</v>
      </c>
      <c r="J241" s="19">
        <v>173</v>
      </c>
      <c r="K241" s="19">
        <v>380</v>
      </c>
      <c r="L241" s="19">
        <v>344</v>
      </c>
      <c r="M241" s="19">
        <v>424</v>
      </c>
      <c r="N241" s="19">
        <v>598</v>
      </c>
      <c r="O241" s="19">
        <v>589</v>
      </c>
      <c r="P241" s="19">
        <v>466</v>
      </c>
      <c r="Q241" s="19">
        <v>282</v>
      </c>
      <c r="R241" s="19">
        <v>318</v>
      </c>
      <c r="S241" s="19">
        <v>354</v>
      </c>
      <c r="T241" s="19">
        <v>340</v>
      </c>
      <c r="U241" s="19">
        <v>224</v>
      </c>
      <c r="V241" s="19">
        <v>300</v>
      </c>
      <c r="W241" s="19">
        <v>364</v>
      </c>
      <c r="X241" s="19">
        <v>240</v>
      </c>
      <c r="Y241" s="19">
        <v>364</v>
      </c>
      <c r="Z241" s="19">
        <v>224</v>
      </c>
      <c r="AA241" s="19">
        <v>401</v>
      </c>
      <c r="AB241" s="19">
        <v>408</v>
      </c>
      <c r="AC241" s="19">
        <v>516</v>
      </c>
      <c r="AD241" s="19">
        <v>345</v>
      </c>
      <c r="AE241" s="19">
        <f t="shared" si="15"/>
        <v>4596</v>
      </c>
      <c r="AF241" s="19">
        <f t="shared" si="16"/>
        <v>4080</v>
      </c>
      <c r="AG241" s="20">
        <f t="shared" si="17"/>
        <v>383</v>
      </c>
      <c r="AH241" s="20">
        <f t="shared" si="18"/>
        <v>340</v>
      </c>
      <c r="AI241" s="21"/>
      <c r="AJ241" s="13"/>
      <c r="AK241" s="13"/>
    </row>
    <row r="242" spans="1:37" x14ac:dyDescent="0.35">
      <c r="A242" s="15" t="str">
        <f>VLOOKUP(B242,'[1]Tabla 1 Arsenal'!$B$11:$K$380,10,FALSE)</f>
        <v>P356</v>
      </c>
      <c r="B242" s="15">
        <v>104042</v>
      </c>
      <c r="C242" s="16" t="s">
        <v>294</v>
      </c>
      <c r="D242" s="16" t="s">
        <v>32</v>
      </c>
      <c r="E242" s="17">
        <v>104</v>
      </c>
      <c r="F242" s="18" t="s">
        <v>23</v>
      </c>
      <c r="G242" s="19">
        <v>3355</v>
      </c>
      <c r="H242" s="19">
        <v>3236</v>
      </c>
      <c r="I242" s="19">
        <v>3057</v>
      </c>
      <c r="J242" s="19">
        <v>2356</v>
      </c>
      <c r="K242" s="19">
        <v>3776</v>
      </c>
      <c r="L242" s="19">
        <v>2690</v>
      </c>
      <c r="M242" s="19">
        <v>3401</v>
      </c>
      <c r="N242" s="19">
        <v>3286</v>
      </c>
      <c r="O242" s="19">
        <v>3290</v>
      </c>
      <c r="P242" s="19">
        <v>3309</v>
      </c>
      <c r="Q242" s="19">
        <v>3327</v>
      </c>
      <c r="R242" s="19">
        <v>3686</v>
      </c>
      <c r="S242" s="19">
        <v>3221</v>
      </c>
      <c r="T242" s="19">
        <v>3003</v>
      </c>
      <c r="U242" s="19">
        <v>2655</v>
      </c>
      <c r="V242" s="19">
        <v>3232</v>
      </c>
      <c r="W242" s="19">
        <v>3093</v>
      </c>
      <c r="X242" s="19">
        <v>2775</v>
      </c>
      <c r="Y242" s="19">
        <v>2799</v>
      </c>
      <c r="Z242" s="19">
        <v>3164</v>
      </c>
      <c r="AA242" s="19">
        <v>2223</v>
      </c>
      <c r="AB242" s="19">
        <v>3241</v>
      </c>
      <c r="AC242" s="19">
        <v>2803</v>
      </c>
      <c r="AD242" s="19">
        <v>2180</v>
      </c>
      <c r="AE242" s="19">
        <f t="shared" si="15"/>
        <v>38769</v>
      </c>
      <c r="AF242" s="19">
        <f t="shared" si="16"/>
        <v>34389</v>
      </c>
      <c r="AG242" s="20">
        <f t="shared" si="17"/>
        <v>3230.75</v>
      </c>
      <c r="AH242" s="20">
        <f t="shared" si="18"/>
        <v>2865.75</v>
      </c>
      <c r="AI242" s="21"/>
      <c r="AJ242" s="13"/>
      <c r="AK242" s="13"/>
    </row>
    <row r="243" spans="1:37" x14ac:dyDescent="0.35">
      <c r="A243" s="15" t="str">
        <f>VLOOKUP(B243,'[1]Tabla 1 Arsenal'!$B$11:$K$380,10,FALSE)</f>
        <v>P206</v>
      </c>
      <c r="B243" s="15">
        <v>103051</v>
      </c>
      <c r="C243" s="16" t="s">
        <v>295</v>
      </c>
      <c r="D243" s="16" t="s">
        <v>37</v>
      </c>
      <c r="E243" s="17">
        <v>4879</v>
      </c>
      <c r="F243" s="18" t="s">
        <v>23</v>
      </c>
      <c r="G243" s="19">
        <v>116</v>
      </c>
      <c r="H243" s="19">
        <v>52</v>
      </c>
      <c r="I243" s="19">
        <v>38</v>
      </c>
      <c r="J243" s="19">
        <v>58</v>
      </c>
      <c r="K243" s="19">
        <v>108</v>
      </c>
      <c r="L243" s="19">
        <v>107</v>
      </c>
      <c r="M243" s="19">
        <v>129</v>
      </c>
      <c r="N243" s="19">
        <v>133</v>
      </c>
      <c r="O243" s="19">
        <v>89</v>
      </c>
      <c r="P243" s="19">
        <v>28</v>
      </c>
      <c r="Q243" s="19">
        <v>79</v>
      </c>
      <c r="R243" s="19">
        <v>65</v>
      </c>
      <c r="S243" s="19">
        <v>127</v>
      </c>
      <c r="T243" s="19">
        <v>88</v>
      </c>
      <c r="U243" s="19">
        <v>65</v>
      </c>
      <c r="V243" s="19">
        <v>94</v>
      </c>
      <c r="W243" s="19">
        <v>130</v>
      </c>
      <c r="X243" s="19">
        <v>74</v>
      </c>
      <c r="Y243" s="19">
        <v>2</v>
      </c>
      <c r="Z243" s="19">
        <v>44</v>
      </c>
      <c r="AA243" s="19">
        <v>67</v>
      </c>
      <c r="AB243" s="19">
        <v>111</v>
      </c>
      <c r="AC243" s="19">
        <v>12</v>
      </c>
      <c r="AD243" s="19">
        <v>74</v>
      </c>
      <c r="AE243" s="19">
        <f t="shared" si="15"/>
        <v>1002</v>
      </c>
      <c r="AF243" s="19">
        <f t="shared" si="16"/>
        <v>888</v>
      </c>
      <c r="AG243" s="20">
        <f t="shared" si="17"/>
        <v>83.5</v>
      </c>
      <c r="AH243" s="20">
        <f t="shared" si="18"/>
        <v>74</v>
      </c>
      <c r="AI243" s="21"/>
      <c r="AJ243" s="13"/>
      <c r="AK243" s="13"/>
    </row>
    <row r="244" spans="1:37" x14ac:dyDescent="0.35">
      <c r="A244" s="15" t="str">
        <f>VLOOKUP(B244,'[1]Tabla 1 Arsenal'!$B$11:$K$380,10,FALSE)</f>
        <v>P056</v>
      </c>
      <c r="B244" s="15">
        <v>209117</v>
      </c>
      <c r="C244" s="16" t="s">
        <v>296</v>
      </c>
      <c r="D244" s="16" t="s">
        <v>32</v>
      </c>
      <c r="E244" s="17">
        <v>671</v>
      </c>
      <c r="F244" s="18" t="s">
        <v>55</v>
      </c>
      <c r="G244" s="19">
        <v>7388</v>
      </c>
      <c r="H244" s="19">
        <v>5716</v>
      </c>
      <c r="I244" s="19">
        <v>5446</v>
      </c>
      <c r="J244" s="19">
        <v>4720</v>
      </c>
      <c r="K244" s="19">
        <v>5790</v>
      </c>
      <c r="L244" s="19">
        <v>4522</v>
      </c>
      <c r="M244" s="19">
        <v>5670</v>
      </c>
      <c r="N244" s="19">
        <v>6356</v>
      </c>
      <c r="O244" s="19">
        <v>5502</v>
      </c>
      <c r="P244" s="19">
        <v>6930</v>
      </c>
      <c r="Q244" s="19">
        <v>4788</v>
      </c>
      <c r="R244" s="19">
        <v>4074</v>
      </c>
      <c r="S244" s="19">
        <v>6080</v>
      </c>
      <c r="T244" s="19">
        <v>4737</v>
      </c>
      <c r="U244" s="19">
        <v>5510</v>
      </c>
      <c r="V244" s="19">
        <v>6188</v>
      </c>
      <c r="W244" s="19">
        <v>5088</v>
      </c>
      <c r="X244" s="19">
        <v>4598</v>
      </c>
      <c r="Y244" s="19">
        <v>5334</v>
      </c>
      <c r="Z244" s="19">
        <v>4984</v>
      </c>
      <c r="AA244" s="19">
        <v>3962</v>
      </c>
      <c r="AB244" s="19">
        <v>5012</v>
      </c>
      <c r="AC244" s="19">
        <v>3978</v>
      </c>
      <c r="AD244" s="19">
        <v>3706</v>
      </c>
      <c r="AE244" s="19">
        <f t="shared" si="15"/>
        <v>66902</v>
      </c>
      <c r="AF244" s="19">
        <f t="shared" si="16"/>
        <v>59177</v>
      </c>
      <c r="AG244" s="20">
        <f t="shared" si="17"/>
        <v>5575.166666666667</v>
      </c>
      <c r="AH244" s="20">
        <f t="shared" si="18"/>
        <v>4931.416666666667</v>
      </c>
      <c r="AI244" s="21"/>
      <c r="AJ244" s="13"/>
      <c r="AK244" s="13"/>
    </row>
    <row r="245" spans="1:37" x14ac:dyDescent="0.35">
      <c r="A245" s="15" t="str">
        <f>VLOOKUP(B245,'[1]Tabla 1 Arsenal'!$B$11:$K$380,10,FALSE)</f>
        <v>P181</v>
      </c>
      <c r="B245" s="15">
        <v>105018</v>
      </c>
      <c r="C245" s="16" t="s">
        <v>297</v>
      </c>
      <c r="D245" s="16" t="s">
        <v>23</v>
      </c>
      <c r="E245" s="17">
        <v>5116</v>
      </c>
      <c r="F245" s="18" t="s">
        <v>23</v>
      </c>
      <c r="G245" s="19">
        <v>31</v>
      </c>
      <c r="H245" s="19">
        <v>24</v>
      </c>
      <c r="I245" s="19">
        <v>23</v>
      </c>
      <c r="J245" s="19">
        <v>31</v>
      </c>
      <c r="K245" s="19">
        <v>23</v>
      </c>
      <c r="L245" s="19">
        <v>28</v>
      </c>
      <c r="M245" s="19">
        <v>34</v>
      </c>
      <c r="N245" s="19">
        <v>11</v>
      </c>
      <c r="O245" s="19">
        <v>8</v>
      </c>
      <c r="P245" s="19">
        <v>13</v>
      </c>
      <c r="Q245" s="19">
        <v>23</v>
      </c>
      <c r="R245" s="19">
        <v>48</v>
      </c>
      <c r="S245" s="19">
        <v>6</v>
      </c>
      <c r="T245" s="19">
        <v>7</v>
      </c>
      <c r="U245" s="19">
        <v>28</v>
      </c>
      <c r="V245" s="19">
        <v>21</v>
      </c>
      <c r="W245" s="19">
        <v>32</v>
      </c>
      <c r="X245" s="19">
        <v>34</v>
      </c>
      <c r="Y245" s="19">
        <v>4</v>
      </c>
      <c r="Z245" s="19">
        <v>18</v>
      </c>
      <c r="AA245" s="19">
        <v>38</v>
      </c>
      <c r="AB245" s="19">
        <v>22</v>
      </c>
      <c r="AC245" s="19">
        <v>14</v>
      </c>
      <c r="AD245" s="19">
        <v>37</v>
      </c>
      <c r="AE245" s="19">
        <f t="shared" si="15"/>
        <v>297</v>
      </c>
      <c r="AF245" s="19">
        <f t="shared" si="16"/>
        <v>261</v>
      </c>
      <c r="AG245" s="20">
        <f t="shared" si="17"/>
        <v>24.75</v>
      </c>
      <c r="AH245" s="20">
        <f t="shared" si="18"/>
        <v>21.75</v>
      </c>
      <c r="AI245" s="21"/>
      <c r="AJ245" s="13"/>
      <c r="AK245" s="13"/>
    </row>
    <row r="246" spans="1:37" x14ac:dyDescent="0.35">
      <c r="A246" s="15" t="str">
        <f>VLOOKUP(B246,'[1]Tabla 1 Arsenal'!$B$11:$K$380,10,FALSE)</f>
        <v>P318</v>
      </c>
      <c r="B246" s="15">
        <v>106017</v>
      </c>
      <c r="C246" s="16" t="s">
        <v>298</v>
      </c>
      <c r="D246" s="16" t="s">
        <v>22</v>
      </c>
      <c r="E246" s="17">
        <v>4641</v>
      </c>
      <c r="F246" s="18" t="s">
        <v>23</v>
      </c>
      <c r="G246" s="19">
        <v>198</v>
      </c>
      <c r="H246" s="19">
        <v>150</v>
      </c>
      <c r="I246" s="19">
        <v>184</v>
      </c>
      <c r="J246" s="19">
        <v>176</v>
      </c>
      <c r="K246" s="19">
        <v>192</v>
      </c>
      <c r="L246" s="19">
        <v>221</v>
      </c>
      <c r="M246" s="19">
        <v>347</v>
      </c>
      <c r="N246" s="19">
        <v>455</v>
      </c>
      <c r="O246" s="19">
        <v>279</v>
      </c>
      <c r="P246" s="19">
        <v>195</v>
      </c>
      <c r="Q246" s="19">
        <v>201</v>
      </c>
      <c r="R246" s="19">
        <v>134</v>
      </c>
      <c r="S246" s="19">
        <v>163</v>
      </c>
      <c r="T246" s="19">
        <v>148</v>
      </c>
      <c r="U246" s="19">
        <v>148</v>
      </c>
      <c r="V246" s="19">
        <v>215</v>
      </c>
      <c r="W246" s="19">
        <v>224</v>
      </c>
      <c r="X246" s="19">
        <v>164</v>
      </c>
      <c r="Y246" s="19">
        <v>230</v>
      </c>
      <c r="Z246" s="19">
        <v>310</v>
      </c>
      <c r="AA246" s="19">
        <v>167</v>
      </c>
      <c r="AB246" s="19">
        <v>311</v>
      </c>
      <c r="AC246" s="19">
        <v>151</v>
      </c>
      <c r="AD246" s="19">
        <v>160</v>
      </c>
      <c r="AE246" s="19">
        <f t="shared" si="15"/>
        <v>2732</v>
      </c>
      <c r="AF246" s="19">
        <f t="shared" si="16"/>
        <v>2391</v>
      </c>
      <c r="AG246" s="20">
        <f t="shared" si="17"/>
        <v>227.66666666666666</v>
      </c>
      <c r="AH246" s="20">
        <f t="shared" si="18"/>
        <v>199.25</v>
      </c>
      <c r="AI246" s="21"/>
      <c r="AJ246" s="13"/>
      <c r="AK246" s="13"/>
    </row>
    <row r="247" spans="1:37" x14ac:dyDescent="0.35">
      <c r="A247" s="15" t="str">
        <f>VLOOKUP(B247,'[1]Tabla 1 Arsenal'!$B$11:$K$380,10,FALSE)</f>
        <v>P126</v>
      </c>
      <c r="B247" s="15">
        <v>102144</v>
      </c>
      <c r="C247" s="16" t="s">
        <v>299</v>
      </c>
      <c r="D247" s="16" t="s">
        <v>39</v>
      </c>
      <c r="E247" s="17">
        <v>18</v>
      </c>
      <c r="F247" s="18" t="s">
        <v>23</v>
      </c>
      <c r="G247" s="19">
        <v>135</v>
      </c>
      <c r="H247" s="19">
        <v>134</v>
      </c>
      <c r="I247" s="19">
        <v>209</v>
      </c>
      <c r="J247" s="19">
        <v>182</v>
      </c>
      <c r="K247" s="19">
        <v>194</v>
      </c>
      <c r="L247" s="19">
        <v>204</v>
      </c>
      <c r="M247" s="19">
        <v>196</v>
      </c>
      <c r="N247" s="19">
        <v>164</v>
      </c>
      <c r="O247" s="19">
        <v>174</v>
      </c>
      <c r="P247" s="19">
        <v>148</v>
      </c>
      <c r="Q247" s="19">
        <v>110</v>
      </c>
      <c r="R247" s="19">
        <v>144</v>
      </c>
      <c r="S247" s="19">
        <v>157</v>
      </c>
      <c r="T247" s="19">
        <v>180</v>
      </c>
      <c r="U247" s="19">
        <v>173</v>
      </c>
      <c r="V247" s="19">
        <v>162</v>
      </c>
      <c r="W247" s="19">
        <v>106</v>
      </c>
      <c r="X247" s="19">
        <v>114</v>
      </c>
      <c r="Y247" s="19">
        <v>128</v>
      </c>
      <c r="Z247" s="19">
        <v>166</v>
      </c>
      <c r="AA247" s="19">
        <v>102</v>
      </c>
      <c r="AB247" s="19">
        <v>149</v>
      </c>
      <c r="AC247" s="19">
        <v>159</v>
      </c>
      <c r="AD247" s="19">
        <v>144</v>
      </c>
      <c r="AE247" s="19">
        <f t="shared" si="15"/>
        <v>1994</v>
      </c>
      <c r="AF247" s="19">
        <f t="shared" si="16"/>
        <v>1740</v>
      </c>
      <c r="AG247" s="20">
        <f t="shared" si="17"/>
        <v>166.16666666666666</v>
      </c>
      <c r="AH247" s="20">
        <f t="shared" si="18"/>
        <v>145</v>
      </c>
      <c r="AI247" s="21"/>
      <c r="AJ247" s="13"/>
      <c r="AK247" s="13"/>
    </row>
    <row r="248" spans="1:37" x14ac:dyDescent="0.35">
      <c r="A248" s="15" t="str">
        <f>VLOOKUP(B248,'[1]Tabla 1 Arsenal'!$B$11:$K$380,10,FALSE)</f>
        <v>P069</v>
      </c>
      <c r="B248" s="15">
        <v>103033</v>
      </c>
      <c r="C248" s="16" t="s">
        <v>300</v>
      </c>
      <c r="D248" s="16" t="s">
        <v>22</v>
      </c>
      <c r="E248" s="17">
        <v>1180</v>
      </c>
      <c r="F248" s="18" t="s">
        <v>23</v>
      </c>
      <c r="G248" s="19">
        <v>17</v>
      </c>
      <c r="H248" s="19">
        <v>80</v>
      </c>
      <c r="I248" s="19">
        <v>37</v>
      </c>
      <c r="J248" s="19">
        <v>94</v>
      </c>
      <c r="K248" s="19">
        <v>49</v>
      </c>
      <c r="L248" s="19">
        <v>139</v>
      </c>
      <c r="M248" s="19">
        <v>53</v>
      </c>
      <c r="N248" s="19">
        <v>100</v>
      </c>
      <c r="O248" s="19">
        <v>137</v>
      </c>
      <c r="P248" s="19">
        <v>85</v>
      </c>
      <c r="Q248" s="19">
        <v>122</v>
      </c>
      <c r="R248" s="19">
        <v>12</v>
      </c>
      <c r="S248" s="19">
        <v>175</v>
      </c>
      <c r="T248" s="19">
        <v>80</v>
      </c>
      <c r="U248" s="19">
        <v>92</v>
      </c>
      <c r="V248" s="19">
        <v>88</v>
      </c>
      <c r="W248" s="19">
        <v>36</v>
      </c>
      <c r="X248" s="19">
        <v>123</v>
      </c>
      <c r="Y248" s="19">
        <v>52</v>
      </c>
      <c r="Z248" s="19">
        <v>60</v>
      </c>
      <c r="AA248" s="19">
        <v>38</v>
      </c>
      <c r="AB248" s="19">
        <v>21</v>
      </c>
      <c r="AC248" s="19">
        <v>10</v>
      </c>
      <c r="AD248" s="19">
        <v>32</v>
      </c>
      <c r="AE248" s="19">
        <f t="shared" si="15"/>
        <v>925</v>
      </c>
      <c r="AF248" s="19">
        <f t="shared" si="16"/>
        <v>807</v>
      </c>
      <c r="AG248" s="20">
        <f t="shared" si="17"/>
        <v>77.083333333333329</v>
      </c>
      <c r="AH248" s="20">
        <f t="shared" si="18"/>
        <v>67.25</v>
      </c>
      <c r="AI248" s="21"/>
      <c r="AJ248" s="13"/>
      <c r="AK248" s="13"/>
    </row>
    <row r="249" spans="1:37" x14ac:dyDescent="0.35">
      <c r="A249" s="15" t="str">
        <f>VLOOKUP(B249,'[1]Tabla 1 Arsenal'!$B$11:$K$380,10,FALSE)</f>
        <v>P139</v>
      </c>
      <c r="B249" s="15">
        <v>105002</v>
      </c>
      <c r="C249" s="16" t="s">
        <v>301</v>
      </c>
      <c r="D249" s="16" t="s">
        <v>23</v>
      </c>
      <c r="E249" s="17">
        <v>1131</v>
      </c>
      <c r="F249" s="18" t="s">
        <v>23</v>
      </c>
      <c r="G249" s="19">
        <v>111</v>
      </c>
      <c r="H249" s="19">
        <v>84</v>
      </c>
      <c r="I249" s="19">
        <v>146</v>
      </c>
      <c r="J249" s="19">
        <v>122</v>
      </c>
      <c r="K249" s="19">
        <v>147</v>
      </c>
      <c r="L249" s="19">
        <v>120</v>
      </c>
      <c r="M249" s="19">
        <v>162</v>
      </c>
      <c r="N249" s="19">
        <v>174</v>
      </c>
      <c r="O249" s="19">
        <v>99</v>
      </c>
      <c r="P249" s="19">
        <v>107</v>
      </c>
      <c r="Q249" s="19">
        <v>113</v>
      </c>
      <c r="R249" s="19">
        <v>111</v>
      </c>
      <c r="S249" s="19">
        <v>123</v>
      </c>
      <c r="T249" s="19">
        <v>104</v>
      </c>
      <c r="U249" s="19">
        <v>106</v>
      </c>
      <c r="V249" s="19">
        <v>105</v>
      </c>
      <c r="W249" s="19">
        <v>114</v>
      </c>
      <c r="X249" s="19">
        <v>100</v>
      </c>
      <c r="Y249" s="19">
        <v>131</v>
      </c>
      <c r="Z249" s="19">
        <v>115</v>
      </c>
      <c r="AA249" s="19">
        <v>92</v>
      </c>
      <c r="AB249" s="19">
        <v>120</v>
      </c>
      <c r="AC249" s="19">
        <v>67</v>
      </c>
      <c r="AD249" s="19">
        <v>122</v>
      </c>
      <c r="AE249" s="19">
        <f t="shared" si="15"/>
        <v>1496</v>
      </c>
      <c r="AF249" s="19">
        <f t="shared" si="16"/>
        <v>1299</v>
      </c>
      <c r="AG249" s="20">
        <f t="shared" si="17"/>
        <v>124.66666666666667</v>
      </c>
      <c r="AH249" s="20">
        <f t="shared" si="18"/>
        <v>108.25</v>
      </c>
      <c r="AI249" s="21"/>
      <c r="AJ249" s="13"/>
      <c r="AK249" s="13"/>
    </row>
    <row r="250" spans="1:37" x14ac:dyDescent="0.35">
      <c r="A250" s="15" t="str">
        <f>VLOOKUP(B250,'[1]Tabla 1 Arsenal'!$B$11:$K$380,10,FALSE)</f>
        <v>P059</v>
      </c>
      <c r="B250" s="15">
        <v>209007</v>
      </c>
      <c r="C250" s="16" t="s">
        <v>302</v>
      </c>
      <c r="D250" s="16" t="s">
        <v>22</v>
      </c>
      <c r="E250" s="17">
        <v>23205</v>
      </c>
      <c r="F250" s="18" t="s">
        <v>55</v>
      </c>
      <c r="G250" s="19">
        <v>85</v>
      </c>
      <c r="H250" s="19">
        <v>79</v>
      </c>
      <c r="I250" s="19">
        <v>109</v>
      </c>
      <c r="J250" s="19">
        <v>92</v>
      </c>
      <c r="K250" s="19">
        <v>95</v>
      </c>
      <c r="L250" s="19">
        <v>94</v>
      </c>
      <c r="M250" s="19">
        <v>100</v>
      </c>
      <c r="N250" s="19">
        <v>85</v>
      </c>
      <c r="O250" s="19">
        <v>67</v>
      </c>
      <c r="P250" s="19">
        <v>98</v>
      </c>
      <c r="Q250" s="19">
        <v>107</v>
      </c>
      <c r="R250" s="19">
        <v>97</v>
      </c>
      <c r="S250" s="19">
        <v>97</v>
      </c>
      <c r="T250" s="19">
        <v>83</v>
      </c>
      <c r="U250" s="19">
        <v>70</v>
      </c>
      <c r="V250" s="19">
        <v>80</v>
      </c>
      <c r="W250" s="19">
        <v>73</v>
      </c>
      <c r="X250" s="19">
        <v>58</v>
      </c>
      <c r="Y250" s="19">
        <v>70</v>
      </c>
      <c r="Z250" s="19">
        <v>66</v>
      </c>
      <c r="AA250" s="19">
        <v>61</v>
      </c>
      <c r="AB250" s="19">
        <v>94</v>
      </c>
      <c r="AC250" s="19">
        <v>97</v>
      </c>
      <c r="AD250" s="19">
        <v>112</v>
      </c>
      <c r="AE250" s="19">
        <f t="shared" si="15"/>
        <v>1108</v>
      </c>
      <c r="AF250" s="19">
        <f t="shared" si="16"/>
        <v>961</v>
      </c>
      <c r="AG250" s="20">
        <f t="shared" si="17"/>
        <v>92.333333333333329</v>
      </c>
      <c r="AH250" s="20">
        <f t="shared" si="18"/>
        <v>80.083333333333329</v>
      </c>
      <c r="AI250" s="21"/>
      <c r="AJ250" s="13"/>
      <c r="AK250" s="13"/>
    </row>
    <row r="251" spans="1:37" x14ac:dyDescent="0.35">
      <c r="A251" s="15" t="str">
        <f>VLOOKUP(B251,'[1]Tabla 1 Arsenal'!$B$11:$K$380,10,FALSE)</f>
        <v>P222</v>
      </c>
      <c r="B251" s="15">
        <v>102010</v>
      </c>
      <c r="C251" s="16" t="s">
        <v>303</v>
      </c>
      <c r="D251" s="16" t="s">
        <v>37</v>
      </c>
      <c r="E251" s="17">
        <v>243</v>
      </c>
      <c r="F251" s="18" t="s">
        <v>23</v>
      </c>
      <c r="G251" s="19">
        <v>564</v>
      </c>
      <c r="H251" s="19">
        <v>387</v>
      </c>
      <c r="I251" s="19">
        <v>554</v>
      </c>
      <c r="J251" s="19">
        <v>602</v>
      </c>
      <c r="K251" s="19">
        <v>346</v>
      </c>
      <c r="L251" s="19">
        <v>989</v>
      </c>
      <c r="M251" s="19">
        <v>959</v>
      </c>
      <c r="N251" s="19">
        <v>582</v>
      </c>
      <c r="O251" s="19">
        <v>2370</v>
      </c>
      <c r="P251" s="19">
        <v>1307</v>
      </c>
      <c r="Q251" s="19">
        <v>766</v>
      </c>
      <c r="R251" s="19">
        <v>641</v>
      </c>
      <c r="S251" s="19">
        <v>927</v>
      </c>
      <c r="T251" s="19">
        <v>535</v>
      </c>
      <c r="U251" s="19">
        <v>502</v>
      </c>
      <c r="V251" s="19">
        <v>638</v>
      </c>
      <c r="W251" s="19">
        <v>712</v>
      </c>
      <c r="X251" s="19">
        <v>842</v>
      </c>
      <c r="Y251" s="19">
        <v>678</v>
      </c>
      <c r="Z251" s="19">
        <v>692</v>
      </c>
      <c r="AA251" s="19">
        <v>765</v>
      </c>
      <c r="AB251" s="19">
        <v>875</v>
      </c>
      <c r="AC251" s="19">
        <v>941</v>
      </c>
      <c r="AD251" s="19">
        <v>550</v>
      </c>
      <c r="AE251" s="19">
        <f t="shared" si="15"/>
        <v>10067</v>
      </c>
      <c r="AF251" s="19">
        <f t="shared" si="16"/>
        <v>8657</v>
      </c>
      <c r="AG251" s="20">
        <f t="shared" si="17"/>
        <v>838.91666666666663</v>
      </c>
      <c r="AH251" s="20">
        <f t="shared" si="18"/>
        <v>721.41666666666663</v>
      </c>
      <c r="AI251" s="21"/>
      <c r="AJ251" s="13"/>
      <c r="AK251" s="13"/>
    </row>
    <row r="252" spans="1:37" x14ac:dyDescent="0.35">
      <c r="A252" s="15" t="str">
        <f>VLOOKUP(B252,'[1]Tabla 1 Arsenal'!$B$11:$K$380,10,FALSE)</f>
        <v>P091</v>
      </c>
      <c r="B252" s="15">
        <v>101065</v>
      </c>
      <c r="C252" s="16" t="s">
        <v>304</v>
      </c>
      <c r="D252" s="16" t="s">
        <v>86</v>
      </c>
      <c r="E252" s="17">
        <v>48616</v>
      </c>
      <c r="F252" s="18" t="s">
        <v>55</v>
      </c>
      <c r="G252" s="19">
        <v>60</v>
      </c>
      <c r="H252" s="19">
        <v>60</v>
      </c>
      <c r="I252" s="19">
        <v>60</v>
      </c>
      <c r="J252" s="19">
        <v>0</v>
      </c>
      <c r="K252" s="19">
        <v>0</v>
      </c>
      <c r="L252" s="19">
        <v>60</v>
      </c>
      <c r="M252" s="19">
        <v>120</v>
      </c>
      <c r="N252" s="19">
        <v>0</v>
      </c>
      <c r="O252" s="19">
        <v>0</v>
      </c>
      <c r="P252" s="19">
        <v>0</v>
      </c>
      <c r="Q252" s="19">
        <v>60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60</v>
      </c>
      <c r="Z252" s="19">
        <v>60</v>
      </c>
      <c r="AA252" s="19">
        <v>60</v>
      </c>
      <c r="AB252" s="19">
        <v>0</v>
      </c>
      <c r="AC252" s="19">
        <v>120</v>
      </c>
      <c r="AD252" s="19">
        <v>60</v>
      </c>
      <c r="AE252" s="19">
        <f t="shared" si="15"/>
        <v>420</v>
      </c>
      <c r="AF252" s="19">
        <f t="shared" si="16"/>
        <v>360</v>
      </c>
      <c r="AG252" s="20">
        <f t="shared" si="17"/>
        <v>35</v>
      </c>
      <c r="AH252" s="20">
        <f t="shared" si="18"/>
        <v>30</v>
      </c>
      <c r="AI252" s="21"/>
      <c r="AJ252" s="13"/>
      <c r="AK252" s="13"/>
    </row>
    <row r="253" spans="1:37" x14ac:dyDescent="0.35">
      <c r="A253" s="15" t="str">
        <f>VLOOKUP(B253,'[1]Tabla 1 Arsenal'!$B$11:$K$380,10,FALSE)</f>
        <v>P070</v>
      </c>
      <c r="B253" s="15">
        <v>103008</v>
      </c>
      <c r="C253" s="16" t="s">
        <v>305</v>
      </c>
      <c r="D253" s="16" t="s">
        <v>32</v>
      </c>
      <c r="E253" s="17">
        <v>39</v>
      </c>
      <c r="F253" s="18" t="s">
        <v>23</v>
      </c>
      <c r="G253" s="19">
        <v>691</v>
      </c>
      <c r="H253" s="19">
        <v>648</v>
      </c>
      <c r="I253" s="19">
        <v>713</v>
      </c>
      <c r="J253" s="19">
        <v>420</v>
      </c>
      <c r="K253" s="19">
        <v>909</v>
      </c>
      <c r="L253" s="19">
        <v>423</v>
      </c>
      <c r="M253" s="19">
        <v>852</v>
      </c>
      <c r="N253" s="19">
        <v>591</v>
      </c>
      <c r="O253" s="19">
        <v>433</v>
      </c>
      <c r="P253" s="19">
        <v>421</v>
      </c>
      <c r="Q253" s="19">
        <v>479</v>
      </c>
      <c r="R253" s="19">
        <v>528</v>
      </c>
      <c r="S253" s="19">
        <v>972</v>
      </c>
      <c r="T253" s="19">
        <v>456</v>
      </c>
      <c r="U253" s="19">
        <v>415</v>
      </c>
      <c r="V253" s="19">
        <v>752</v>
      </c>
      <c r="W253" s="19">
        <v>315</v>
      </c>
      <c r="X253" s="19">
        <v>380</v>
      </c>
      <c r="Y253" s="19">
        <v>667</v>
      </c>
      <c r="Z253" s="19">
        <v>386</v>
      </c>
      <c r="AA253" s="19">
        <v>385</v>
      </c>
      <c r="AB253" s="19">
        <v>362</v>
      </c>
      <c r="AC253" s="19">
        <v>382</v>
      </c>
      <c r="AD253" s="19">
        <v>614</v>
      </c>
      <c r="AE253" s="19">
        <f t="shared" si="15"/>
        <v>7108</v>
      </c>
      <c r="AF253" s="19">
        <f t="shared" si="16"/>
        <v>6086</v>
      </c>
      <c r="AG253" s="20">
        <f t="shared" si="17"/>
        <v>592.33333333333337</v>
      </c>
      <c r="AH253" s="20">
        <f t="shared" si="18"/>
        <v>507.16666666666669</v>
      </c>
      <c r="AI253" s="21"/>
      <c r="AJ253" s="13"/>
      <c r="AK253" s="13"/>
    </row>
    <row r="254" spans="1:37" x14ac:dyDescent="0.35">
      <c r="A254" s="15" t="str">
        <f>VLOOKUP(B254,'[1]Tabla 1 Arsenal'!$B$11:$K$380,10,FALSE)</f>
        <v>P124</v>
      </c>
      <c r="B254" s="15">
        <v>209019</v>
      </c>
      <c r="C254" s="16" t="s">
        <v>306</v>
      </c>
      <c r="D254" s="16" t="s">
        <v>22</v>
      </c>
      <c r="E254" s="17">
        <v>6283</v>
      </c>
      <c r="F254" s="18" t="s">
        <v>55</v>
      </c>
      <c r="G254" s="19">
        <v>188</v>
      </c>
      <c r="H254" s="19">
        <v>129</v>
      </c>
      <c r="I254" s="19">
        <v>217</v>
      </c>
      <c r="J254" s="19">
        <v>148</v>
      </c>
      <c r="K254" s="19">
        <v>202</v>
      </c>
      <c r="L254" s="19">
        <v>116</v>
      </c>
      <c r="M254" s="19">
        <v>201</v>
      </c>
      <c r="N254" s="19">
        <v>266</v>
      </c>
      <c r="O254" s="19">
        <v>187</v>
      </c>
      <c r="P254" s="19">
        <v>211</v>
      </c>
      <c r="Q254" s="19">
        <v>203</v>
      </c>
      <c r="R254" s="19">
        <v>146</v>
      </c>
      <c r="S254" s="19">
        <v>205</v>
      </c>
      <c r="T254" s="19">
        <v>156</v>
      </c>
      <c r="U254" s="19">
        <v>229</v>
      </c>
      <c r="V254" s="19">
        <v>223</v>
      </c>
      <c r="W254" s="19">
        <v>128</v>
      </c>
      <c r="X254" s="19">
        <v>170</v>
      </c>
      <c r="Y254" s="19">
        <v>178</v>
      </c>
      <c r="Z254" s="19">
        <v>166</v>
      </c>
      <c r="AA254" s="19">
        <v>72</v>
      </c>
      <c r="AB254" s="19">
        <v>96</v>
      </c>
      <c r="AC254" s="19">
        <v>144</v>
      </c>
      <c r="AD254" s="19">
        <v>125</v>
      </c>
      <c r="AE254" s="19">
        <f t="shared" si="15"/>
        <v>2214</v>
      </c>
      <c r="AF254" s="19">
        <f t="shared" si="16"/>
        <v>1892</v>
      </c>
      <c r="AG254" s="20">
        <f t="shared" si="17"/>
        <v>184.5</v>
      </c>
      <c r="AH254" s="20">
        <f t="shared" si="18"/>
        <v>157.66666666666666</v>
      </c>
      <c r="AI254" s="21"/>
      <c r="AJ254" s="13"/>
      <c r="AK254" s="13"/>
    </row>
    <row r="255" spans="1:37" x14ac:dyDescent="0.35">
      <c r="A255" s="15" t="str">
        <f>VLOOKUP(B255,'[1]Tabla 1 Arsenal'!$B$11:$K$380,10,FALSE)</f>
        <v>P350</v>
      </c>
      <c r="B255" s="15">
        <v>102045</v>
      </c>
      <c r="C255" s="16" t="s">
        <v>307</v>
      </c>
      <c r="D255" s="16" t="s">
        <v>22</v>
      </c>
      <c r="E255" s="17">
        <v>38240</v>
      </c>
      <c r="F255" s="18" t="s">
        <v>23</v>
      </c>
      <c r="G255" s="19">
        <v>64</v>
      </c>
      <c r="H255" s="19">
        <v>4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28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30</v>
      </c>
      <c r="AE255" s="19">
        <f t="shared" si="15"/>
        <v>68</v>
      </c>
      <c r="AF255" s="19">
        <f t="shared" si="16"/>
        <v>58</v>
      </c>
      <c r="AG255" s="20">
        <f t="shared" si="17"/>
        <v>5.666666666666667</v>
      </c>
      <c r="AH255" s="20">
        <f t="shared" si="18"/>
        <v>4.833333333333333</v>
      </c>
      <c r="AI255" s="21"/>
      <c r="AJ255" s="13"/>
      <c r="AK255" s="13"/>
    </row>
    <row r="256" spans="1:37" x14ac:dyDescent="0.35">
      <c r="A256" s="15" t="str">
        <f>VLOOKUP(B256,'[1]Tabla 1 Arsenal'!$B$11:$K$380,10,FALSE)</f>
        <v>P230</v>
      </c>
      <c r="B256" s="15">
        <v>103024</v>
      </c>
      <c r="C256" s="16" t="s">
        <v>308</v>
      </c>
      <c r="D256" s="16" t="s">
        <v>37</v>
      </c>
      <c r="E256" s="17">
        <v>312</v>
      </c>
      <c r="F256" s="18" t="s">
        <v>23</v>
      </c>
      <c r="G256" s="19">
        <v>516</v>
      </c>
      <c r="H256" s="19">
        <v>267</v>
      </c>
      <c r="I256" s="19">
        <v>355</v>
      </c>
      <c r="J256" s="19">
        <v>322</v>
      </c>
      <c r="K256" s="19">
        <v>171</v>
      </c>
      <c r="L256" s="19">
        <v>452</v>
      </c>
      <c r="M256" s="19">
        <v>365</v>
      </c>
      <c r="N256" s="19">
        <v>480</v>
      </c>
      <c r="O256" s="19">
        <v>266</v>
      </c>
      <c r="P256" s="19">
        <v>435</v>
      </c>
      <c r="Q256" s="19">
        <v>343</v>
      </c>
      <c r="R256" s="19">
        <v>372</v>
      </c>
      <c r="S256" s="19">
        <v>417</v>
      </c>
      <c r="T256" s="19">
        <v>352</v>
      </c>
      <c r="U256" s="19">
        <v>318</v>
      </c>
      <c r="V256" s="19">
        <v>357</v>
      </c>
      <c r="W256" s="19">
        <v>228</v>
      </c>
      <c r="X256" s="19">
        <v>207</v>
      </c>
      <c r="Y256" s="19">
        <v>430</v>
      </c>
      <c r="Z256" s="19">
        <v>273</v>
      </c>
      <c r="AA256" s="19">
        <v>282</v>
      </c>
      <c r="AB256" s="19">
        <v>422</v>
      </c>
      <c r="AC256" s="19">
        <v>130</v>
      </c>
      <c r="AD256" s="19">
        <v>285</v>
      </c>
      <c r="AE256" s="19">
        <f t="shared" si="15"/>
        <v>4344</v>
      </c>
      <c r="AF256" s="19">
        <f t="shared" si="16"/>
        <v>3701</v>
      </c>
      <c r="AG256" s="20">
        <f t="shared" si="17"/>
        <v>362</v>
      </c>
      <c r="AH256" s="20">
        <f t="shared" si="18"/>
        <v>308.41666666666669</v>
      </c>
      <c r="AI256" s="21"/>
      <c r="AJ256" s="13"/>
      <c r="AK256" s="13"/>
    </row>
    <row r="257" spans="1:37" x14ac:dyDescent="0.35">
      <c r="A257" s="15" t="str">
        <f>VLOOKUP(B257,'[1]Tabla 1 Arsenal'!$B$11:$K$380,10,FALSE)</f>
        <v>P211</v>
      </c>
      <c r="B257" s="15">
        <v>106031</v>
      </c>
      <c r="C257" s="16" t="s">
        <v>309</v>
      </c>
      <c r="D257" s="16" t="s">
        <v>37</v>
      </c>
      <c r="E257" s="17">
        <v>250</v>
      </c>
      <c r="F257" s="18" t="s">
        <v>23</v>
      </c>
      <c r="G257" s="19">
        <v>358</v>
      </c>
      <c r="H257" s="19">
        <v>355</v>
      </c>
      <c r="I257" s="19">
        <v>372</v>
      </c>
      <c r="J257" s="19">
        <v>226</v>
      </c>
      <c r="K257" s="19">
        <v>252</v>
      </c>
      <c r="L257" s="19">
        <v>159</v>
      </c>
      <c r="M257" s="19">
        <v>249</v>
      </c>
      <c r="N257" s="19">
        <v>310</v>
      </c>
      <c r="O257" s="19">
        <v>314</v>
      </c>
      <c r="P257" s="19">
        <v>298</v>
      </c>
      <c r="Q257" s="19">
        <v>156</v>
      </c>
      <c r="R257" s="19">
        <v>155</v>
      </c>
      <c r="S257" s="19">
        <v>356</v>
      </c>
      <c r="T257" s="19">
        <v>247</v>
      </c>
      <c r="U257" s="19">
        <v>253</v>
      </c>
      <c r="V257" s="19">
        <v>324</v>
      </c>
      <c r="W257" s="19">
        <v>222</v>
      </c>
      <c r="X257" s="19">
        <v>252</v>
      </c>
      <c r="Y257" s="19">
        <v>258</v>
      </c>
      <c r="Z257" s="19">
        <v>169</v>
      </c>
      <c r="AA257" s="19">
        <v>168</v>
      </c>
      <c r="AB257" s="19">
        <v>130</v>
      </c>
      <c r="AC257" s="19">
        <v>137</v>
      </c>
      <c r="AD257" s="19">
        <v>202</v>
      </c>
      <c r="AE257" s="19">
        <f t="shared" si="15"/>
        <v>3204</v>
      </c>
      <c r="AF257" s="19">
        <f t="shared" si="16"/>
        <v>2718</v>
      </c>
      <c r="AG257" s="20">
        <f t="shared" si="17"/>
        <v>267</v>
      </c>
      <c r="AH257" s="20">
        <f t="shared" si="18"/>
        <v>226.5</v>
      </c>
      <c r="AI257" s="21"/>
      <c r="AJ257" s="13"/>
      <c r="AK257" s="13"/>
    </row>
    <row r="258" spans="1:37" x14ac:dyDescent="0.35">
      <c r="A258" s="15" t="str">
        <f>VLOOKUP(B258,'[1]Tabla 1 Arsenal'!$B$11:$K$380,10,FALSE)</f>
        <v>P322</v>
      </c>
      <c r="B258" s="15">
        <v>101005</v>
      </c>
      <c r="C258" s="16" t="s">
        <v>310</v>
      </c>
      <c r="D258" s="16" t="s">
        <v>22</v>
      </c>
      <c r="E258" s="17">
        <v>49904</v>
      </c>
      <c r="F258" s="18" t="s">
        <v>23</v>
      </c>
      <c r="G258" s="19">
        <v>19</v>
      </c>
      <c r="H258" s="19">
        <v>17</v>
      </c>
      <c r="I258" s="19">
        <v>16</v>
      </c>
      <c r="J258" s="19">
        <v>14</v>
      </c>
      <c r="K258" s="19">
        <v>24</v>
      </c>
      <c r="L258" s="19">
        <v>18</v>
      </c>
      <c r="M258" s="19">
        <v>19</v>
      </c>
      <c r="N258" s="19">
        <v>21</v>
      </c>
      <c r="O258" s="19">
        <v>12</v>
      </c>
      <c r="P258" s="19">
        <v>19</v>
      </c>
      <c r="Q258" s="19">
        <v>16</v>
      </c>
      <c r="R258" s="19">
        <v>13</v>
      </c>
      <c r="S258" s="19">
        <v>21</v>
      </c>
      <c r="T258" s="19">
        <v>13</v>
      </c>
      <c r="U258" s="19">
        <v>7</v>
      </c>
      <c r="V258" s="19">
        <v>18</v>
      </c>
      <c r="W258" s="19">
        <v>18</v>
      </c>
      <c r="X258" s="19">
        <v>13</v>
      </c>
      <c r="Y258" s="19">
        <v>22</v>
      </c>
      <c r="Z258" s="19">
        <v>17</v>
      </c>
      <c r="AA258" s="19">
        <v>13</v>
      </c>
      <c r="AB258" s="19">
        <v>14</v>
      </c>
      <c r="AC258" s="19">
        <v>8</v>
      </c>
      <c r="AD258" s="19">
        <v>12</v>
      </c>
      <c r="AE258" s="19">
        <f t="shared" si="15"/>
        <v>208</v>
      </c>
      <c r="AF258" s="19">
        <f t="shared" si="16"/>
        <v>176</v>
      </c>
      <c r="AG258" s="20">
        <f t="shared" si="17"/>
        <v>17.333333333333332</v>
      </c>
      <c r="AH258" s="20">
        <f t="shared" si="18"/>
        <v>14.666666666666666</v>
      </c>
      <c r="AI258" s="21"/>
      <c r="AJ258" s="13"/>
      <c r="AK258" s="13"/>
    </row>
    <row r="259" spans="1:37" x14ac:dyDescent="0.35">
      <c r="A259" s="15" t="str">
        <f>VLOOKUP(B259,'[1]Tabla 1 Arsenal'!$B$11:$K$380,10,FALSE)</f>
        <v>P055</v>
      </c>
      <c r="B259" s="15">
        <v>209105</v>
      </c>
      <c r="C259" s="16" t="s">
        <v>311</v>
      </c>
      <c r="D259" s="16" t="s">
        <v>32</v>
      </c>
      <c r="E259" s="17">
        <v>593</v>
      </c>
      <c r="F259" s="18" t="s">
        <v>55</v>
      </c>
      <c r="G259" s="19">
        <v>812</v>
      </c>
      <c r="H259" s="19">
        <v>975</v>
      </c>
      <c r="I259" s="19">
        <v>1173</v>
      </c>
      <c r="J259" s="19">
        <v>1120</v>
      </c>
      <c r="K259" s="19">
        <v>988</v>
      </c>
      <c r="L259" s="19">
        <v>784</v>
      </c>
      <c r="M259" s="19">
        <v>924</v>
      </c>
      <c r="N259" s="19">
        <v>1176</v>
      </c>
      <c r="O259" s="19">
        <v>644</v>
      </c>
      <c r="P259" s="19">
        <v>840</v>
      </c>
      <c r="Q259" s="19">
        <v>966</v>
      </c>
      <c r="R259" s="19">
        <v>644</v>
      </c>
      <c r="S259" s="19">
        <v>1066</v>
      </c>
      <c r="T259" s="19">
        <v>924</v>
      </c>
      <c r="U259" s="19">
        <v>840</v>
      </c>
      <c r="V259" s="19">
        <v>1236</v>
      </c>
      <c r="W259" s="19">
        <v>804</v>
      </c>
      <c r="X259" s="19">
        <v>696</v>
      </c>
      <c r="Y259" s="19">
        <v>616</v>
      </c>
      <c r="Z259" s="19">
        <v>896</v>
      </c>
      <c r="AA259" s="19">
        <v>588</v>
      </c>
      <c r="AB259" s="19">
        <v>560</v>
      </c>
      <c r="AC259" s="19">
        <v>532</v>
      </c>
      <c r="AD259" s="19">
        <v>574</v>
      </c>
      <c r="AE259" s="19">
        <f t="shared" si="15"/>
        <v>11046</v>
      </c>
      <c r="AF259" s="19">
        <f t="shared" si="16"/>
        <v>9332</v>
      </c>
      <c r="AG259" s="20">
        <f t="shared" si="17"/>
        <v>920.5</v>
      </c>
      <c r="AH259" s="20">
        <f t="shared" si="18"/>
        <v>777.66666666666663</v>
      </c>
      <c r="AI259" s="21"/>
      <c r="AJ259" s="13"/>
      <c r="AK259" s="13"/>
    </row>
    <row r="260" spans="1:37" x14ac:dyDescent="0.35">
      <c r="A260" s="15" t="str">
        <f>VLOOKUP(B260,'[1]Tabla 1 Arsenal'!$B$11:$K$380,10,FALSE)</f>
        <v>P235</v>
      </c>
      <c r="B260" s="15">
        <v>102084</v>
      </c>
      <c r="C260" s="16" t="s">
        <v>312</v>
      </c>
      <c r="D260" s="16" t="s">
        <v>39</v>
      </c>
      <c r="E260" s="17">
        <v>146</v>
      </c>
      <c r="F260" s="18" t="s">
        <v>23</v>
      </c>
      <c r="G260" s="19">
        <v>1968</v>
      </c>
      <c r="H260" s="19">
        <v>1777</v>
      </c>
      <c r="I260" s="19">
        <v>2976</v>
      </c>
      <c r="J260" s="19">
        <v>2067</v>
      </c>
      <c r="K260" s="19">
        <v>2197</v>
      </c>
      <c r="L260" s="19">
        <v>2275</v>
      </c>
      <c r="M260" s="19">
        <v>1669</v>
      </c>
      <c r="N260" s="19">
        <v>2654</v>
      </c>
      <c r="O260" s="19">
        <v>1567</v>
      </c>
      <c r="P260" s="19">
        <v>1566</v>
      </c>
      <c r="Q260" s="19">
        <v>1865</v>
      </c>
      <c r="R260" s="19">
        <v>1982</v>
      </c>
      <c r="S260" s="19">
        <v>1656</v>
      </c>
      <c r="T260" s="19">
        <v>2227</v>
      </c>
      <c r="U260" s="19">
        <v>1414</v>
      </c>
      <c r="V260" s="19">
        <v>1554</v>
      </c>
      <c r="W260" s="19">
        <v>1655</v>
      </c>
      <c r="X260" s="19">
        <v>1313</v>
      </c>
      <c r="Y260" s="19">
        <v>2124</v>
      </c>
      <c r="Z260" s="19">
        <v>1804</v>
      </c>
      <c r="AA260" s="19">
        <v>1651</v>
      </c>
      <c r="AB260" s="19">
        <v>1732</v>
      </c>
      <c r="AC260" s="19">
        <v>1797</v>
      </c>
      <c r="AD260" s="19">
        <v>1817</v>
      </c>
      <c r="AE260" s="19">
        <f t="shared" si="15"/>
        <v>24563</v>
      </c>
      <c r="AF260" s="19">
        <f t="shared" si="16"/>
        <v>20744</v>
      </c>
      <c r="AG260" s="20">
        <f t="shared" si="17"/>
        <v>2046.9166666666667</v>
      </c>
      <c r="AH260" s="20">
        <f t="shared" si="18"/>
        <v>1728.6666666666667</v>
      </c>
      <c r="AI260" s="21"/>
      <c r="AJ260" s="13"/>
      <c r="AK260" s="13"/>
    </row>
    <row r="261" spans="1:37" x14ac:dyDescent="0.35">
      <c r="A261" s="15" t="str">
        <f>VLOOKUP(B261,'[1]Tabla 1 Arsenal'!$B$11:$K$380,10,FALSE)</f>
        <v>P316</v>
      </c>
      <c r="B261" s="15">
        <v>209113</v>
      </c>
      <c r="C261" s="16" t="s">
        <v>313</v>
      </c>
      <c r="D261" s="16" t="s">
        <v>22</v>
      </c>
      <c r="E261" s="17">
        <v>123760</v>
      </c>
      <c r="F261" s="18" t="s">
        <v>55</v>
      </c>
      <c r="G261" s="19">
        <v>35</v>
      </c>
      <c r="H261" s="19">
        <v>49</v>
      </c>
      <c r="I261" s="19">
        <v>49</v>
      </c>
      <c r="J261" s="19">
        <v>51</v>
      </c>
      <c r="K261" s="19">
        <v>57</v>
      </c>
      <c r="L261" s="19">
        <v>44</v>
      </c>
      <c r="M261" s="19">
        <v>53</v>
      </c>
      <c r="N261" s="19">
        <v>56</v>
      </c>
      <c r="O261" s="19">
        <v>50</v>
      </c>
      <c r="P261" s="19">
        <v>46</v>
      </c>
      <c r="Q261" s="19">
        <v>48</v>
      </c>
      <c r="R261" s="19">
        <v>35</v>
      </c>
      <c r="S261" s="19">
        <v>49</v>
      </c>
      <c r="T261" s="19">
        <v>42</v>
      </c>
      <c r="U261" s="19">
        <v>50</v>
      </c>
      <c r="V261" s="19">
        <v>47</v>
      </c>
      <c r="W261" s="19">
        <v>32</v>
      </c>
      <c r="X261" s="19">
        <v>40</v>
      </c>
      <c r="Y261" s="19">
        <v>54</v>
      </c>
      <c r="Z261" s="19">
        <v>35</v>
      </c>
      <c r="AA261" s="19">
        <v>29</v>
      </c>
      <c r="AB261" s="19">
        <v>51</v>
      </c>
      <c r="AC261" s="19">
        <v>12</v>
      </c>
      <c r="AD261" s="19">
        <v>41</v>
      </c>
      <c r="AE261" s="19">
        <f t="shared" si="15"/>
        <v>573</v>
      </c>
      <c r="AF261" s="19">
        <f t="shared" si="16"/>
        <v>482</v>
      </c>
      <c r="AG261" s="20">
        <f t="shared" si="17"/>
        <v>47.75</v>
      </c>
      <c r="AH261" s="20">
        <f t="shared" si="18"/>
        <v>40.166666666666664</v>
      </c>
      <c r="AI261" s="21"/>
      <c r="AJ261" s="13"/>
      <c r="AK261" s="13"/>
    </row>
    <row r="262" spans="1:37" x14ac:dyDescent="0.35">
      <c r="A262" s="15" t="str">
        <f>VLOOKUP(B262,'[1]Tabla 1 Arsenal'!$B$11:$K$380,10,FALSE)</f>
        <v>P164</v>
      </c>
      <c r="B262" s="15">
        <v>106023</v>
      </c>
      <c r="C262" s="16" t="s">
        <v>314</v>
      </c>
      <c r="D262" s="16" t="s">
        <v>78</v>
      </c>
      <c r="E262" s="17">
        <v>2023</v>
      </c>
      <c r="F262" s="18" t="s">
        <v>23</v>
      </c>
      <c r="G262" s="19">
        <v>1268</v>
      </c>
      <c r="H262" s="19">
        <v>1097</v>
      </c>
      <c r="I262" s="19">
        <v>1306</v>
      </c>
      <c r="J262" s="19">
        <v>831</v>
      </c>
      <c r="K262" s="19">
        <v>1237</v>
      </c>
      <c r="L262" s="19">
        <v>1211</v>
      </c>
      <c r="M262" s="19">
        <v>1329</v>
      </c>
      <c r="N262" s="19">
        <v>1266</v>
      </c>
      <c r="O262" s="19">
        <v>1142</v>
      </c>
      <c r="P262" s="19">
        <v>976</v>
      </c>
      <c r="Q262" s="19">
        <v>1120</v>
      </c>
      <c r="R262" s="19">
        <v>1068</v>
      </c>
      <c r="S262" s="19">
        <v>913</v>
      </c>
      <c r="T262" s="19">
        <v>767</v>
      </c>
      <c r="U262" s="19">
        <v>944</v>
      </c>
      <c r="V262" s="19">
        <v>1060</v>
      </c>
      <c r="W262" s="19">
        <v>993</v>
      </c>
      <c r="X262" s="19">
        <v>914</v>
      </c>
      <c r="Y262" s="19">
        <v>1065</v>
      </c>
      <c r="Z262" s="19">
        <v>1095</v>
      </c>
      <c r="AA262" s="19">
        <v>1016</v>
      </c>
      <c r="AB262" s="19">
        <v>1086</v>
      </c>
      <c r="AC262" s="19">
        <v>827</v>
      </c>
      <c r="AD262" s="19">
        <v>962</v>
      </c>
      <c r="AE262" s="19">
        <f t="shared" ref="AE262:AE325" si="19">SUM(G262:R262)</f>
        <v>13851</v>
      </c>
      <c r="AF262" s="19">
        <f t="shared" ref="AF262:AF325" si="20">SUM(S262:AD262)</f>
        <v>11642</v>
      </c>
      <c r="AG262" s="20">
        <f t="shared" ref="AG262:AG325" si="21">AVERAGE(G262:R262)</f>
        <v>1154.25</v>
      </c>
      <c r="AH262" s="20">
        <f t="shared" si="18"/>
        <v>970.16666666666663</v>
      </c>
      <c r="AI262" s="21"/>
      <c r="AJ262" s="13"/>
      <c r="AK262" s="13"/>
    </row>
    <row r="263" spans="1:37" x14ac:dyDescent="0.35">
      <c r="A263" s="15" t="str">
        <f>VLOOKUP(B263,'[1]Tabla 1 Arsenal'!$B$11:$K$380,10,FALSE)</f>
        <v>P033</v>
      </c>
      <c r="B263" s="15">
        <v>106054</v>
      </c>
      <c r="C263" s="16" t="s">
        <v>315</v>
      </c>
      <c r="D263" s="16" t="s">
        <v>37</v>
      </c>
      <c r="E263" s="17">
        <v>169</v>
      </c>
      <c r="F263" s="18" t="s">
        <v>23</v>
      </c>
      <c r="G263" s="19">
        <v>194</v>
      </c>
      <c r="H263" s="19">
        <v>179</v>
      </c>
      <c r="I263" s="19">
        <v>209</v>
      </c>
      <c r="J263" s="19">
        <v>167</v>
      </c>
      <c r="K263" s="19">
        <v>217</v>
      </c>
      <c r="L263" s="19">
        <v>213</v>
      </c>
      <c r="M263" s="19">
        <v>214</v>
      </c>
      <c r="N263" s="19">
        <v>210</v>
      </c>
      <c r="O263" s="19">
        <v>186</v>
      </c>
      <c r="P263" s="19">
        <v>191</v>
      </c>
      <c r="Q263" s="19">
        <v>205</v>
      </c>
      <c r="R263" s="19">
        <v>275</v>
      </c>
      <c r="S263" s="19">
        <v>180</v>
      </c>
      <c r="T263" s="19">
        <v>172</v>
      </c>
      <c r="U263" s="19">
        <v>153</v>
      </c>
      <c r="V263" s="19">
        <v>211</v>
      </c>
      <c r="W263" s="19">
        <v>193</v>
      </c>
      <c r="X263" s="19">
        <v>188</v>
      </c>
      <c r="Y263" s="19">
        <v>106</v>
      </c>
      <c r="Z263" s="19">
        <v>172</v>
      </c>
      <c r="AA263" s="19">
        <v>202</v>
      </c>
      <c r="AB263" s="19">
        <v>184</v>
      </c>
      <c r="AC263" s="19">
        <v>138</v>
      </c>
      <c r="AD263" s="19">
        <v>152</v>
      </c>
      <c r="AE263" s="19">
        <f t="shared" si="19"/>
        <v>2460</v>
      </c>
      <c r="AF263" s="19">
        <f t="shared" si="20"/>
        <v>2051</v>
      </c>
      <c r="AG263" s="20">
        <f t="shared" si="21"/>
        <v>205</v>
      </c>
      <c r="AH263" s="20">
        <f t="shared" si="18"/>
        <v>170.91666666666666</v>
      </c>
      <c r="AI263" s="21"/>
      <c r="AJ263" s="13"/>
      <c r="AK263" s="13"/>
    </row>
    <row r="264" spans="1:37" x14ac:dyDescent="0.35">
      <c r="A264" s="15" t="str">
        <f>VLOOKUP(B264,'[1]Tabla 1 Arsenal'!$B$11:$K$380,10,FALSE)</f>
        <v>P248</v>
      </c>
      <c r="B264" s="15">
        <v>104033</v>
      </c>
      <c r="C264" s="16" t="s">
        <v>316</v>
      </c>
      <c r="D264" s="16" t="s">
        <v>32</v>
      </c>
      <c r="E264" s="17">
        <v>66</v>
      </c>
      <c r="F264" s="18" t="s">
        <v>23</v>
      </c>
      <c r="G264" s="19">
        <v>132</v>
      </c>
      <c r="H264" s="19">
        <v>242</v>
      </c>
      <c r="I264" s="19">
        <v>144</v>
      </c>
      <c r="J264" s="19">
        <v>198</v>
      </c>
      <c r="K264" s="19">
        <v>274</v>
      </c>
      <c r="L264" s="19">
        <v>42</v>
      </c>
      <c r="M264" s="19">
        <v>178</v>
      </c>
      <c r="N264" s="19">
        <v>134</v>
      </c>
      <c r="O264" s="19">
        <v>140</v>
      </c>
      <c r="P264" s="19">
        <v>204</v>
      </c>
      <c r="Q264" s="19">
        <v>75</v>
      </c>
      <c r="R264" s="19">
        <v>219</v>
      </c>
      <c r="S264" s="19">
        <v>72</v>
      </c>
      <c r="T264" s="19">
        <v>207</v>
      </c>
      <c r="U264" s="19">
        <v>145</v>
      </c>
      <c r="V264" s="19">
        <v>201</v>
      </c>
      <c r="W264" s="19">
        <v>108</v>
      </c>
      <c r="X264" s="19">
        <v>191</v>
      </c>
      <c r="Y264" s="19">
        <v>196</v>
      </c>
      <c r="Z264" s="19">
        <v>138</v>
      </c>
      <c r="AA264" s="19">
        <v>145</v>
      </c>
      <c r="AB264" s="19">
        <v>127</v>
      </c>
      <c r="AC264" s="19">
        <v>54</v>
      </c>
      <c r="AD264" s="19">
        <v>60</v>
      </c>
      <c r="AE264" s="19">
        <f t="shared" si="19"/>
        <v>1982</v>
      </c>
      <c r="AF264" s="19">
        <f t="shared" si="20"/>
        <v>1644</v>
      </c>
      <c r="AG264" s="20">
        <f t="shared" si="21"/>
        <v>165.16666666666666</v>
      </c>
      <c r="AH264" s="20">
        <f t="shared" si="18"/>
        <v>137</v>
      </c>
      <c r="AI264" s="21"/>
      <c r="AJ264" s="13"/>
      <c r="AK264" s="13"/>
    </row>
    <row r="265" spans="1:37" x14ac:dyDescent="0.35">
      <c r="A265" s="15" t="str">
        <f>VLOOKUP(B265,'[1]Tabla 1 Arsenal'!$B$11:$K$380,10,FALSE)</f>
        <v>P279</v>
      </c>
      <c r="B265" s="15">
        <v>104025</v>
      </c>
      <c r="C265" s="16" t="s">
        <v>317</v>
      </c>
      <c r="D265" s="16" t="s">
        <v>32</v>
      </c>
      <c r="E265" s="17">
        <v>8</v>
      </c>
      <c r="F265" s="18" t="s">
        <v>23</v>
      </c>
      <c r="G265" s="19">
        <v>63476</v>
      </c>
      <c r="H265" s="19">
        <v>59661</v>
      </c>
      <c r="I265" s="19">
        <v>173099</v>
      </c>
      <c r="J265" s="19">
        <v>63694</v>
      </c>
      <c r="K265" s="19">
        <v>72213</v>
      </c>
      <c r="L265" s="19">
        <v>67492</v>
      </c>
      <c r="M265" s="19">
        <v>69468</v>
      </c>
      <c r="N265" s="19">
        <v>73521</v>
      </c>
      <c r="O265" s="19">
        <v>61747.3</v>
      </c>
      <c r="P265" s="19">
        <v>64016</v>
      </c>
      <c r="Q265" s="19">
        <v>64875</v>
      </c>
      <c r="R265" s="19">
        <v>59422</v>
      </c>
      <c r="S265" s="19">
        <v>63265</v>
      </c>
      <c r="T265" s="19">
        <v>53353</v>
      </c>
      <c r="U265" s="19">
        <v>60711</v>
      </c>
      <c r="V265" s="19">
        <v>64861</v>
      </c>
      <c r="W265" s="19">
        <v>67770</v>
      </c>
      <c r="X265" s="19">
        <v>57827</v>
      </c>
      <c r="Y265" s="19">
        <v>68454</v>
      </c>
      <c r="Z265" s="19">
        <v>67982</v>
      </c>
      <c r="AA265" s="19">
        <v>50916</v>
      </c>
      <c r="AB265" s="19">
        <v>70010</v>
      </c>
      <c r="AC265" s="19">
        <v>55627</v>
      </c>
      <c r="AD265" s="19">
        <v>59447</v>
      </c>
      <c r="AE265" s="19">
        <f t="shared" si="19"/>
        <v>892684.3</v>
      </c>
      <c r="AF265" s="19">
        <f t="shared" si="20"/>
        <v>740223</v>
      </c>
      <c r="AG265" s="20">
        <f t="shared" si="21"/>
        <v>74390.358333333337</v>
      </c>
      <c r="AH265" s="20">
        <f t="shared" si="18"/>
        <v>61685.25</v>
      </c>
      <c r="AI265" s="21"/>
      <c r="AJ265" s="13"/>
      <c r="AK265" s="13"/>
    </row>
    <row r="266" spans="1:37" x14ac:dyDescent="0.35">
      <c r="A266" s="15" t="str">
        <f>VLOOKUP(B266,'[1]Tabla 1 Arsenal'!$B$11:$K$380,10,FALSE)</f>
        <v>P154</v>
      </c>
      <c r="B266" s="15">
        <v>108006</v>
      </c>
      <c r="C266" s="16" t="s">
        <v>318</v>
      </c>
      <c r="D266" s="16" t="s">
        <v>135</v>
      </c>
      <c r="E266" s="17">
        <v>696</v>
      </c>
      <c r="F266" s="18" t="s">
        <v>23</v>
      </c>
      <c r="G266" s="19">
        <v>147</v>
      </c>
      <c r="H266" s="19">
        <v>68</v>
      </c>
      <c r="I266" s="19">
        <v>106</v>
      </c>
      <c r="J266" s="19">
        <v>132</v>
      </c>
      <c r="K266" s="19">
        <v>80</v>
      </c>
      <c r="L266" s="19">
        <v>123</v>
      </c>
      <c r="M266" s="19">
        <v>162</v>
      </c>
      <c r="N266" s="19">
        <v>161</v>
      </c>
      <c r="O266" s="19">
        <v>111</v>
      </c>
      <c r="P266" s="19">
        <v>95</v>
      </c>
      <c r="Q266" s="19">
        <v>60</v>
      </c>
      <c r="R266" s="19">
        <v>40</v>
      </c>
      <c r="S266" s="19">
        <v>41</v>
      </c>
      <c r="T266" s="19">
        <v>75</v>
      </c>
      <c r="U266" s="19">
        <v>107</v>
      </c>
      <c r="V266" s="19">
        <v>116</v>
      </c>
      <c r="W266" s="19">
        <v>120</v>
      </c>
      <c r="X266" s="19">
        <v>40</v>
      </c>
      <c r="Y266" s="19">
        <v>90</v>
      </c>
      <c r="Z266" s="19">
        <v>160</v>
      </c>
      <c r="AA266" s="19">
        <v>61</v>
      </c>
      <c r="AB266" s="19">
        <v>168</v>
      </c>
      <c r="AC266" s="19">
        <v>55</v>
      </c>
      <c r="AD266" s="19">
        <v>32</v>
      </c>
      <c r="AE266" s="19">
        <f t="shared" si="19"/>
        <v>1285</v>
      </c>
      <c r="AF266" s="19">
        <f t="shared" si="20"/>
        <v>1065</v>
      </c>
      <c r="AG266" s="20">
        <f t="shared" si="21"/>
        <v>107.08333333333333</v>
      </c>
      <c r="AH266" s="20">
        <f t="shared" si="18"/>
        <v>88.75</v>
      </c>
      <c r="AI266" s="21"/>
      <c r="AJ266" s="13"/>
      <c r="AK266" s="13"/>
    </row>
    <row r="267" spans="1:37" x14ac:dyDescent="0.35">
      <c r="A267" s="15" t="str">
        <f>VLOOKUP(B267,'[1]Tabla 1 Arsenal'!$B$11:$K$380,10,FALSE)</f>
        <v>P253</v>
      </c>
      <c r="B267" s="15">
        <v>106078</v>
      </c>
      <c r="C267" s="16" t="s">
        <v>319</v>
      </c>
      <c r="D267" s="16" t="s">
        <v>37</v>
      </c>
      <c r="E267" s="17">
        <v>559</v>
      </c>
      <c r="F267" s="18" t="s">
        <v>23</v>
      </c>
      <c r="G267" s="19">
        <v>215</v>
      </c>
      <c r="H267" s="19">
        <v>285</v>
      </c>
      <c r="I267" s="19">
        <v>169</v>
      </c>
      <c r="J267" s="19">
        <v>294</v>
      </c>
      <c r="K267" s="19">
        <v>120</v>
      </c>
      <c r="L267" s="19">
        <v>256</v>
      </c>
      <c r="M267" s="19">
        <v>524</v>
      </c>
      <c r="N267" s="19">
        <v>419</v>
      </c>
      <c r="O267" s="19">
        <v>149</v>
      </c>
      <c r="P267" s="19">
        <v>152</v>
      </c>
      <c r="Q267" s="19">
        <v>292</v>
      </c>
      <c r="R267" s="19">
        <v>129</v>
      </c>
      <c r="S267" s="19">
        <v>176</v>
      </c>
      <c r="T267" s="19">
        <v>151</v>
      </c>
      <c r="U267" s="19">
        <v>141</v>
      </c>
      <c r="V267" s="19">
        <v>187</v>
      </c>
      <c r="W267" s="19">
        <v>150</v>
      </c>
      <c r="X267" s="19">
        <v>153</v>
      </c>
      <c r="Y267" s="19">
        <v>199</v>
      </c>
      <c r="Z267" s="19">
        <v>360</v>
      </c>
      <c r="AA267" s="19">
        <v>255</v>
      </c>
      <c r="AB267" s="19">
        <v>436</v>
      </c>
      <c r="AC267" s="19">
        <v>0</v>
      </c>
      <c r="AD267" s="19">
        <v>280</v>
      </c>
      <c r="AE267" s="19">
        <f t="shared" si="19"/>
        <v>3004</v>
      </c>
      <c r="AF267" s="19">
        <f t="shared" si="20"/>
        <v>2488</v>
      </c>
      <c r="AG267" s="20">
        <f t="shared" si="21"/>
        <v>250.33333333333334</v>
      </c>
      <c r="AH267" s="20">
        <f t="shared" si="18"/>
        <v>207.33333333333334</v>
      </c>
      <c r="AI267" s="21"/>
      <c r="AJ267" s="13"/>
      <c r="AK267" s="13"/>
    </row>
    <row r="268" spans="1:37" x14ac:dyDescent="0.35">
      <c r="A268" s="15" t="str">
        <f>VLOOKUP(B268,'[1]Tabla 1 Arsenal'!$B$11:$K$380,10,FALSE)</f>
        <v>P038</v>
      </c>
      <c r="B268" s="15">
        <v>106068</v>
      </c>
      <c r="C268" s="16" t="s">
        <v>320</v>
      </c>
      <c r="D268" s="16" t="s">
        <v>37</v>
      </c>
      <c r="E268" s="17">
        <v>2440</v>
      </c>
      <c r="F268" s="18" t="s">
        <v>23</v>
      </c>
      <c r="G268" s="19">
        <v>14</v>
      </c>
      <c r="H268" s="19">
        <v>6</v>
      </c>
      <c r="I268" s="19">
        <v>12</v>
      </c>
      <c r="J268" s="19">
        <v>11</v>
      </c>
      <c r="K268" s="19">
        <v>4</v>
      </c>
      <c r="L268" s="19">
        <v>16</v>
      </c>
      <c r="M268" s="19">
        <v>10</v>
      </c>
      <c r="N268" s="19">
        <v>8</v>
      </c>
      <c r="O268" s="19">
        <v>16</v>
      </c>
      <c r="P268" s="19">
        <v>7</v>
      </c>
      <c r="Q268" s="19">
        <v>8</v>
      </c>
      <c r="R268" s="19">
        <v>3</v>
      </c>
      <c r="S268" s="19">
        <v>14</v>
      </c>
      <c r="T268" s="19">
        <v>2</v>
      </c>
      <c r="U268" s="19">
        <v>5</v>
      </c>
      <c r="V268" s="19">
        <v>6</v>
      </c>
      <c r="W268" s="19">
        <v>6</v>
      </c>
      <c r="X268" s="19">
        <v>3</v>
      </c>
      <c r="Y268" s="19">
        <v>20</v>
      </c>
      <c r="Z268" s="19">
        <v>11</v>
      </c>
      <c r="AA268" s="19">
        <v>7</v>
      </c>
      <c r="AB268" s="19">
        <v>7</v>
      </c>
      <c r="AC268" s="19">
        <v>4</v>
      </c>
      <c r="AD268" s="19">
        <v>10</v>
      </c>
      <c r="AE268" s="19">
        <f t="shared" si="19"/>
        <v>115</v>
      </c>
      <c r="AF268" s="19">
        <f t="shared" si="20"/>
        <v>95</v>
      </c>
      <c r="AG268" s="20">
        <f t="shared" si="21"/>
        <v>9.5833333333333339</v>
      </c>
      <c r="AH268" s="20">
        <f t="shared" si="18"/>
        <v>7.916666666666667</v>
      </c>
      <c r="AI268" s="21"/>
      <c r="AJ268" s="13"/>
      <c r="AK268" s="13"/>
    </row>
    <row r="269" spans="1:37" x14ac:dyDescent="0.35">
      <c r="A269" s="15" t="str">
        <f>VLOOKUP(B269,'[1]Tabla 1 Arsenal'!$B$11:$K$380,10,FALSE)</f>
        <v>P159</v>
      </c>
      <c r="B269" s="15">
        <v>104017</v>
      </c>
      <c r="C269" s="16" t="s">
        <v>321</v>
      </c>
      <c r="D269" s="16" t="s">
        <v>32</v>
      </c>
      <c r="E269" s="17">
        <v>84</v>
      </c>
      <c r="F269" s="18" t="s">
        <v>23</v>
      </c>
      <c r="G269" s="19">
        <v>324</v>
      </c>
      <c r="H269" s="19">
        <v>154</v>
      </c>
      <c r="I269" s="19">
        <v>155</v>
      </c>
      <c r="J269" s="19">
        <v>190</v>
      </c>
      <c r="K269" s="19">
        <v>106</v>
      </c>
      <c r="L269" s="19">
        <v>85</v>
      </c>
      <c r="M269" s="19">
        <v>161</v>
      </c>
      <c r="N269" s="19">
        <v>244</v>
      </c>
      <c r="O269" s="19">
        <v>144</v>
      </c>
      <c r="P269" s="19">
        <v>113</v>
      </c>
      <c r="Q269" s="19">
        <v>198</v>
      </c>
      <c r="R269" s="19">
        <v>0</v>
      </c>
      <c r="S269" s="19">
        <v>98</v>
      </c>
      <c r="T269" s="19">
        <v>61</v>
      </c>
      <c r="U269" s="19">
        <v>18</v>
      </c>
      <c r="V269" s="19">
        <v>49</v>
      </c>
      <c r="W269" s="19">
        <v>118</v>
      </c>
      <c r="X269" s="19">
        <v>146</v>
      </c>
      <c r="Y269" s="19">
        <v>97</v>
      </c>
      <c r="Z269" s="19">
        <v>156</v>
      </c>
      <c r="AA269" s="19">
        <v>113</v>
      </c>
      <c r="AB269" s="19">
        <v>233</v>
      </c>
      <c r="AC269" s="19">
        <v>205</v>
      </c>
      <c r="AD269" s="19">
        <v>254</v>
      </c>
      <c r="AE269" s="19">
        <f t="shared" si="19"/>
        <v>1874</v>
      </c>
      <c r="AF269" s="19">
        <f t="shared" si="20"/>
        <v>1548</v>
      </c>
      <c r="AG269" s="20">
        <f t="shared" si="21"/>
        <v>156.16666666666666</v>
      </c>
      <c r="AH269" s="20">
        <f t="shared" si="18"/>
        <v>129</v>
      </c>
      <c r="AI269" s="21"/>
      <c r="AJ269" s="13"/>
      <c r="AK269" s="13"/>
    </row>
    <row r="270" spans="1:37" x14ac:dyDescent="0.35">
      <c r="A270" s="15" t="str">
        <f>VLOOKUP(B270,'[1]Tabla 1 Arsenal'!$B$11:$K$380,10,FALSE)</f>
        <v>P202</v>
      </c>
      <c r="B270" s="15">
        <v>106030</v>
      </c>
      <c r="C270" s="16" t="s">
        <v>322</v>
      </c>
      <c r="D270" s="16" t="s">
        <v>37</v>
      </c>
      <c r="E270" s="17">
        <v>250</v>
      </c>
      <c r="F270" s="18" t="s">
        <v>23</v>
      </c>
      <c r="G270" s="19">
        <v>663</v>
      </c>
      <c r="H270" s="19">
        <v>1117</v>
      </c>
      <c r="I270" s="19">
        <v>936</v>
      </c>
      <c r="J270" s="19">
        <v>1022</v>
      </c>
      <c r="K270" s="19">
        <v>849</v>
      </c>
      <c r="L270" s="19">
        <v>951</v>
      </c>
      <c r="M270" s="19">
        <v>910</v>
      </c>
      <c r="N270" s="19">
        <v>954</v>
      </c>
      <c r="O270" s="19">
        <v>971</v>
      </c>
      <c r="P270" s="19">
        <v>385</v>
      </c>
      <c r="Q270" s="19">
        <v>572</v>
      </c>
      <c r="R270" s="19">
        <v>910</v>
      </c>
      <c r="S270" s="19">
        <v>877</v>
      </c>
      <c r="T270" s="19">
        <v>451</v>
      </c>
      <c r="U270" s="19">
        <v>438</v>
      </c>
      <c r="V270" s="19">
        <v>783</v>
      </c>
      <c r="W270" s="19">
        <v>728</v>
      </c>
      <c r="X270" s="19">
        <v>720</v>
      </c>
      <c r="Y270" s="19">
        <v>821</v>
      </c>
      <c r="Z270" s="19">
        <v>684</v>
      </c>
      <c r="AA270" s="19">
        <v>579</v>
      </c>
      <c r="AB270" s="19">
        <v>812</v>
      </c>
      <c r="AC270" s="19">
        <v>737</v>
      </c>
      <c r="AD270" s="19">
        <v>810</v>
      </c>
      <c r="AE270" s="19">
        <f t="shared" si="19"/>
        <v>10240</v>
      </c>
      <c r="AF270" s="19">
        <f t="shared" si="20"/>
        <v>8440</v>
      </c>
      <c r="AG270" s="20">
        <f t="shared" si="21"/>
        <v>853.33333333333337</v>
      </c>
      <c r="AH270" s="20">
        <f t="shared" si="18"/>
        <v>703.33333333333337</v>
      </c>
      <c r="AI270" s="21"/>
      <c r="AJ270" s="13"/>
      <c r="AK270" s="13"/>
    </row>
    <row r="271" spans="1:37" x14ac:dyDescent="0.35">
      <c r="A271" s="15" t="str">
        <f>VLOOKUP(B271,'[1]Tabla 1 Arsenal'!$B$11:$K$380,10,FALSE)</f>
        <v>P177</v>
      </c>
      <c r="B271" s="15">
        <v>106056</v>
      </c>
      <c r="C271" s="16" t="s">
        <v>323</v>
      </c>
      <c r="D271" s="16" t="s">
        <v>22</v>
      </c>
      <c r="E271" s="17">
        <v>4986</v>
      </c>
      <c r="F271" s="18" t="s">
        <v>23</v>
      </c>
      <c r="G271" s="19">
        <v>11</v>
      </c>
      <c r="H271" s="19">
        <v>4</v>
      </c>
      <c r="I271" s="19">
        <v>9</v>
      </c>
      <c r="J271" s="19">
        <v>8</v>
      </c>
      <c r="K271" s="19">
        <v>5</v>
      </c>
      <c r="L271" s="19">
        <v>7</v>
      </c>
      <c r="M271" s="19">
        <v>8</v>
      </c>
      <c r="N271" s="19">
        <v>7</v>
      </c>
      <c r="O271" s="19">
        <v>6</v>
      </c>
      <c r="P271" s="19">
        <v>8</v>
      </c>
      <c r="Q271" s="19">
        <v>3</v>
      </c>
      <c r="R271" s="19">
        <v>3</v>
      </c>
      <c r="S271" s="19">
        <v>5</v>
      </c>
      <c r="T271" s="19">
        <v>5</v>
      </c>
      <c r="U271" s="19">
        <v>5</v>
      </c>
      <c r="V271" s="19">
        <v>5</v>
      </c>
      <c r="W271" s="19">
        <v>3</v>
      </c>
      <c r="X271" s="19">
        <v>8</v>
      </c>
      <c r="Y271" s="19">
        <v>6</v>
      </c>
      <c r="Z271" s="19">
        <v>12</v>
      </c>
      <c r="AA271" s="19">
        <v>8</v>
      </c>
      <c r="AB271" s="19">
        <v>6</v>
      </c>
      <c r="AC271" s="19">
        <v>0</v>
      </c>
      <c r="AD271" s="19">
        <v>2</v>
      </c>
      <c r="AE271" s="19">
        <f t="shared" si="19"/>
        <v>79</v>
      </c>
      <c r="AF271" s="19">
        <f t="shared" si="20"/>
        <v>65</v>
      </c>
      <c r="AG271" s="20">
        <f t="shared" si="21"/>
        <v>6.583333333333333</v>
      </c>
      <c r="AH271" s="20">
        <f t="shared" si="18"/>
        <v>5.416666666666667</v>
      </c>
      <c r="AI271" s="21"/>
      <c r="AJ271" s="13"/>
      <c r="AK271" s="13"/>
    </row>
    <row r="272" spans="1:37" x14ac:dyDescent="0.35">
      <c r="A272" s="15" t="str">
        <f>VLOOKUP(B272,'[1]Tabla 1 Arsenal'!$B$11:$K$380,10,FALSE)</f>
        <v>P354</v>
      </c>
      <c r="B272" s="15">
        <v>106044</v>
      </c>
      <c r="C272" s="16" t="s">
        <v>324</v>
      </c>
      <c r="D272" s="16" t="s">
        <v>37</v>
      </c>
      <c r="E272" s="17">
        <v>117</v>
      </c>
      <c r="F272" s="18" t="s">
        <v>23</v>
      </c>
      <c r="G272" s="19">
        <v>102</v>
      </c>
      <c r="H272" s="19">
        <v>105</v>
      </c>
      <c r="I272" s="19">
        <v>190</v>
      </c>
      <c r="J272" s="19">
        <v>44</v>
      </c>
      <c r="K272" s="19">
        <v>122</v>
      </c>
      <c r="L272" s="19">
        <v>114</v>
      </c>
      <c r="M272" s="19">
        <v>66</v>
      </c>
      <c r="N272" s="19">
        <v>99</v>
      </c>
      <c r="O272" s="19">
        <v>62</v>
      </c>
      <c r="P272" s="19">
        <v>133</v>
      </c>
      <c r="Q272" s="19">
        <v>76</v>
      </c>
      <c r="R272" s="19">
        <v>173</v>
      </c>
      <c r="S272" s="19">
        <v>155</v>
      </c>
      <c r="T272" s="19">
        <v>186</v>
      </c>
      <c r="U272" s="19">
        <v>56</v>
      </c>
      <c r="V272" s="19">
        <v>160</v>
      </c>
      <c r="W272" s="19">
        <v>96</v>
      </c>
      <c r="X272" s="19">
        <v>20</v>
      </c>
      <c r="Y272" s="19">
        <v>93</v>
      </c>
      <c r="Z272" s="19">
        <v>38</v>
      </c>
      <c r="AA272" s="19">
        <v>58</v>
      </c>
      <c r="AB272" s="19">
        <v>95</v>
      </c>
      <c r="AC272" s="19">
        <v>74</v>
      </c>
      <c r="AD272" s="19">
        <v>27</v>
      </c>
      <c r="AE272" s="19">
        <f t="shared" si="19"/>
        <v>1286</v>
      </c>
      <c r="AF272" s="19">
        <f t="shared" si="20"/>
        <v>1058</v>
      </c>
      <c r="AG272" s="20">
        <f t="shared" si="21"/>
        <v>107.16666666666667</v>
      </c>
      <c r="AH272" s="20">
        <f t="shared" si="18"/>
        <v>88.166666666666671</v>
      </c>
      <c r="AI272" s="21"/>
      <c r="AJ272" s="13"/>
      <c r="AK272" s="13"/>
    </row>
    <row r="273" spans="1:37" x14ac:dyDescent="0.35">
      <c r="A273" s="15" t="str">
        <f>VLOOKUP(B273,'[1]Tabla 1 Arsenal'!$B$11:$K$380,10,FALSE)</f>
        <v>P352</v>
      </c>
      <c r="B273" s="15">
        <v>209103</v>
      </c>
      <c r="C273" s="16" t="s">
        <v>325</v>
      </c>
      <c r="D273" s="16" t="s">
        <v>22</v>
      </c>
      <c r="E273" s="17">
        <v>222530</v>
      </c>
      <c r="F273" s="18" t="s">
        <v>55</v>
      </c>
      <c r="G273" s="19">
        <v>0</v>
      </c>
      <c r="H273" s="19">
        <v>0</v>
      </c>
      <c r="I273" s="19">
        <v>4</v>
      </c>
      <c r="J273" s="19">
        <v>12</v>
      </c>
      <c r="K273" s="19">
        <v>6</v>
      </c>
      <c r="L273" s="19">
        <v>4</v>
      </c>
      <c r="M273" s="19">
        <v>4</v>
      </c>
      <c r="N273" s="19">
        <v>4</v>
      </c>
      <c r="O273" s="19">
        <v>4</v>
      </c>
      <c r="P273" s="19">
        <v>8</v>
      </c>
      <c r="Q273" s="19">
        <v>8</v>
      </c>
      <c r="R273" s="19">
        <v>13</v>
      </c>
      <c r="S273" s="19">
        <v>5</v>
      </c>
      <c r="T273" s="19">
        <v>12</v>
      </c>
      <c r="U273" s="19">
        <v>8</v>
      </c>
      <c r="V273" s="19">
        <v>4</v>
      </c>
      <c r="W273" s="19">
        <v>0</v>
      </c>
      <c r="X273" s="19">
        <v>0</v>
      </c>
      <c r="Y273" s="19">
        <v>17</v>
      </c>
      <c r="Z273" s="19">
        <v>1</v>
      </c>
      <c r="AA273" s="19">
        <v>4</v>
      </c>
      <c r="AB273" s="19">
        <v>4</v>
      </c>
      <c r="AC273" s="19">
        <v>0</v>
      </c>
      <c r="AD273" s="19">
        <v>0</v>
      </c>
      <c r="AE273" s="19">
        <f t="shared" si="19"/>
        <v>67</v>
      </c>
      <c r="AF273" s="19">
        <f t="shared" si="20"/>
        <v>55</v>
      </c>
      <c r="AG273" s="20">
        <f t="shared" si="21"/>
        <v>5.583333333333333</v>
      </c>
      <c r="AH273" s="20">
        <f t="shared" si="18"/>
        <v>4.583333333333333</v>
      </c>
      <c r="AI273" s="21"/>
      <c r="AJ273" s="13"/>
      <c r="AK273" s="13"/>
    </row>
    <row r="274" spans="1:37" x14ac:dyDescent="0.35">
      <c r="A274" s="15" t="str">
        <f>VLOOKUP(B274,'[1]Tabla 1 Arsenal'!$B$11:$K$380,10,FALSE)</f>
        <v>P227</v>
      </c>
      <c r="B274" s="15">
        <v>106033</v>
      </c>
      <c r="C274" s="16" t="s">
        <v>326</v>
      </c>
      <c r="D274" s="16" t="s">
        <v>37</v>
      </c>
      <c r="E274" s="17">
        <v>65</v>
      </c>
      <c r="F274" s="18" t="s">
        <v>23</v>
      </c>
      <c r="G274" s="19">
        <v>1491</v>
      </c>
      <c r="H274" s="19">
        <v>951</v>
      </c>
      <c r="I274" s="19">
        <v>812</v>
      </c>
      <c r="J274" s="19">
        <v>942</v>
      </c>
      <c r="K274" s="19">
        <v>1122</v>
      </c>
      <c r="L274" s="19">
        <v>1571</v>
      </c>
      <c r="M274" s="19">
        <v>1519</v>
      </c>
      <c r="N274" s="19">
        <v>1860</v>
      </c>
      <c r="O274" s="19">
        <v>1850</v>
      </c>
      <c r="P274" s="19">
        <v>1122</v>
      </c>
      <c r="Q274" s="19">
        <v>1049</v>
      </c>
      <c r="R274" s="19">
        <v>838</v>
      </c>
      <c r="S274" s="19">
        <v>1222</v>
      </c>
      <c r="T274" s="19">
        <v>1235</v>
      </c>
      <c r="U274" s="19">
        <v>1242</v>
      </c>
      <c r="V274" s="19">
        <v>1130</v>
      </c>
      <c r="W274" s="19">
        <v>1111</v>
      </c>
      <c r="X274" s="19">
        <v>536</v>
      </c>
      <c r="Y274" s="19">
        <v>923</v>
      </c>
      <c r="Z274" s="19">
        <v>785</v>
      </c>
      <c r="AA274" s="19">
        <v>867</v>
      </c>
      <c r="AB274" s="19">
        <v>1225</v>
      </c>
      <c r="AC274" s="19">
        <v>740</v>
      </c>
      <c r="AD274" s="19">
        <v>1270</v>
      </c>
      <c r="AE274" s="19">
        <f t="shared" si="19"/>
        <v>15127</v>
      </c>
      <c r="AF274" s="19">
        <f t="shared" si="20"/>
        <v>12286</v>
      </c>
      <c r="AG274" s="20">
        <f t="shared" si="21"/>
        <v>1260.5833333333333</v>
      </c>
      <c r="AH274" s="20">
        <f t="shared" si="18"/>
        <v>1023.8333333333334</v>
      </c>
      <c r="AI274" s="21"/>
      <c r="AJ274" s="13"/>
      <c r="AK274" s="13"/>
    </row>
    <row r="275" spans="1:37" x14ac:dyDescent="0.35">
      <c r="A275" s="15" t="str">
        <f>VLOOKUP(B275,'[1]Tabla 1 Arsenal'!$B$11:$K$380,10,FALSE)</f>
        <v>P257</v>
      </c>
      <c r="B275" s="15">
        <v>102147</v>
      </c>
      <c r="C275" s="16" t="s">
        <v>327</v>
      </c>
      <c r="D275" s="16" t="s">
        <v>39</v>
      </c>
      <c r="E275" s="17">
        <v>57477</v>
      </c>
      <c r="F275" s="18" t="s">
        <v>23</v>
      </c>
      <c r="G275" s="19">
        <v>2</v>
      </c>
      <c r="H275" s="19">
        <v>27</v>
      </c>
      <c r="I275" s="19">
        <v>21</v>
      </c>
      <c r="J275" s="19">
        <v>11</v>
      </c>
      <c r="K275" s="19">
        <v>30</v>
      </c>
      <c r="L275" s="19">
        <v>56</v>
      </c>
      <c r="M275" s="19">
        <v>24</v>
      </c>
      <c r="N275" s="19">
        <v>4</v>
      </c>
      <c r="O275" s="19">
        <v>12</v>
      </c>
      <c r="P275" s="19">
        <v>43</v>
      </c>
      <c r="Q275" s="19">
        <v>58</v>
      </c>
      <c r="R275" s="19">
        <v>4</v>
      </c>
      <c r="S275" s="19">
        <v>24</v>
      </c>
      <c r="T275" s="19">
        <v>29</v>
      </c>
      <c r="U275" s="19">
        <v>26</v>
      </c>
      <c r="V275" s="19">
        <v>50</v>
      </c>
      <c r="W275" s="19">
        <v>8</v>
      </c>
      <c r="X275" s="19">
        <v>15</v>
      </c>
      <c r="Y275" s="19">
        <v>10</v>
      </c>
      <c r="Z275" s="19">
        <v>20</v>
      </c>
      <c r="AA275" s="19">
        <v>8</v>
      </c>
      <c r="AB275" s="19">
        <v>21</v>
      </c>
      <c r="AC275" s="19">
        <v>1</v>
      </c>
      <c r="AD275" s="19">
        <v>25</v>
      </c>
      <c r="AE275" s="19">
        <f t="shared" si="19"/>
        <v>292</v>
      </c>
      <c r="AF275" s="19">
        <f t="shared" si="20"/>
        <v>237</v>
      </c>
      <c r="AG275" s="20">
        <f t="shared" si="21"/>
        <v>24.333333333333332</v>
      </c>
      <c r="AH275" s="20">
        <f t="shared" si="18"/>
        <v>19.75</v>
      </c>
      <c r="AI275" s="21"/>
      <c r="AJ275" s="13"/>
      <c r="AK275" s="13"/>
    </row>
    <row r="276" spans="1:37" x14ac:dyDescent="0.35">
      <c r="A276" s="15" t="str">
        <f>VLOOKUP(B276,'[1]Tabla 1 Arsenal'!$B$11:$K$380,10,FALSE)</f>
        <v>P185</v>
      </c>
      <c r="B276" s="15">
        <v>103034</v>
      </c>
      <c r="C276" s="16" t="s">
        <v>328</v>
      </c>
      <c r="D276" s="16" t="s">
        <v>37</v>
      </c>
      <c r="E276" s="17">
        <v>207</v>
      </c>
      <c r="F276" s="18" t="s">
        <v>23</v>
      </c>
      <c r="G276" s="19">
        <v>307</v>
      </c>
      <c r="H276" s="19">
        <v>217</v>
      </c>
      <c r="I276" s="19">
        <v>365</v>
      </c>
      <c r="J276" s="19">
        <v>377</v>
      </c>
      <c r="K276" s="19">
        <v>294</v>
      </c>
      <c r="L276" s="19">
        <v>357</v>
      </c>
      <c r="M276" s="19">
        <v>240</v>
      </c>
      <c r="N276" s="19">
        <v>309</v>
      </c>
      <c r="O276" s="19">
        <v>247</v>
      </c>
      <c r="P276" s="19">
        <v>320</v>
      </c>
      <c r="Q276" s="19">
        <v>320</v>
      </c>
      <c r="R276" s="19">
        <v>350</v>
      </c>
      <c r="S276" s="19">
        <v>349</v>
      </c>
      <c r="T276" s="19">
        <v>217</v>
      </c>
      <c r="U276" s="19">
        <v>196</v>
      </c>
      <c r="V276" s="19">
        <v>243</v>
      </c>
      <c r="W276" s="19">
        <v>215</v>
      </c>
      <c r="X276" s="19">
        <v>275</v>
      </c>
      <c r="Y276" s="19">
        <v>304</v>
      </c>
      <c r="Z276" s="19">
        <v>217</v>
      </c>
      <c r="AA276" s="19">
        <v>224</v>
      </c>
      <c r="AB276" s="19">
        <v>286</v>
      </c>
      <c r="AC276" s="19">
        <v>191</v>
      </c>
      <c r="AD276" s="19">
        <v>276</v>
      </c>
      <c r="AE276" s="19">
        <f t="shared" si="19"/>
        <v>3703</v>
      </c>
      <c r="AF276" s="19">
        <f t="shared" si="20"/>
        <v>2993</v>
      </c>
      <c r="AG276" s="20">
        <f t="shared" si="21"/>
        <v>308.58333333333331</v>
      </c>
      <c r="AH276" s="20">
        <f t="shared" si="18"/>
        <v>249.41666666666666</v>
      </c>
      <c r="AI276" s="21"/>
      <c r="AJ276" s="13"/>
      <c r="AK276" s="13"/>
    </row>
    <row r="277" spans="1:37" x14ac:dyDescent="0.35">
      <c r="A277" s="15" t="str">
        <f>VLOOKUP(B277,'[1]Tabla 1 Arsenal'!$B$11:$K$380,10,FALSE)</f>
        <v>P142</v>
      </c>
      <c r="B277" s="15">
        <v>104016</v>
      </c>
      <c r="C277" s="16" t="s">
        <v>329</v>
      </c>
      <c r="D277" s="16" t="s">
        <v>32</v>
      </c>
      <c r="E277" s="17">
        <v>14</v>
      </c>
      <c r="F277" s="18" t="s">
        <v>23</v>
      </c>
      <c r="G277" s="19">
        <v>992</v>
      </c>
      <c r="H277" s="19">
        <v>784</v>
      </c>
      <c r="I277" s="19">
        <v>1116</v>
      </c>
      <c r="J277" s="19">
        <v>800</v>
      </c>
      <c r="K277" s="19">
        <v>809</v>
      </c>
      <c r="L277" s="19">
        <v>635</v>
      </c>
      <c r="M277" s="19">
        <v>349</v>
      </c>
      <c r="N277" s="19">
        <v>832</v>
      </c>
      <c r="O277" s="19">
        <v>342</v>
      </c>
      <c r="P277" s="19">
        <v>732</v>
      </c>
      <c r="Q277" s="19">
        <v>638</v>
      </c>
      <c r="R277" s="19">
        <v>755</v>
      </c>
      <c r="S277" s="19">
        <v>691</v>
      </c>
      <c r="T277" s="19">
        <v>438</v>
      </c>
      <c r="U277" s="19">
        <v>398</v>
      </c>
      <c r="V277" s="19">
        <v>492</v>
      </c>
      <c r="W277" s="19">
        <v>475</v>
      </c>
      <c r="X277" s="19">
        <v>694</v>
      </c>
      <c r="Y277" s="19">
        <v>379</v>
      </c>
      <c r="Z277" s="19">
        <v>1044</v>
      </c>
      <c r="AA277" s="19">
        <v>551</v>
      </c>
      <c r="AB277" s="19">
        <v>636</v>
      </c>
      <c r="AC277" s="19">
        <v>676</v>
      </c>
      <c r="AD277" s="19">
        <v>622</v>
      </c>
      <c r="AE277" s="19">
        <f t="shared" si="19"/>
        <v>8784</v>
      </c>
      <c r="AF277" s="19">
        <f t="shared" si="20"/>
        <v>7096</v>
      </c>
      <c r="AG277" s="20">
        <f t="shared" si="21"/>
        <v>732</v>
      </c>
      <c r="AH277" s="20">
        <f t="shared" si="18"/>
        <v>591.33333333333337</v>
      </c>
      <c r="AI277" s="21"/>
      <c r="AJ277" s="13"/>
      <c r="AK277" s="13"/>
    </row>
    <row r="278" spans="1:37" x14ac:dyDescent="0.35">
      <c r="A278" s="15" t="str">
        <f>VLOOKUP(B278,'[1]Tabla 1 Arsenal'!$B$11:$K$380,10,FALSE)</f>
        <v>P048</v>
      </c>
      <c r="B278" s="15">
        <v>106007</v>
      </c>
      <c r="C278" s="16" t="s">
        <v>330</v>
      </c>
      <c r="D278" s="16" t="s">
        <v>37</v>
      </c>
      <c r="E278" s="17">
        <v>1035</v>
      </c>
      <c r="F278" s="18" t="s">
        <v>23</v>
      </c>
      <c r="G278" s="19">
        <v>13</v>
      </c>
      <c r="H278" s="19">
        <v>34</v>
      </c>
      <c r="I278" s="19">
        <v>25</v>
      </c>
      <c r="J278" s="19">
        <v>25</v>
      </c>
      <c r="K278" s="19">
        <v>33</v>
      </c>
      <c r="L278" s="19">
        <v>34</v>
      </c>
      <c r="M278" s="19">
        <v>23</v>
      </c>
      <c r="N278" s="19">
        <v>37</v>
      </c>
      <c r="O278" s="19">
        <v>16</v>
      </c>
      <c r="P278" s="19">
        <v>19</v>
      </c>
      <c r="Q278" s="19">
        <v>22</v>
      </c>
      <c r="R278" s="19">
        <v>46</v>
      </c>
      <c r="S278" s="19">
        <v>34</v>
      </c>
      <c r="T278" s="19">
        <v>27</v>
      </c>
      <c r="U278" s="19">
        <v>17</v>
      </c>
      <c r="V278" s="19">
        <v>8</v>
      </c>
      <c r="W278" s="19">
        <v>36</v>
      </c>
      <c r="X278" s="19">
        <v>24</v>
      </c>
      <c r="Y278" s="19">
        <v>20</v>
      </c>
      <c r="Z278" s="19">
        <v>21</v>
      </c>
      <c r="AA278" s="19">
        <v>27</v>
      </c>
      <c r="AB278" s="19">
        <v>22</v>
      </c>
      <c r="AC278" s="19">
        <v>12</v>
      </c>
      <c r="AD278" s="19">
        <v>16</v>
      </c>
      <c r="AE278" s="19">
        <f t="shared" si="19"/>
        <v>327</v>
      </c>
      <c r="AF278" s="19">
        <f t="shared" si="20"/>
        <v>264</v>
      </c>
      <c r="AG278" s="20">
        <f t="shared" si="21"/>
        <v>27.25</v>
      </c>
      <c r="AH278" s="20">
        <f t="shared" si="18"/>
        <v>22</v>
      </c>
      <c r="AI278" s="21"/>
      <c r="AJ278" s="13"/>
      <c r="AK278" s="13"/>
    </row>
    <row r="279" spans="1:37" x14ac:dyDescent="0.35">
      <c r="A279" s="15" t="str">
        <f>VLOOKUP(B279,'[1]Tabla 1 Arsenal'!$B$11:$K$380,10,FALSE)</f>
        <v>P128</v>
      </c>
      <c r="B279" s="15">
        <v>102034</v>
      </c>
      <c r="C279" s="16" t="s">
        <v>331</v>
      </c>
      <c r="D279" s="16" t="s">
        <v>37</v>
      </c>
      <c r="E279" s="17">
        <v>226</v>
      </c>
      <c r="F279" s="18" t="s">
        <v>23</v>
      </c>
      <c r="G279" s="19">
        <v>450</v>
      </c>
      <c r="H279" s="19">
        <v>368</v>
      </c>
      <c r="I279" s="19">
        <v>415</v>
      </c>
      <c r="J279" s="19">
        <v>404</v>
      </c>
      <c r="K279" s="19">
        <v>287</v>
      </c>
      <c r="L279" s="19">
        <v>294</v>
      </c>
      <c r="M279" s="19">
        <v>782</v>
      </c>
      <c r="N279" s="19">
        <v>712</v>
      </c>
      <c r="O279" s="19">
        <v>252</v>
      </c>
      <c r="P279" s="19">
        <v>277</v>
      </c>
      <c r="Q279" s="19">
        <v>228</v>
      </c>
      <c r="R279" s="19">
        <v>229</v>
      </c>
      <c r="S279" s="19">
        <v>215</v>
      </c>
      <c r="T279" s="19">
        <v>260</v>
      </c>
      <c r="U279" s="19">
        <v>251</v>
      </c>
      <c r="V279" s="19">
        <v>298</v>
      </c>
      <c r="W279" s="19">
        <v>370</v>
      </c>
      <c r="X279" s="19">
        <v>151</v>
      </c>
      <c r="Y279" s="19">
        <v>346</v>
      </c>
      <c r="Z279" s="19">
        <v>519</v>
      </c>
      <c r="AA279" s="19">
        <v>276</v>
      </c>
      <c r="AB279" s="19">
        <v>439</v>
      </c>
      <c r="AC279" s="19">
        <v>405</v>
      </c>
      <c r="AD279" s="19">
        <v>260</v>
      </c>
      <c r="AE279" s="19">
        <f t="shared" si="19"/>
        <v>4698</v>
      </c>
      <c r="AF279" s="19">
        <f t="shared" si="20"/>
        <v>3790</v>
      </c>
      <c r="AG279" s="20">
        <f t="shared" si="21"/>
        <v>391.5</v>
      </c>
      <c r="AH279" s="20">
        <f t="shared" si="18"/>
        <v>315.83333333333331</v>
      </c>
      <c r="AI279" s="21"/>
      <c r="AJ279" s="13"/>
      <c r="AK279" s="13"/>
    </row>
    <row r="280" spans="1:37" x14ac:dyDescent="0.35">
      <c r="A280" s="15" t="str">
        <f>VLOOKUP(B280,'[1]Tabla 1 Arsenal'!$B$11:$K$380,10,FALSE)</f>
        <v>P019</v>
      </c>
      <c r="B280" s="15">
        <v>102028</v>
      </c>
      <c r="C280" s="16" t="s">
        <v>332</v>
      </c>
      <c r="D280" s="16" t="s">
        <v>32</v>
      </c>
      <c r="E280" s="17">
        <v>15</v>
      </c>
      <c r="F280" s="18" t="s">
        <v>23</v>
      </c>
      <c r="G280" s="19">
        <v>1284</v>
      </c>
      <c r="H280" s="19">
        <v>922</v>
      </c>
      <c r="I280" s="19">
        <v>800</v>
      </c>
      <c r="J280" s="19">
        <v>757</v>
      </c>
      <c r="K280" s="19">
        <v>1146</v>
      </c>
      <c r="L280" s="19">
        <v>819</v>
      </c>
      <c r="M280" s="19">
        <v>863</v>
      </c>
      <c r="N280" s="19">
        <v>847</v>
      </c>
      <c r="O280" s="19">
        <v>1034</v>
      </c>
      <c r="P280" s="19">
        <v>1129</v>
      </c>
      <c r="Q280" s="19">
        <v>895</v>
      </c>
      <c r="R280" s="19">
        <v>1036</v>
      </c>
      <c r="S280" s="19">
        <v>982</v>
      </c>
      <c r="T280" s="19">
        <v>465</v>
      </c>
      <c r="U280" s="19">
        <v>713</v>
      </c>
      <c r="V280" s="19">
        <v>1165</v>
      </c>
      <c r="W280" s="19">
        <v>978</v>
      </c>
      <c r="X280" s="19">
        <v>774</v>
      </c>
      <c r="Y280" s="19">
        <v>606</v>
      </c>
      <c r="Z280" s="19">
        <v>913</v>
      </c>
      <c r="AA280" s="19">
        <v>580</v>
      </c>
      <c r="AB280" s="19">
        <v>788</v>
      </c>
      <c r="AC280" s="19">
        <v>690</v>
      </c>
      <c r="AD280" s="19">
        <v>633</v>
      </c>
      <c r="AE280" s="19">
        <f t="shared" si="19"/>
        <v>11532</v>
      </c>
      <c r="AF280" s="19">
        <f t="shared" si="20"/>
        <v>9287</v>
      </c>
      <c r="AG280" s="20">
        <f t="shared" si="21"/>
        <v>961</v>
      </c>
      <c r="AH280" s="20">
        <f t="shared" si="18"/>
        <v>773.91666666666663</v>
      </c>
      <c r="AI280" s="21"/>
      <c r="AJ280" s="13"/>
      <c r="AK280" s="13"/>
    </row>
    <row r="281" spans="1:37" x14ac:dyDescent="0.35">
      <c r="A281" s="15" t="str">
        <f>VLOOKUP(B281,'[1]Tabla 1 Arsenal'!$B$11:$K$380,10,FALSE)</f>
        <v>P036</v>
      </c>
      <c r="B281" s="15">
        <v>106076</v>
      </c>
      <c r="C281" s="16" t="s">
        <v>333</v>
      </c>
      <c r="D281" s="16" t="s">
        <v>37</v>
      </c>
      <c r="E281" s="17">
        <v>29750</v>
      </c>
      <c r="F281" s="18" t="s">
        <v>23</v>
      </c>
      <c r="G281" s="19">
        <v>24</v>
      </c>
      <c r="H281" s="19">
        <v>48</v>
      </c>
      <c r="I281" s="19">
        <v>22</v>
      </c>
      <c r="J281" s="19">
        <v>13</v>
      </c>
      <c r="K281" s="19">
        <v>19</v>
      </c>
      <c r="L281" s="19">
        <v>29</v>
      </c>
      <c r="M281" s="19">
        <v>11</v>
      </c>
      <c r="N281" s="19">
        <v>26</v>
      </c>
      <c r="O281" s="19">
        <v>9</v>
      </c>
      <c r="P281" s="19">
        <v>30</v>
      </c>
      <c r="Q281" s="19">
        <v>19</v>
      </c>
      <c r="R281" s="19">
        <v>22</v>
      </c>
      <c r="S281" s="19">
        <v>4</v>
      </c>
      <c r="T281" s="19">
        <v>41</v>
      </c>
      <c r="U281" s="19">
        <v>14</v>
      </c>
      <c r="V281" s="19">
        <v>37</v>
      </c>
      <c r="W281" s="19">
        <v>19</v>
      </c>
      <c r="X281" s="19">
        <v>28</v>
      </c>
      <c r="Y281" s="19">
        <v>19</v>
      </c>
      <c r="Z281" s="19">
        <v>15</v>
      </c>
      <c r="AA281" s="19">
        <v>10</v>
      </c>
      <c r="AB281" s="19">
        <v>20</v>
      </c>
      <c r="AC281" s="19">
        <v>2</v>
      </c>
      <c r="AD281" s="19">
        <v>9</v>
      </c>
      <c r="AE281" s="19">
        <f t="shared" si="19"/>
        <v>272</v>
      </c>
      <c r="AF281" s="19">
        <f t="shared" si="20"/>
        <v>218</v>
      </c>
      <c r="AG281" s="20">
        <f t="shared" si="21"/>
        <v>22.666666666666668</v>
      </c>
      <c r="AH281" s="20">
        <f t="shared" si="18"/>
        <v>18.166666666666668</v>
      </c>
      <c r="AI281" s="21"/>
      <c r="AJ281" s="13"/>
      <c r="AK281" s="13"/>
    </row>
    <row r="282" spans="1:37" x14ac:dyDescent="0.35">
      <c r="A282" s="15" t="str">
        <f>VLOOKUP(B282,'[1]Tabla 1 Arsenal'!$B$11:$K$380,10,FALSE)</f>
        <v>P053</v>
      </c>
      <c r="B282" s="15">
        <v>106008</v>
      </c>
      <c r="C282" s="16" t="s">
        <v>334</v>
      </c>
      <c r="D282" s="16" t="s">
        <v>37</v>
      </c>
      <c r="E282" s="17">
        <v>238</v>
      </c>
      <c r="F282" s="18" t="s">
        <v>23</v>
      </c>
      <c r="G282" s="19">
        <v>102</v>
      </c>
      <c r="H282" s="19">
        <v>95</v>
      </c>
      <c r="I282" s="19">
        <v>64</v>
      </c>
      <c r="J282" s="19">
        <v>103</v>
      </c>
      <c r="K282" s="19">
        <v>77</v>
      </c>
      <c r="L282" s="19">
        <v>74</v>
      </c>
      <c r="M282" s="19">
        <v>117</v>
      </c>
      <c r="N282" s="19">
        <v>34</v>
      </c>
      <c r="O282" s="19">
        <v>73</v>
      </c>
      <c r="P282" s="19">
        <v>59</v>
      </c>
      <c r="Q282" s="19">
        <v>95</v>
      </c>
      <c r="R282" s="19">
        <v>46</v>
      </c>
      <c r="S282" s="19">
        <v>39</v>
      </c>
      <c r="T282" s="19">
        <v>70</v>
      </c>
      <c r="U282" s="19">
        <v>49</v>
      </c>
      <c r="V282" s="19">
        <v>82</v>
      </c>
      <c r="W282" s="19">
        <v>28</v>
      </c>
      <c r="X282" s="19">
        <v>78</v>
      </c>
      <c r="Y282" s="19">
        <v>120</v>
      </c>
      <c r="Z282" s="19">
        <v>59</v>
      </c>
      <c r="AA282" s="19">
        <v>56</v>
      </c>
      <c r="AB282" s="19">
        <v>53</v>
      </c>
      <c r="AC282" s="19">
        <v>10</v>
      </c>
      <c r="AD282" s="19">
        <v>106</v>
      </c>
      <c r="AE282" s="19">
        <f t="shared" si="19"/>
        <v>939</v>
      </c>
      <c r="AF282" s="19">
        <f t="shared" si="20"/>
        <v>750</v>
      </c>
      <c r="AG282" s="20">
        <f t="shared" si="21"/>
        <v>78.25</v>
      </c>
      <c r="AH282" s="20">
        <f t="shared" si="18"/>
        <v>62.5</v>
      </c>
      <c r="AI282" s="21"/>
      <c r="AJ282" s="13"/>
      <c r="AK282" s="13"/>
    </row>
    <row r="283" spans="1:37" x14ac:dyDescent="0.35">
      <c r="A283" s="15" t="str">
        <f>VLOOKUP(B283,'[1]Tabla 1 Arsenal'!$B$11:$K$380,10,FALSE)</f>
        <v>P294</v>
      </c>
      <c r="B283" s="15">
        <v>422004</v>
      </c>
      <c r="C283" s="16" t="s">
        <v>335</v>
      </c>
      <c r="D283" s="16" t="s">
        <v>135</v>
      </c>
      <c r="E283" s="17">
        <v>732</v>
      </c>
      <c r="F283" s="18" t="s">
        <v>23</v>
      </c>
      <c r="G283" s="19">
        <v>1</v>
      </c>
      <c r="H283" s="19">
        <v>30</v>
      </c>
      <c r="I283" s="19">
        <v>75</v>
      </c>
      <c r="J283" s="19">
        <v>61</v>
      </c>
      <c r="K283" s="19">
        <v>26</v>
      </c>
      <c r="L283" s="19">
        <v>53</v>
      </c>
      <c r="M283" s="19">
        <v>52</v>
      </c>
      <c r="N283" s="19">
        <v>83</v>
      </c>
      <c r="O283" s="19">
        <v>64</v>
      </c>
      <c r="P283" s="19">
        <v>68</v>
      </c>
      <c r="Q283" s="19">
        <v>0</v>
      </c>
      <c r="R283" s="19">
        <v>0</v>
      </c>
      <c r="S283" s="19">
        <v>41</v>
      </c>
      <c r="T283" s="19">
        <v>89</v>
      </c>
      <c r="U283" s="19">
        <v>47</v>
      </c>
      <c r="V283" s="19">
        <v>32</v>
      </c>
      <c r="W283" s="19">
        <v>37</v>
      </c>
      <c r="X283" s="19">
        <v>26</v>
      </c>
      <c r="Y283" s="19">
        <v>59</v>
      </c>
      <c r="Z283" s="19">
        <v>49</v>
      </c>
      <c r="AA283" s="19">
        <v>0</v>
      </c>
      <c r="AB283" s="19">
        <v>8</v>
      </c>
      <c r="AC283" s="19">
        <v>12</v>
      </c>
      <c r="AD283" s="19">
        <v>9</v>
      </c>
      <c r="AE283" s="19">
        <f t="shared" si="19"/>
        <v>513</v>
      </c>
      <c r="AF283" s="19">
        <f t="shared" si="20"/>
        <v>409</v>
      </c>
      <c r="AG283" s="20">
        <f t="shared" si="21"/>
        <v>42.75</v>
      </c>
      <c r="AH283" s="20">
        <f t="shared" si="18"/>
        <v>34.083333333333336</v>
      </c>
      <c r="AI283" s="21"/>
      <c r="AJ283" s="13"/>
      <c r="AK283" s="13"/>
    </row>
    <row r="284" spans="1:37" x14ac:dyDescent="0.35">
      <c r="A284" s="15" t="str">
        <f>VLOOKUP(B284,'[1]Tabla 1 Arsenal'!$B$11:$K$380,10,FALSE)</f>
        <v>P212</v>
      </c>
      <c r="B284" s="15">
        <v>108012</v>
      </c>
      <c r="C284" s="16" t="s">
        <v>336</v>
      </c>
      <c r="D284" s="16" t="s">
        <v>135</v>
      </c>
      <c r="E284" s="17">
        <v>1535</v>
      </c>
      <c r="F284" s="18" t="s">
        <v>23</v>
      </c>
      <c r="G284" s="19">
        <v>22</v>
      </c>
      <c r="H284" s="19">
        <v>20</v>
      </c>
      <c r="I284" s="19">
        <v>20</v>
      </c>
      <c r="J284" s="19">
        <v>0</v>
      </c>
      <c r="K284" s="19">
        <v>44</v>
      </c>
      <c r="L284" s="19">
        <v>0</v>
      </c>
      <c r="M284" s="19">
        <v>20</v>
      </c>
      <c r="N284" s="19">
        <v>0</v>
      </c>
      <c r="O284" s="19">
        <v>40</v>
      </c>
      <c r="P284" s="19">
        <v>0</v>
      </c>
      <c r="Q284" s="19">
        <v>0</v>
      </c>
      <c r="R284" s="19">
        <v>20</v>
      </c>
      <c r="S284" s="19">
        <v>20</v>
      </c>
      <c r="T284" s="19">
        <v>0</v>
      </c>
      <c r="U284" s="19">
        <v>0</v>
      </c>
      <c r="V284" s="19">
        <v>22</v>
      </c>
      <c r="W284" s="19">
        <v>1</v>
      </c>
      <c r="X284" s="19">
        <v>40</v>
      </c>
      <c r="Y284" s="19">
        <v>20</v>
      </c>
      <c r="Z284" s="19">
        <v>0</v>
      </c>
      <c r="AA284" s="19">
        <v>0</v>
      </c>
      <c r="AB284" s="19">
        <v>0</v>
      </c>
      <c r="AC284" s="19">
        <v>45</v>
      </c>
      <c r="AD284" s="19">
        <v>0</v>
      </c>
      <c r="AE284" s="19">
        <f t="shared" si="19"/>
        <v>186</v>
      </c>
      <c r="AF284" s="19">
        <f t="shared" si="20"/>
        <v>148</v>
      </c>
      <c r="AG284" s="20">
        <f t="shared" si="21"/>
        <v>15.5</v>
      </c>
      <c r="AH284" s="20">
        <f t="shared" si="18"/>
        <v>12.333333333333334</v>
      </c>
      <c r="AI284" s="21"/>
      <c r="AJ284" s="13"/>
      <c r="AK284" s="13"/>
    </row>
    <row r="285" spans="1:37" x14ac:dyDescent="0.35">
      <c r="A285" s="15" t="str">
        <f>VLOOKUP(B285,'[1]Tabla 1 Arsenal'!$B$11:$K$380,10,FALSE)</f>
        <v>P012</v>
      </c>
      <c r="B285" s="15">
        <v>101058</v>
      </c>
      <c r="C285" s="16" t="s">
        <v>337</v>
      </c>
      <c r="D285" s="16" t="s">
        <v>86</v>
      </c>
      <c r="E285" s="17">
        <v>45026</v>
      </c>
      <c r="F285" s="18" t="s">
        <v>55</v>
      </c>
      <c r="G285" s="19">
        <v>84</v>
      </c>
      <c r="H285" s="19">
        <v>28</v>
      </c>
      <c r="I285" s="19">
        <v>28</v>
      </c>
      <c r="J285" s="19">
        <v>56</v>
      </c>
      <c r="K285" s="19">
        <v>84</v>
      </c>
      <c r="L285" s="19">
        <v>0</v>
      </c>
      <c r="M285" s="19">
        <v>28</v>
      </c>
      <c r="N285" s="19">
        <v>28</v>
      </c>
      <c r="O285" s="19">
        <v>28</v>
      </c>
      <c r="P285" s="19">
        <v>28</v>
      </c>
      <c r="Q285" s="19">
        <v>84</v>
      </c>
      <c r="R285" s="19">
        <v>56</v>
      </c>
      <c r="S285" s="19">
        <v>56</v>
      </c>
      <c r="T285" s="19">
        <v>84</v>
      </c>
      <c r="U285" s="19">
        <v>84</v>
      </c>
      <c r="V285" s="19">
        <v>28</v>
      </c>
      <c r="W285" s="19">
        <v>28</v>
      </c>
      <c r="X285" s="19">
        <v>28</v>
      </c>
      <c r="Y285" s="19">
        <v>28</v>
      </c>
      <c r="Z285" s="19">
        <v>28</v>
      </c>
      <c r="AA285" s="19">
        <v>0</v>
      </c>
      <c r="AB285" s="19">
        <v>28</v>
      </c>
      <c r="AC285" s="19">
        <v>0</v>
      </c>
      <c r="AD285" s="19">
        <v>28</v>
      </c>
      <c r="AE285" s="19">
        <f t="shared" si="19"/>
        <v>532</v>
      </c>
      <c r="AF285" s="19">
        <f t="shared" si="20"/>
        <v>420</v>
      </c>
      <c r="AG285" s="20">
        <f t="shared" si="21"/>
        <v>44.333333333333336</v>
      </c>
      <c r="AH285" s="20">
        <f t="shared" si="18"/>
        <v>35</v>
      </c>
      <c r="AI285" s="21"/>
      <c r="AJ285" s="13"/>
      <c r="AK285" s="13"/>
    </row>
    <row r="286" spans="1:37" x14ac:dyDescent="0.35">
      <c r="A286" s="15" t="str">
        <f>VLOOKUP(B286,'[1]Tabla 1 Arsenal'!$B$11:$K$380,10,FALSE)</f>
        <v>P076</v>
      </c>
      <c r="B286" s="15">
        <v>103009</v>
      </c>
      <c r="C286" s="16" t="s">
        <v>338</v>
      </c>
      <c r="D286" s="16" t="s">
        <v>37</v>
      </c>
      <c r="E286" s="17">
        <v>571</v>
      </c>
      <c r="F286" s="18" t="s">
        <v>23</v>
      </c>
      <c r="G286" s="19">
        <v>19</v>
      </c>
      <c r="H286" s="19">
        <v>39</v>
      </c>
      <c r="I286" s="19">
        <v>51</v>
      </c>
      <c r="J286" s="19">
        <v>37</v>
      </c>
      <c r="K286" s="19">
        <v>12</v>
      </c>
      <c r="L286" s="19">
        <v>24</v>
      </c>
      <c r="M286" s="19">
        <v>64</v>
      </c>
      <c r="N286" s="19">
        <v>62</v>
      </c>
      <c r="O286" s="19">
        <v>10</v>
      </c>
      <c r="P286" s="19">
        <v>72</v>
      </c>
      <c r="Q286" s="19">
        <v>18</v>
      </c>
      <c r="R286" s="19">
        <v>4</v>
      </c>
      <c r="S286" s="19">
        <v>44</v>
      </c>
      <c r="T286" s="19">
        <v>36</v>
      </c>
      <c r="U286" s="19">
        <v>10</v>
      </c>
      <c r="V286" s="19">
        <v>9</v>
      </c>
      <c r="W286" s="19">
        <v>62</v>
      </c>
      <c r="X286" s="19">
        <v>7</v>
      </c>
      <c r="Y286" s="19">
        <v>11</v>
      </c>
      <c r="Z286" s="19">
        <v>9</v>
      </c>
      <c r="AA286" s="19">
        <v>39</v>
      </c>
      <c r="AB286" s="19">
        <v>17</v>
      </c>
      <c r="AC286" s="19">
        <v>44</v>
      </c>
      <c r="AD286" s="19">
        <v>37</v>
      </c>
      <c r="AE286" s="19">
        <f t="shared" si="19"/>
        <v>412</v>
      </c>
      <c r="AF286" s="19">
        <f t="shared" si="20"/>
        <v>325</v>
      </c>
      <c r="AG286" s="20">
        <f t="shared" si="21"/>
        <v>34.333333333333336</v>
      </c>
      <c r="AH286" s="20">
        <f t="shared" si="18"/>
        <v>27.083333333333332</v>
      </c>
      <c r="AI286" s="21"/>
      <c r="AJ286" s="13"/>
      <c r="AK286" s="13"/>
    </row>
    <row r="287" spans="1:37" x14ac:dyDescent="0.35">
      <c r="A287" s="15" t="str">
        <f>VLOOKUP(B287,'[1]Tabla 1 Arsenal'!$B$11:$K$380,10,FALSE)</f>
        <v>P049</v>
      </c>
      <c r="B287" s="15">
        <v>102146</v>
      </c>
      <c r="C287" s="16" t="s">
        <v>339</v>
      </c>
      <c r="D287" s="16" t="s">
        <v>94</v>
      </c>
      <c r="E287" s="17">
        <v>5950</v>
      </c>
      <c r="F287" s="18" t="s">
        <v>23</v>
      </c>
      <c r="G287" s="19">
        <v>17</v>
      </c>
      <c r="H287" s="19">
        <v>15</v>
      </c>
      <c r="I287" s="19">
        <v>44</v>
      </c>
      <c r="J287" s="19">
        <v>0</v>
      </c>
      <c r="K287" s="19">
        <v>3</v>
      </c>
      <c r="L287" s="19">
        <v>0</v>
      </c>
      <c r="M287" s="19">
        <v>3</v>
      </c>
      <c r="N287" s="19">
        <v>3</v>
      </c>
      <c r="O287" s="19">
        <v>32</v>
      </c>
      <c r="P287" s="19">
        <v>10</v>
      </c>
      <c r="Q287" s="19">
        <v>34</v>
      </c>
      <c r="R287" s="19">
        <v>48</v>
      </c>
      <c r="S287" s="19">
        <v>70</v>
      </c>
      <c r="T287" s="19">
        <v>37</v>
      </c>
      <c r="U287" s="19">
        <v>0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19">
        <v>11</v>
      </c>
      <c r="AC287" s="19">
        <v>0</v>
      </c>
      <c r="AD287" s="19">
        <v>46</v>
      </c>
      <c r="AE287" s="19">
        <f t="shared" si="19"/>
        <v>209</v>
      </c>
      <c r="AF287" s="19">
        <f t="shared" si="20"/>
        <v>164</v>
      </c>
      <c r="AG287" s="20">
        <f t="shared" si="21"/>
        <v>17.416666666666668</v>
      </c>
      <c r="AH287" s="20">
        <f t="shared" si="18"/>
        <v>13.666666666666666</v>
      </c>
      <c r="AI287" s="21"/>
      <c r="AJ287" s="13"/>
      <c r="AK287" s="13"/>
    </row>
    <row r="288" spans="1:37" x14ac:dyDescent="0.35">
      <c r="A288" s="15" t="str">
        <f>VLOOKUP(B288,'[1]Tabla 1 Arsenal'!$B$11:$K$380,10,FALSE)</f>
        <v>P364</v>
      </c>
      <c r="B288" s="15">
        <v>103031</v>
      </c>
      <c r="C288" s="16" t="s">
        <v>340</v>
      </c>
      <c r="D288" s="16" t="s">
        <v>22</v>
      </c>
      <c r="E288" s="17">
        <v>1586</v>
      </c>
      <c r="F288" s="18" t="s">
        <v>23</v>
      </c>
      <c r="G288" s="19">
        <v>302</v>
      </c>
      <c r="H288" s="19">
        <v>135</v>
      </c>
      <c r="I288" s="19">
        <v>237</v>
      </c>
      <c r="J288" s="19">
        <v>69</v>
      </c>
      <c r="K288" s="19">
        <v>126</v>
      </c>
      <c r="L288" s="19">
        <v>127</v>
      </c>
      <c r="M288" s="19">
        <v>131</v>
      </c>
      <c r="N288" s="19">
        <v>63</v>
      </c>
      <c r="O288" s="19">
        <v>80</v>
      </c>
      <c r="P288" s="19">
        <v>123</v>
      </c>
      <c r="Q288" s="19">
        <v>158</v>
      </c>
      <c r="R288" s="19">
        <v>123</v>
      </c>
      <c r="S288" s="19">
        <v>89</v>
      </c>
      <c r="T288" s="19">
        <v>256</v>
      </c>
      <c r="U288" s="19">
        <v>34</v>
      </c>
      <c r="V288" s="19">
        <v>79</v>
      </c>
      <c r="W288" s="19">
        <v>80</v>
      </c>
      <c r="X288" s="19">
        <v>122</v>
      </c>
      <c r="Y288" s="19">
        <v>114</v>
      </c>
      <c r="Z288" s="19">
        <v>310</v>
      </c>
      <c r="AA288" s="19">
        <v>75</v>
      </c>
      <c r="AB288" s="19">
        <v>50</v>
      </c>
      <c r="AC288" s="19">
        <v>86</v>
      </c>
      <c r="AD288" s="19">
        <v>17</v>
      </c>
      <c r="AE288" s="19">
        <f t="shared" si="19"/>
        <v>1674</v>
      </c>
      <c r="AF288" s="19">
        <f t="shared" si="20"/>
        <v>1312</v>
      </c>
      <c r="AG288" s="20">
        <f t="shared" si="21"/>
        <v>139.5</v>
      </c>
      <c r="AH288" s="20">
        <f t="shared" si="18"/>
        <v>109.33333333333333</v>
      </c>
      <c r="AI288" s="21"/>
      <c r="AJ288" s="13"/>
      <c r="AK288" s="13"/>
    </row>
    <row r="289" spans="1:37" x14ac:dyDescent="0.35">
      <c r="A289" s="15" t="str">
        <f>VLOOKUP(B289,'[1]Tabla 1 Arsenal'!$B$11:$K$380,10,FALSE)</f>
        <v>P297</v>
      </c>
      <c r="B289" s="15">
        <v>106037</v>
      </c>
      <c r="C289" s="16" t="s">
        <v>341</v>
      </c>
      <c r="D289" s="16" t="s">
        <v>37</v>
      </c>
      <c r="E289" s="17">
        <v>409</v>
      </c>
      <c r="F289" s="18" t="s">
        <v>23</v>
      </c>
      <c r="G289" s="19">
        <v>939</v>
      </c>
      <c r="H289" s="19">
        <v>742</v>
      </c>
      <c r="I289" s="19">
        <v>606</v>
      </c>
      <c r="J289" s="19">
        <v>159</v>
      </c>
      <c r="K289" s="19">
        <v>398</v>
      </c>
      <c r="L289" s="19">
        <v>375</v>
      </c>
      <c r="M289" s="19">
        <v>59</v>
      </c>
      <c r="N289" s="19">
        <v>358</v>
      </c>
      <c r="O289" s="19">
        <v>8</v>
      </c>
      <c r="P289" s="19">
        <v>54</v>
      </c>
      <c r="Q289" s="19">
        <v>530</v>
      </c>
      <c r="R289" s="19">
        <v>564</v>
      </c>
      <c r="S289" s="19">
        <v>893</v>
      </c>
      <c r="T289" s="19">
        <v>666</v>
      </c>
      <c r="U289" s="19">
        <v>393</v>
      </c>
      <c r="V289" s="19">
        <v>161</v>
      </c>
      <c r="W289" s="19">
        <v>114</v>
      </c>
      <c r="X289" s="19">
        <v>65</v>
      </c>
      <c r="Y289" s="19">
        <v>188</v>
      </c>
      <c r="Z289" s="19">
        <v>446</v>
      </c>
      <c r="AA289" s="19">
        <v>140</v>
      </c>
      <c r="AB289" s="19">
        <v>417</v>
      </c>
      <c r="AC289" s="19">
        <v>144</v>
      </c>
      <c r="AD289" s="19">
        <v>112</v>
      </c>
      <c r="AE289" s="19">
        <f t="shared" si="19"/>
        <v>4792</v>
      </c>
      <c r="AF289" s="19">
        <f t="shared" si="20"/>
        <v>3739</v>
      </c>
      <c r="AG289" s="20">
        <f t="shared" si="21"/>
        <v>399.33333333333331</v>
      </c>
      <c r="AH289" s="20">
        <f t="shared" si="18"/>
        <v>311.58333333333331</v>
      </c>
      <c r="AI289" s="21"/>
      <c r="AJ289" s="13"/>
      <c r="AK289" s="13"/>
    </row>
    <row r="290" spans="1:37" x14ac:dyDescent="0.35">
      <c r="A290" s="15" t="str">
        <f>VLOOKUP(B290,'[1]Tabla 1 Arsenal'!$B$11:$K$380,10,FALSE)</f>
        <v>P171</v>
      </c>
      <c r="B290" s="15">
        <v>104018</v>
      </c>
      <c r="C290" s="16" t="s">
        <v>342</v>
      </c>
      <c r="D290" s="16" t="s">
        <v>32</v>
      </c>
      <c r="E290" s="17">
        <v>17</v>
      </c>
      <c r="F290" s="18" t="s">
        <v>23</v>
      </c>
      <c r="G290" s="19">
        <v>802</v>
      </c>
      <c r="H290" s="19">
        <v>885</v>
      </c>
      <c r="I290" s="19">
        <v>1100</v>
      </c>
      <c r="J290" s="19">
        <v>801</v>
      </c>
      <c r="K290" s="19">
        <v>884</v>
      </c>
      <c r="L290" s="19">
        <v>1284</v>
      </c>
      <c r="M290" s="19">
        <v>873</v>
      </c>
      <c r="N290" s="19">
        <v>987</v>
      </c>
      <c r="O290" s="19">
        <v>870</v>
      </c>
      <c r="P290" s="19">
        <v>986</v>
      </c>
      <c r="Q290" s="19">
        <v>1429</v>
      </c>
      <c r="R290" s="19">
        <v>1109</v>
      </c>
      <c r="S290" s="19">
        <v>796</v>
      </c>
      <c r="T290" s="19">
        <v>551</v>
      </c>
      <c r="U290" s="19">
        <v>986</v>
      </c>
      <c r="V290" s="19">
        <v>705</v>
      </c>
      <c r="W290" s="19">
        <v>1034</v>
      </c>
      <c r="X290" s="19">
        <v>1048</v>
      </c>
      <c r="Y290" s="19">
        <v>1021</v>
      </c>
      <c r="Z290" s="19">
        <v>653</v>
      </c>
      <c r="AA290" s="19">
        <v>607</v>
      </c>
      <c r="AB290" s="19">
        <v>935</v>
      </c>
      <c r="AC290" s="19">
        <v>675</v>
      </c>
      <c r="AD290" s="19">
        <v>343</v>
      </c>
      <c r="AE290" s="19">
        <f t="shared" si="19"/>
        <v>12010</v>
      </c>
      <c r="AF290" s="19">
        <f t="shared" si="20"/>
        <v>9354</v>
      </c>
      <c r="AG290" s="20">
        <f t="shared" si="21"/>
        <v>1000.8333333333334</v>
      </c>
      <c r="AH290" s="20">
        <f t="shared" si="18"/>
        <v>779.5</v>
      </c>
      <c r="AI290" s="21"/>
      <c r="AJ290" s="13"/>
      <c r="AK290" s="13"/>
    </row>
    <row r="291" spans="1:37" x14ac:dyDescent="0.35">
      <c r="A291" s="15" t="str">
        <f>VLOOKUP(B291,'[1]Tabla 1 Arsenal'!$B$11:$K$380,10,FALSE)</f>
        <v>P061</v>
      </c>
      <c r="B291" s="15">
        <v>102060</v>
      </c>
      <c r="C291" s="16" t="s">
        <v>343</v>
      </c>
      <c r="D291" s="16" t="s">
        <v>32</v>
      </c>
      <c r="E291" s="17">
        <v>121</v>
      </c>
      <c r="F291" s="18" t="s">
        <v>23</v>
      </c>
      <c r="G291" s="19">
        <v>1320</v>
      </c>
      <c r="H291" s="19">
        <v>1083</v>
      </c>
      <c r="I291" s="19">
        <v>1172</v>
      </c>
      <c r="J291" s="19">
        <v>1224</v>
      </c>
      <c r="K291" s="19">
        <v>1574</v>
      </c>
      <c r="L291" s="19">
        <v>1067</v>
      </c>
      <c r="M291" s="19">
        <v>1317</v>
      </c>
      <c r="N291" s="19">
        <v>1263</v>
      </c>
      <c r="O291" s="19">
        <v>778</v>
      </c>
      <c r="P291" s="19">
        <v>991</v>
      </c>
      <c r="Q291" s="19">
        <v>1062</v>
      </c>
      <c r="R291" s="19">
        <v>1072</v>
      </c>
      <c r="S291" s="19">
        <v>1125</v>
      </c>
      <c r="T291" s="19">
        <v>675</v>
      </c>
      <c r="U291" s="19">
        <v>703</v>
      </c>
      <c r="V291" s="19">
        <v>918</v>
      </c>
      <c r="W291" s="19">
        <v>1178</v>
      </c>
      <c r="X291" s="19">
        <v>1228</v>
      </c>
      <c r="Y291" s="19">
        <v>1060</v>
      </c>
      <c r="Z291" s="19">
        <v>980</v>
      </c>
      <c r="AA291" s="19">
        <v>718</v>
      </c>
      <c r="AB291" s="19">
        <v>853</v>
      </c>
      <c r="AC291" s="19">
        <v>665</v>
      </c>
      <c r="AD291" s="19">
        <v>693</v>
      </c>
      <c r="AE291" s="19">
        <f t="shared" si="19"/>
        <v>13923</v>
      </c>
      <c r="AF291" s="19">
        <f t="shared" si="20"/>
        <v>10796</v>
      </c>
      <c r="AG291" s="20">
        <f t="shared" si="21"/>
        <v>1160.25</v>
      </c>
      <c r="AH291" s="20">
        <f t="shared" ref="AH291:AH354" si="22">AVERAGE(S291:AD291)</f>
        <v>899.66666666666663</v>
      </c>
      <c r="AI291" s="21"/>
      <c r="AJ291" s="13"/>
      <c r="AK291" s="13"/>
    </row>
    <row r="292" spans="1:37" x14ac:dyDescent="0.35">
      <c r="A292" s="15" t="str">
        <f>VLOOKUP(B292,'[1]Tabla 1 Arsenal'!$B$11:$K$380,10,FALSE)</f>
        <v>P329</v>
      </c>
      <c r="B292" s="15">
        <v>108023</v>
      </c>
      <c r="C292" s="16" t="s">
        <v>344</v>
      </c>
      <c r="D292" s="16" t="s">
        <v>39</v>
      </c>
      <c r="E292" s="17">
        <v>701</v>
      </c>
      <c r="F292" s="18" t="s">
        <v>23</v>
      </c>
      <c r="G292" s="19">
        <v>547</v>
      </c>
      <c r="H292" s="19">
        <v>719</v>
      </c>
      <c r="I292" s="19">
        <v>824</v>
      </c>
      <c r="J292" s="19">
        <v>503</v>
      </c>
      <c r="K292" s="19">
        <v>849</v>
      </c>
      <c r="L292" s="19">
        <v>583</v>
      </c>
      <c r="M292" s="19">
        <v>614</v>
      </c>
      <c r="N292" s="19">
        <v>689</v>
      </c>
      <c r="O292" s="19">
        <v>509</v>
      </c>
      <c r="P292" s="19">
        <v>614</v>
      </c>
      <c r="Q292" s="19">
        <v>495</v>
      </c>
      <c r="R292" s="19">
        <v>752</v>
      </c>
      <c r="S292" s="19">
        <v>746</v>
      </c>
      <c r="T292" s="19">
        <v>657</v>
      </c>
      <c r="U292" s="19">
        <v>847</v>
      </c>
      <c r="V292" s="19">
        <v>448</v>
      </c>
      <c r="W292" s="19">
        <v>342</v>
      </c>
      <c r="X292" s="19">
        <v>327</v>
      </c>
      <c r="Y292" s="19">
        <v>479</v>
      </c>
      <c r="Z292" s="19">
        <v>550</v>
      </c>
      <c r="AA292" s="19">
        <v>260</v>
      </c>
      <c r="AB292" s="19">
        <v>537</v>
      </c>
      <c r="AC292" s="19">
        <v>415</v>
      </c>
      <c r="AD292" s="19">
        <v>347</v>
      </c>
      <c r="AE292" s="19">
        <f t="shared" si="19"/>
        <v>7698</v>
      </c>
      <c r="AF292" s="19">
        <f t="shared" si="20"/>
        <v>5955</v>
      </c>
      <c r="AG292" s="20">
        <f t="shared" si="21"/>
        <v>641.5</v>
      </c>
      <c r="AH292" s="20">
        <f t="shared" si="22"/>
        <v>496.25</v>
      </c>
      <c r="AI292" s="21"/>
      <c r="AJ292" s="13"/>
      <c r="AK292" s="13"/>
    </row>
    <row r="293" spans="1:37" x14ac:dyDescent="0.35">
      <c r="A293" s="15" t="str">
        <f>VLOOKUP(B293,'[1]Tabla 1 Arsenal'!$B$11:$K$380,10,FALSE)</f>
        <v>P160</v>
      </c>
      <c r="B293" s="15">
        <v>106026</v>
      </c>
      <c r="C293" s="16" t="s">
        <v>345</v>
      </c>
      <c r="D293" s="16" t="s">
        <v>37</v>
      </c>
      <c r="E293" s="17">
        <v>125</v>
      </c>
      <c r="F293" s="18" t="s">
        <v>23</v>
      </c>
      <c r="G293" s="19">
        <v>238</v>
      </c>
      <c r="H293" s="19">
        <v>226</v>
      </c>
      <c r="I293" s="19">
        <v>180</v>
      </c>
      <c r="J293" s="19">
        <v>294</v>
      </c>
      <c r="K293" s="19">
        <v>184</v>
      </c>
      <c r="L293" s="19">
        <v>223</v>
      </c>
      <c r="M293" s="19">
        <v>170</v>
      </c>
      <c r="N293" s="19">
        <v>110</v>
      </c>
      <c r="O293" s="19">
        <v>183</v>
      </c>
      <c r="P293" s="19">
        <v>131</v>
      </c>
      <c r="Q293" s="19">
        <v>269</v>
      </c>
      <c r="R293" s="19">
        <v>132</v>
      </c>
      <c r="S293" s="19">
        <v>210</v>
      </c>
      <c r="T293" s="19">
        <v>63</v>
      </c>
      <c r="U293" s="19">
        <v>185</v>
      </c>
      <c r="V293" s="19">
        <v>215</v>
      </c>
      <c r="W293" s="19">
        <v>223</v>
      </c>
      <c r="X293" s="19">
        <v>131</v>
      </c>
      <c r="Y293" s="19">
        <v>54</v>
      </c>
      <c r="Z293" s="19">
        <v>89</v>
      </c>
      <c r="AA293" s="19">
        <v>61</v>
      </c>
      <c r="AB293" s="19">
        <v>232</v>
      </c>
      <c r="AC293" s="19">
        <v>202</v>
      </c>
      <c r="AD293" s="19">
        <v>142</v>
      </c>
      <c r="AE293" s="19">
        <f t="shared" si="19"/>
        <v>2340</v>
      </c>
      <c r="AF293" s="19">
        <f t="shared" si="20"/>
        <v>1807</v>
      </c>
      <c r="AG293" s="20">
        <f t="shared" si="21"/>
        <v>195</v>
      </c>
      <c r="AH293" s="20">
        <f t="shared" si="22"/>
        <v>150.58333333333334</v>
      </c>
      <c r="AI293" s="21"/>
      <c r="AJ293" s="13"/>
      <c r="AK293" s="13"/>
    </row>
    <row r="294" spans="1:37" x14ac:dyDescent="0.35">
      <c r="A294" s="15" t="str">
        <f>VLOOKUP(B294,'[1]Tabla 1 Arsenal'!$B$11:$K$380,10,FALSE)</f>
        <v>P187</v>
      </c>
      <c r="B294" s="15">
        <v>102040</v>
      </c>
      <c r="C294" s="16" t="s">
        <v>346</v>
      </c>
      <c r="D294" s="16" t="s">
        <v>37</v>
      </c>
      <c r="E294" s="17">
        <v>139</v>
      </c>
      <c r="F294" s="18" t="s">
        <v>23</v>
      </c>
      <c r="G294" s="19">
        <v>788</v>
      </c>
      <c r="H294" s="19">
        <v>749</v>
      </c>
      <c r="I294" s="19">
        <v>908</v>
      </c>
      <c r="J294" s="19">
        <v>818</v>
      </c>
      <c r="K294" s="19">
        <v>816</v>
      </c>
      <c r="L294" s="19">
        <v>974</v>
      </c>
      <c r="M294" s="19">
        <v>842</v>
      </c>
      <c r="N294" s="19">
        <v>881</v>
      </c>
      <c r="O294" s="19">
        <v>836</v>
      </c>
      <c r="P294" s="19">
        <v>709</v>
      </c>
      <c r="Q294" s="19">
        <v>898</v>
      </c>
      <c r="R294" s="19">
        <v>827</v>
      </c>
      <c r="S294" s="19">
        <v>704</v>
      </c>
      <c r="T294" s="19">
        <v>624</v>
      </c>
      <c r="U294" s="19">
        <v>672</v>
      </c>
      <c r="V294" s="19">
        <v>724</v>
      </c>
      <c r="W294" s="19">
        <v>587</v>
      </c>
      <c r="X294" s="19">
        <v>704</v>
      </c>
      <c r="Y294" s="19">
        <v>874</v>
      </c>
      <c r="Z294" s="19">
        <v>486</v>
      </c>
      <c r="AA294" s="19">
        <v>581</v>
      </c>
      <c r="AB294" s="19">
        <v>771</v>
      </c>
      <c r="AC294" s="19">
        <v>557</v>
      </c>
      <c r="AD294" s="19">
        <v>449</v>
      </c>
      <c r="AE294" s="19">
        <f t="shared" si="19"/>
        <v>10046</v>
      </c>
      <c r="AF294" s="19">
        <f t="shared" si="20"/>
        <v>7733</v>
      </c>
      <c r="AG294" s="20">
        <f t="shared" si="21"/>
        <v>837.16666666666663</v>
      </c>
      <c r="AH294" s="20">
        <f t="shared" si="22"/>
        <v>644.41666666666663</v>
      </c>
      <c r="AI294" s="21"/>
      <c r="AJ294" s="13"/>
      <c r="AK294" s="13"/>
    </row>
    <row r="295" spans="1:37" x14ac:dyDescent="0.35">
      <c r="A295" s="15" t="str">
        <f>VLOOKUP(B295,'[1]Tabla 1 Arsenal'!$B$11:$K$380,10,FALSE)</f>
        <v>P180</v>
      </c>
      <c r="B295" s="15">
        <v>106057</v>
      </c>
      <c r="C295" s="16" t="s">
        <v>347</v>
      </c>
      <c r="D295" s="16" t="s">
        <v>22</v>
      </c>
      <c r="E295" s="17">
        <v>4165</v>
      </c>
      <c r="F295" s="18" t="s">
        <v>23</v>
      </c>
      <c r="G295" s="19">
        <v>10</v>
      </c>
      <c r="H295" s="19">
        <v>9</v>
      </c>
      <c r="I295" s="19">
        <v>7</v>
      </c>
      <c r="J295" s="19">
        <v>8</v>
      </c>
      <c r="K295" s="19">
        <v>6</v>
      </c>
      <c r="L295" s="19">
        <v>3</v>
      </c>
      <c r="M295" s="19">
        <v>9</v>
      </c>
      <c r="N295" s="19">
        <v>9</v>
      </c>
      <c r="O295" s="19">
        <v>8</v>
      </c>
      <c r="P295" s="19">
        <v>5</v>
      </c>
      <c r="Q295" s="19">
        <v>5</v>
      </c>
      <c r="R295" s="19">
        <v>1</v>
      </c>
      <c r="S295" s="19">
        <v>9</v>
      </c>
      <c r="T295" s="19">
        <v>7</v>
      </c>
      <c r="U295" s="19">
        <v>10</v>
      </c>
      <c r="V295" s="19">
        <v>6</v>
      </c>
      <c r="W295" s="19">
        <v>3</v>
      </c>
      <c r="X295" s="19">
        <v>7</v>
      </c>
      <c r="Y295" s="19">
        <v>8</v>
      </c>
      <c r="Z295" s="19">
        <v>2</v>
      </c>
      <c r="AA295" s="19">
        <v>1</v>
      </c>
      <c r="AB295" s="19">
        <v>2</v>
      </c>
      <c r="AC295" s="19">
        <v>0</v>
      </c>
      <c r="AD295" s="19">
        <v>6</v>
      </c>
      <c r="AE295" s="19">
        <f t="shared" si="19"/>
        <v>80</v>
      </c>
      <c r="AF295" s="19">
        <f t="shared" si="20"/>
        <v>61</v>
      </c>
      <c r="AG295" s="20">
        <f t="shared" si="21"/>
        <v>6.666666666666667</v>
      </c>
      <c r="AH295" s="20">
        <f t="shared" si="22"/>
        <v>5.083333333333333</v>
      </c>
      <c r="AI295" s="21"/>
      <c r="AJ295" s="13"/>
      <c r="AK295" s="13"/>
    </row>
    <row r="296" spans="1:37" x14ac:dyDescent="0.35">
      <c r="A296" s="15" t="str">
        <f>VLOOKUP(B296,'[1]Tabla 1 Arsenal'!$B$11:$K$380,10,FALSE)</f>
        <v>P020</v>
      </c>
      <c r="B296" s="15">
        <v>103002</v>
      </c>
      <c r="C296" s="16" t="s">
        <v>348</v>
      </c>
      <c r="D296" s="16" t="s">
        <v>22</v>
      </c>
      <c r="E296" s="17">
        <v>250</v>
      </c>
      <c r="F296" s="18" t="s">
        <v>23</v>
      </c>
      <c r="G296" s="19">
        <v>88</v>
      </c>
      <c r="H296" s="19">
        <v>115</v>
      </c>
      <c r="I296" s="19">
        <v>99</v>
      </c>
      <c r="J296" s="19">
        <v>93</v>
      </c>
      <c r="K296" s="19">
        <v>137</v>
      </c>
      <c r="L296" s="19">
        <v>81</v>
      </c>
      <c r="M296" s="19">
        <v>125</v>
      </c>
      <c r="N296" s="19">
        <v>118</v>
      </c>
      <c r="O296" s="19">
        <v>77</v>
      </c>
      <c r="P296" s="19">
        <v>104</v>
      </c>
      <c r="Q296" s="19">
        <v>108</v>
      </c>
      <c r="R296" s="19">
        <v>59</v>
      </c>
      <c r="S296" s="19">
        <v>52</v>
      </c>
      <c r="T296" s="19">
        <v>62</v>
      </c>
      <c r="U296" s="19">
        <v>60</v>
      </c>
      <c r="V296" s="19">
        <v>164</v>
      </c>
      <c r="W296" s="19">
        <v>78</v>
      </c>
      <c r="X296" s="19">
        <v>76</v>
      </c>
      <c r="Y296" s="19">
        <v>60</v>
      </c>
      <c r="Z296" s="19">
        <v>74</v>
      </c>
      <c r="AA296" s="19">
        <v>63</v>
      </c>
      <c r="AB296" s="19">
        <v>86</v>
      </c>
      <c r="AC296" s="19">
        <v>56</v>
      </c>
      <c r="AD296" s="19">
        <v>86</v>
      </c>
      <c r="AE296" s="19">
        <f t="shared" si="19"/>
        <v>1204</v>
      </c>
      <c r="AF296" s="19">
        <f t="shared" si="20"/>
        <v>917</v>
      </c>
      <c r="AG296" s="20">
        <f t="shared" si="21"/>
        <v>100.33333333333333</v>
      </c>
      <c r="AH296" s="20">
        <f t="shared" si="22"/>
        <v>76.416666666666671</v>
      </c>
      <c r="AI296" s="21"/>
      <c r="AJ296" s="13"/>
      <c r="AK296" s="13"/>
    </row>
    <row r="297" spans="1:37" x14ac:dyDescent="0.35">
      <c r="A297" s="15" t="str">
        <f>VLOOKUP(B297,'[1]Tabla 1 Arsenal'!$B$11:$K$380,10,FALSE)</f>
        <v>P228</v>
      </c>
      <c r="B297" s="15">
        <v>104021</v>
      </c>
      <c r="C297" s="16" t="s">
        <v>349</v>
      </c>
      <c r="D297" s="16" t="s">
        <v>32</v>
      </c>
      <c r="E297" s="17">
        <v>20</v>
      </c>
      <c r="F297" s="18" t="s">
        <v>23</v>
      </c>
      <c r="G297" s="19">
        <v>10817</v>
      </c>
      <c r="H297" s="19">
        <v>9772</v>
      </c>
      <c r="I297" s="19">
        <v>11086</v>
      </c>
      <c r="J297" s="19">
        <v>10147</v>
      </c>
      <c r="K297" s="19">
        <v>9788</v>
      </c>
      <c r="L297" s="19">
        <v>8377</v>
      </c>
      <c r="M297" s="19">
        <v>9110</v>
      </c>
      <c r="N297" s="19">
        <v>9212</v>
      </c>
      <c r="O297" s="19">
        <v>8043</v>
      </c>
      <c r="P297" s="19">
        <v>7828</v>
      </c>
      <c r="Q297" s="19">
        <v>8149</v>
      </c>
      <c r="R297" s="19">
        <v>6818</v>
      </c>
      <c r="S297" s="19">
        <v>7366</v>
      </c>
      <c r="T297" s="19">
        <v>5974</v>
      </c>
      <c r="U297" s="19">
        <v>6074</v>
      </c>
      <c r="V297" s="19">
        <v>8179</v>
      </c>
      <c r="W297" s="19">
        <v>7190</v>
      </c>
      <c r="X297" s="19">
        <v>6343</v>
      </c>
      <c r="Y297" s="19">
        <v>6896</v>
      </c>
      <c r="Z297" s="19">
        <v>7372</v>
      </c>
      <c r="AA297" s="19">
        <v>5311</v>
      </c>
      <c r="AB297" s="19">
        <v>8382</v>
      </c>
      <c r="AC297" s="19">
        <v>6341</v>
      </c>
      <c r="AD297" s="19">
        <v>7679</v>
      </c>
      <c r="AE297" s="19">
        <f t="shared" si="19"/>
        <v>109147</v>
      </c>
      <c r="AF297" s="19">
        <f t="shared" si="20"/>
        <v>83107</v>
      </c>
      <c r="AG297" s="20">
        <f t="shared" si="21"/>
        <v>9095.5833333333339</v>
      </c>
      <c r="AH297" s="20">
        <f t="shared" si="22"/>
        <v>6925.583333333333</v>
      </c>
      <c r="AI297" s="21"/>
      <c r="AJ297" s="13"/>
      <c r="AK297" s="13"/>
    </row>
    <row r="298" spans="1:37" x14ac:dyDescent="0.35">
      <c r="A298" s="15" t="str">
        <f>VLOOKUP(B298,'[1]Tabla 1 Arsenal'!$B$11:$K$380,10,FALSE)</f>
        <v>P066</v>
      </c>
      <c r="B298" s="15">
        <v>106009</v>
      </c>
      <c r="C298" s="16" t="s">
        <v>350</v>
      </c>
      <c r="D298" s="16" t="s">
        <v>37</v>
      </c>
      <c r="E298" s="17">
        <v>580</v>
      </c>
      <c r="F298" s="18" t="s">
        <v>23</v>
      </c>
      <c r="G298" s="19">
        <v>110</v>
      </c>
      <c r="H298" s="19">
        <v>128</v>
      </c>
      <c r="I298" s="19">
        <v>147</v>
      </c>
      <c r="J298" s="19">
        <v>143</v>
      </c>
      <c r="K298" s="19">
        <v>182</v>
      </c>
      <c r="L298" s="19">
        <v>101</v>
      </c>
      <c r="M298" s="19">
        <v>63</v>
      </c>
      <c r="N298" s="19">
        <v>98</v>
      </c>
      <c r="O298" s="19">
        <v>143</v>
      </c>
      <c r="P298" s="19">
        <v>129</v>
      </c>
      <c r="Q298" s="19">
        <v>194</v>
      </c>
      <c r="R298" s="19">
        <v>122</v>
      </c>
      <c r="S298" s="19">
        <v>171</v>
      </c>
      <c r="T298" s="19">
        <v>65</v>
      </c>
      <c r="U298" s="19">
        <v>123</v>
      </c>
      <c r="V298" s="19">
        <v>132</v>
      </c>
      <c r="W298" s="19">
        <v>88</v>
      </c>
      <c r="X298" s="19">
        <v>60</v>
      </c>
      <c r="Y298" s="19">
        <v>72</v>
      </c>
      <c r="Z298" s="19">
        <v>130</v>
      </c>
      <c r="AA298" s="19">
        <v>69</v>
      </c>
      <c r="AB298" s="19">
        <v>136</v>
      </c>
      <c r="AC298" s="19">
        <v>104</v>
      </c>
      <c r="AD298" s="19">
        <v>36</v>
      </c>
      <c r="AE298" s="19">
        <f t="shared" si="19"/>
        <v>1560</v>
      </c>
      <c r="AF298" s="19">
        <f t="shared" si="20"/>
        <v>1186</v>
      </c>
      <c r="AG298" s="20">
        <f t="shared" si="21"/>
        <v>130</v>
      </c>
      <c r="AH298" s="20">
        <f t="shared" si="22"/>
        <v>98.833333333333329</v>
      </c>
      <c r="AI298" s="21"/>
      <c r="AJ298" s="13"/>
      <c r="AK298" s="13"/>
    </row>
    <row r="299" spans="1:37" x14ac:dyDescent="0.35">
      <c r="A299" s="15" t="str">
        <f>VLOOKUP(B299,'[1]Tabla 1 Arsenal'!$B$11:$K$380,10,FALSE)</f>
        <v>P097</v>
      </c>
      <c r="B299" s="15">
        <v>101044</v>
      </c>
      <c r="C299" s="16" t="s">
        <v>351</v>
      </c>
      <c r="D299" s="16" t="s">
        <v>22</v>
      </c>
      <c r="E299" s="17">
        <v>305604</v>
      </c>
      <c r="F299" s="18" t="s">
        <v>55</v>
      </c>
      <c r="G299" s="19">
        <v>7</v>
      </c>
      <c r="H299" s="19">
        <v>3</v>
      </c>
      <c r="I299" s="19">
        <v>2</v>
      </c>
      <c r="J299" s="19">
        <v>4</v>
      </c>
      <c r="K299" s="19">
        <v>4</v>
      </c>
      <c r="L299" s="19">
        <v>3</v>
      </c>
      <c r="M299" s="19">
        <v>6</v>
      </c>
      <c r="N299" s="19">
        <v>11</v>
      </c>
      <c r="O299" s="19">
        <v>6</v>
      </c>
      <c r="P299" s="19">
        <v>4</v>
      </c>
      <c r="Q299" s="19">
        <v>7</v>
      </c>
      <c r="R299" s="19">
        <v>5</v>
      </c>
      <c r="S299" s="19">
        <v>5</v>
      </c>
      <c r="T299" s="19">
        <v>6</v>
      </c>
      <c r="U299" s="19">
        <v>0</v>
      </c>
      <c r="V299" s="19">
        <v>0</v>
      </c>
      <c r="W299" s="19">
        <v>6</v>
      </c>
      <c r="X299" s="19">
        <v>2</v>
      </c>
      <c r="Y299" s="19">
        <v>4</v>
      </c>
      <c r="Z299" s="19">
        <v>6</v>
      </c>
      <c r="AA299" s="19">
        <v>5</v>
      </c>
      <c r="AB299" s="19">
        <v>4</v>
      </c>
      <c r="AC299" s="19">
        <v>6</v>
      </c>
      <c r="AD299" s="19">
        <v>3</v>
      </c>
      <c r="AE299" s="19">
        <f t="shared" si="19"/>
        <v>62</v>
      </c>
      <c r="AF299" s="19">
        <f t="shared" si="20"/>
        <v>47</v>
      </c>
      <c r="AG299" s="20">
        <f t="shared" si="21"/>
        <v>5.166666666666667</v>
      </c>
      <c r="AH299" s="20">
        <f t="shared" si="22"/>
        <v>3.9166666666666665</v>
      </c>
      <c r="AI299" s="21"/>
      <c r="AJ299" s="13"/>
      <c r="AK299" s="13"/>
    </row>
    <row r="300" spans="1:37" x14ac:dyDescent="0.35">
      <c r="A300" s="15" t="str">
        <f>VLOOKUP(B300,'[1]Tabla 1 Arsenal'!$B$11:$K$380,10,FALSE)</f>
        <v>P136</v>
      </c>
      <c r="B300" s="15">
        <v>102008</v>
      </c>
      <c r="C300" s="16" t="s">
        <v>352</v>
      </c>
      <c r="D300" s="16" t="s">
        <v>37</v>
      </c>
      <c r="E300" s="17">
        <v>655</v>
      </c>
      <c r="F300" s="18" t="s">
        <v>23</v>
      </c>
      <c r="G300" s="19">
        <v>3</v>
      </c>
      <c r="H300" s="19">
        <v>4</v>
      </c>
      <c r="I300" s="19">
        <v>5</v>
      </c>
      <c r="J300" s="19">
        <v>15</v>
      </c>
      <c r="K300" s="19">
        <v>11</v>
      </c>
      <c r="L300" s="19">
        <v>6</v>
      </c>
      <c r="M300" s="19">
        <v>5</v>
      </c>
      <c r="N300" s="19">
        <v>8</v>
      </c>
      <c r="O300" s="19">
        <v>13</v>
      </c>
      <c r="P300" s="19">
        <v>7</v>
      </c>
      <c r="Q300" s="19">
        <v>23</v>
      </c>
      <c r="R300" s="19">
        <v>9</v>
      </c>
      <c r="S300" s="19">
        <v>26</v>
      </c>
      <c r="T300" s="19">
        <v>0</v>
      </c>
      <c r="U300" s="19">
        <v>12</v>
      </c>
      <c r="V300" s="19">
        <v>2</v>
      </c>
      <c r="W300" s="19">
        <v>0</v>
      </c>
      <c r="X300" s="19">
        <v>3</v>
      </c>
      <c r="Y300" s="19">
        <v>8</v>
      </c>
      <c r="Z300" s="19">
        <v>6</v>
      </c>
      <c r="AA300" s="19">
        <v>1</v>
      </c>
      <c r="AB300" s="19">
        <v>14</v>
      </c>
      <c r="AC300" s="19">
        <v>2</v>
      </c>
      <c r="AD300" s="19">
        <v>8</v>
      </c>
      <c r="AE300" s="19">
        <f t="shared" si="19"/>
        <v>109</v>
      </c>
      <c r="AF300" s="19">
        <f t="shared" si="20"/>
        <v>82</v>
      </c>
      <c r="AG300" s="20">
        <f t="shared" si="21"/>
        <v>9.0833333333333339</v>
      </c>
      <c r="AH300" s="20">
        <f t="shared" si="22"/>
        <v>6.833333333333333</v>
      </c>
      <c r="AI300" s="21"/>
      <c r="AJ300" s="13"/>
      <c r="AK300" s="13"/>
    </row>
    <row r="301" spans="1:37" x14ac:dyDescent="0.35">
      <c r="A301" s="15" t="str">
        <f>VLOOKUP(B301,'[1]Tabla 1 Arsenal'!$B$11:$K$380,10,FALSE)</f>
        <v>P042</v>
      </c>
      <c r="B301" s="15">
        <v>101045</v>
      </c>
      <c r="C301" s="16" t="s">
        <v>353</v>
      </c>
      <c r="D301" s="16" t="s">
        <v>32</v>
      </c>
      <c r="E301" s="17">
        <v>988</v>
      </c>
      <c r="F301" s="18" t="s">
        <v>55</v>
      </c>
      <c r="G301" s="19">
        <v>60</v>
      </c>
      <c r="H301" s="19">
        <v>375</v>
      </c>
      <c r="I301" s="19">
        <v>188</v>
      </c>
      <c r="J301" s="19">
        <v>104</v>
      </c>
      <c r="K301" s="19">
        <v>104</v>
      </c>
      <c r="L301" s="19">
        <v>210</v>
      </c>
      <c r="M301" s="19">
        <v>355</v>
      </c>
      <c r="N301" s="19">
        <v>256</v>
      </c>
      <c r="O301" s="19">
        <v>10</v>
      </c>
      <c r="P301" s="19">
        <v>270</v>
      </c>
      <c r="Q301" s="19">
        <v>300</v>
      </c>
      <c r="R301" s="19">
        <v>15</v>
      </c>
      <c r="S301" s="19">
        <v>284</v>
      </c>
      <c r="T301" s="19">
        <v>360</v>
      </c>
      <c r="U301" s="19">
        <v>90</v>
      </c>
      <c r="V301" s="19">
        <v>44</v>
      </c>
      <c r="W301" s="19">
        <v>390</v>
      </c>
      <c r="X301" s="19">
        <v>90</v>
      </c>
      <c r="Y301" s="19">
        <v>43</v>
      </c>
      <c r="Z301" s="19">
        <v>120</v>
      </c>
      <c r="AA301" s="19">
        <v>132</v>
      </c>
      <c r="AB301" s="19">
        <v>0</v>
      </c>
      <c r="AC301" s="19">
        <v>105</v>
      </c>
      <c r="AD301" s="19">
        <v>21</v>
      </c>
      <c r="AE301" s="19">
        <f t="shared" si="19"/>
        <v>2247</v>
      </c>
      <c r="AF301" s="19">
        <f t="shared" si="20"/>
        <v>1679</v>
      </c>
      <c r="AG301" s="20">
        <f t="shared" si="21"/>
        <v>187.25</v>
      </c>
      <c r="AH301" s="20">
        <f t="shared" si="22"/>
        <v>139.91666666666666</v>
      </c>
      <c r="AI301" s="21"/>
      <c r="AJ301" s="13"/>
      <c r="AK301" s="13"/>
    </row>
    <row r="302" spans="1:37" x14ac:dyDescent="0.35">
      <c r="A302" s="15" t="str">
        <f>VLOOKUP(B302,'[1]Tabla 1 Arsenal'!$B$11:$K$380,10,FALSE)</f>
        <v>P134</v>
      </c>
      <c r="B302" s="15">
        <v>103018</v>
      </c>
      <c r="C302" s="16" t="s">
        <v>354</v>
      </c>
      <c r="D302" s="16" t="s">
        <v>86</v>
      </c>
      <c r="E302" s="17">
        <v>107</v>
      </c>
      <c r="F302" s="18" t="s">
        <v>23</v>
      </c>
      <c r="G302" s="19">
        <v>13</v>
      </c>
      <c r="H302" s="19">
        <v>25</v>
      </c>
      <c r="I302" s="19">
        <v>18</v>
      </c>
      <c r="J302" s="19">
        <v>42</v>
      </c>
      <c r="K302" s="19">
        <v>76</v>
      </c>
      <c r="L302" s="19">
        <v>58</v>
      </c>
      <c r="M302" s="19">
        <v>31</v>
      </c>
      <c r="N302" s="19">
        <v>13</v>
      </c>
      <c r="O302" s="19">
        <v>77</v>
      </c>
      <c r="P302" s="19">
        <v>40</v>
      </c>
      <c r="Q302" s="19">
        <v>29</v>
      </c>
      <c r="R302" s="19">
        <v>1</v>
      </c>
      <c r="S302" s="19">
        <v>97</v>
      </c>
      <c r="T302" s="19">
        <v>30</v>
      </c>
      <c r="U302" s="19">
        <v>8</v>
      </c>
      <c r="V302" s="19">
        <v>11</v>
      </c>
      <c r="W302" s="19">
        <v>23</v>
      </c>
      <c r="X302" s="19">
        <v>6</v>
      </c>
      <c r="Y302" s="19">
        <v>0</v>
      </c>
      <c r="Z302" s="19">
        <v>46</v>
      </c>
      <c r="AA302" s="19">
        <v>10</v>
      </c>
      <c r="AB302" s="19">
        <v>4</v>
      </c>
      <c r="AC302" s="19">
        <v>33</v>
      </c>
      <c r="AD302" s="19">
        <v>48</v>
      </c>
      <c r="AE302" s="19">
        <f t="shared" si="19"/>
        <v>423</v>
      </c>
      <c r="AF302" s="19">
        <f t="shared" si="20"/>
        <v>316</v>
      </c>
      <c r="AG302" s="20">
        <f t="shared" si="21"/>
        <v>35.25</v>
      </c>
      <c r="AH302" s="20">
        <f t="shared" si="22"/>
        <v>26.333333333333332</v>
      </c>
      <c r="AI302" s="21"/>
      <c r="AJ302" s="13"/>
      <c r="AK302" s="13"/>
    </row>
    <row r="303" spans="1:37" x14ac:dyDescent="0.35">
      <c r="A303" s="15" t="str">
        <f>VLOOKUP(B303,'[1]Tabla 1 Arsenal'!$B$11:$K$380,10,FALSE)</f>
        <v>P110</v>
      </c>
      <c r="B303" s="15">
        <v>106014</v>
      </c>
      <c r="C303" s="16" t="s">
        <v>355</v>
      </c>
      <c r="D303" s="16" t="s">
        <v>37</v>
      </c>
      <c r="E303" s="17">
        <v>414</v>
      </c>
      <c r="F303" s="18" t="s">
        <v>23</v>
      </c>
      <c r="G303" s="19">
        <v>79</v>
      </c>
      <c r="H303" s="19">
        <v>92</v>
      </c>
      <c r="I303" s="19">
        <v>101</v>
      </c>
      <c r="J303" s="19">
        <v>80</v>
      </c>
      <c r="K303" s="19">
        <v>3</v>
      </c>
      <c r="L303" s="19">
        <v>75</v>
      </c>
      <c r="M303" s="19">
        <v>51</v>
      </c>
      <c r="N303" s="19">
        <v>57</v>
      </c>
      <c r="O303" s="19">
        <v>62</v>
      </c>
      <c r="P303" s="19">
        <v>100</v>
      </c>
      <c r="Q303" s="19">
        <v>176</v>
      </c>
      <c r="R303" s="19">
        <v>91</v>
      </c>
      <c r="S303" s="19">
        <v>52</v>
      </c>
      <c r="T303" s="19">
        <v>36</v>
      </c>
      <c r="U303" s="19">
        <v>62</v>
      </c>
      <c r="V303" s="19">
        <v>102</v>
      </c>
      <c r="W303" s="19">
        <v>49</v>
      </c>
      <c r="X303" s="19">
        <v>76</v>
      </c>
      <c r="Y303" s="19">
        <v>49</v>
      </c>
      <c r="Z303" s="19">
        <v>47</v>
      </c>
      <c r="AA303" s="19">
        <v>72</v>
      </c>
      <c r="AB303" s="19">
        <v>84</v>
      </c>
      <c r="AC303" s="19">
        <v>44</v>
      </c>
      <c r="AD303" s="19">
        <v>48</v>
      </c>
      <c r="AE303" s="19">
        <f t="shared" si="19"/>
        <v>967</v>
      </c>
      <c r="AF303" s="19">
        <f t="shared" si="20"/>
        <v>721</v>
      </c>
      <c r="AG303" s="20">
        <f t="shared" si="21"/>
        <v>80.583333333333329</v>
      </c>
      <c r="AH303" s="20">
        <f t="shared" si="22"/>
        <v>60.083333333333336</v>
      </c>
      <c r="AI303" s="21"/>
      <c r="AJ303" s="13"/>
      <c r="AK303" s="13"/>
    </row>
    <row r="304" spans="1:37" x14ac:dyDescent="0.35">
      <c r="A304" s="15" t="str">
        <f>VLOOKUP(B304,'[1]Tabla 1 Arsenal'!$B$11:$K$380,10,FALSE)</f>
        <v>P321</v>
      </c>
      <c r="B304" s="15">
        <v>104029</v>
      </c>
      <c r="C304" s="16" t="s">
        <v>356</v>
      </c>
      <c r="D304" s="16" t="s">
        <v>32</v>
      </c>
      <c r="E304" s="17">
        <v>18</v>
      </c>
      <c r="F304" s="18" t="s">
        <v>23</v>
      </c>
      <c r="G304" s="19">
        <v>3956</v>
      </c>
      <c r="H304" s="19">
        <v>3671</v>
      </c>
      <c r="I304" s="19">
        <v>4774</v>
      </c>
      <c r="J304" s="19">
        <v>3408</v>
      </c>
      <c r="K304" s="19">
        <v>3665</v>
      </c>
      <c r="L304" s="19">
        <v>3392</v>
      </c>
      <c r="M304" s="19">
        <v>3075</v>
      </c>
      <c r="N304" s="19">
        <v>3581</v>
      </c>
      <c r="O304" s="19">
        <v>2572</v>
      </c>
      <c r="P304" s="19">
        <v>3492</v>
      </c>
      <c r="Q304" s="19">
        <v>2107</v>
      </c>
      <c r="R304" s="19">
        <v>2962</v>
      </c>
      <c r="S304" s="19">
        <v>3120</v>
      </c>
      <c r="T304" s="19">
        <v>2806</v>
      </c>
      <c r="U304" s="19">
        <v>2220</v>
      </c>
      <c r="V304" s="19">
        <v>2920</v>
      </c>
      <c r="W304" s="19">
        <v>2367</v>
      </c>
      <c r="X304" s="19">
        <v>1712</v>
      </c>
      <c r="Y304" s="19">
        <v>3050</v>
      </c>
      <c r="Z304" s="19">
        <v>2691</v>
      </c>
      <c r="AA304" s="19">
        <v>2285</v>
      </c>
      <c r="AB304" s="19">
        <v>2498</v>
      </c>
      <c r="AC304" s="19">
        <v>1907</v>
      </c>
      <c r="AD304" s="19">
        <v>2726</v>
      </c>
      <c r="AE304" s="19">
        <f t="shared" si="19"/>
        <v>40655</v>
      </c>
      <c r="AF304" s="19">
        <f t="shared" si="20"/>
        <v>30302</v>
      </c>
      <c r="AG304" s="20">
        <f t="shared" si="21"/>
        <v>3387.9166666666665</v>
      </c>
      <c r="AH304" s="20">
        <f t="shared" si="22"/>
        <v>2525.1666666666665</v>
      </c>
      <c r="AI304" s="21"/>
      <c r="AJ304" s="13"/>
      <c r="AK304" s="13"/>
    </row>
    <row r="305" spans="1:37" x14ac:dyDescent="0.35">
      <c r="A305" s="15" t="str">
        <f>VLOOKUP(B305,'[1]Tabla 1 Arsenal'!$B$11:$K$380,10,FALSE)</f>
        <v>P092</v>
      </c>
      <c r="B305" s="15">
        <v>209064</v>
      </c>
      <c r="C305" s="16" t="s">
        <v>357</v>
      </c>
      <c r="D305" s="16" t="s">
        <v>22</v>
      </c>
      <c r="E305" s="17">
        <v>11624</v>
      </c>
      <c r="F305" s="18" t="s">
        <v>55</v>
      </c>
      <c r="G305" s="19">
        <v>25</v>
      </c>
      <c r="H305" s="19">
        <v>35</v>
      </c>
      <c r="I305" s="19">
        <v>36</v>
      </c>
      <c r="J305" s="19">
        <v>55</v>
      </c>
      <c r="K305" s="19">
        <v>106</v>
      </c>
      <c r="L305" s="19">
        <v>57</v>
      </c>
      <c r="M305" s="19">
        <v>68</v>
      </c>
      <c r="N305" s="19">
        <v>89</v>
      </c>
      <c r="O305" s="19">
        <v>66</v>
      </c>
      <c r="P305" s="19">
        <v>39</v>
      </c>
      <c r="Q305" s="19">
        <v>14</v>
      </c>
      <c r="R305" s="19">
        <v>21</v>
      </c>
      <c r="S305" s="19">
        <v>25</v>
      </c>
      <c r="T305" s="19">
        <v>50</v>
      </c>
      <c r="U305" s="19">
        <v>34</v>
      </c>
      <c r="V305" s="19">
        <v>42</v>
      </c>
      <c r="W305" s="19">
        <v>33</v>
      </c>
      <c r="X305" s="19">
        <v>22</v>
      </c>
      <c r="Y305" s="19">
        <v>38</v>
      </c>
      <c r="Z305" s="19">
        <v>12</v>
      </c>
      <c r="AA305" s="19">
        <v>36</v>
      </c>
      <c r="AB305" s="19">
        <v>48</v>
      </c>
      <c r="AC305" s="19">
        <v>55</v>
      </c>
      <c r="AD305" s="19">
        <v>59</v>
      </c>
      <c r="AE305" s="19">
        <f t="shared" si="19"/>
        <v>611</v>
      </c>
      <c r="AF305" s="19">
        <f t="shared" si="20"/>
        <v>454</v>
      </c>
      <c r="AG305" s="20">
        <f t="shared" si="21"/>
        <v>50.916666666666664</v>
      </c>
      <c r="AH305" s="20">
        <f t="shared" si="22"/>
        <v>37.833333333333336</v>
      </c>
      <c r="AI305" s="21"/>
      <c r="AJ305" s="13"/>
      <c r="AK305" s="13"/>
    </row>
    <row r="306" spans="1:37" x14ac:dyDescent="0.35">
      <c r="A306" s="15" t="str">
        <f>VLOOKUP(B306,'[1]Tabla 1 Arsenal'!$B$11:$K$380,10,FALSE)</f>
        <v>P129</v>
      </c>
      <c r="B306" s="15">
        <v>102033</v>
      </c>
      <c r="C306" s="16" t="s">
        <v>358</v>
      </c>
      <c r="D306" s="16" t="s">
        <v>39</v>
      </c>
      <c r="E306" s="17">
        <v>3296</v>
      </c>
      <c r="F306" s="18" t="s">
        <v>23</v>
      </c>
      <c r="G306" s="19">
        <v>212</v>
      </c>
      <c r="H306" s="19">
        <v>107</v>
      </c>
      <c r="I306" s="19">
        <v>197</v>
      </c>
      <c r="J306" s="19">
        <v>89</v>
      </c>
      <c r="K306" s="19">
        <v>124</v>
      </c>
      <c r="L306" s="19">
        <v>166</v>
      </c>
      <c r="M306" s="19">
        <v>128</v>
      </c>
      <c r="N306" s="19">
        <v>107</v>
      </c>
      <c r="O306" s="19">
        <v>95</v>
      </c>
      <c r="P306" s="19">
        <v>190</v>
      </c>
      <c r="Q306" s="19">
        <v>177</v>
      </c>
      <c r="R306" s="19">
        <v>40</v>
      </c>
      <c r="S306" s="19">
        <v>70</v>
      </c>
      <c r="T306" s="19">
        <v>110</v>
      </c>
      <c r="U306" s="19">
        <v>67</v>
      </c>
      <c r="V306" s="19">
        <v>62</v>
      </c>
      <c r="W306" s="19">
        <v>67</v>
      </c>
      <c r="X306" s="19">
        <v>76</v>
      </c>
      <c r="Y306" s="19">
        <v>119</v>
      </c>
      <c r="Z306" s="19">
        <v>91</v>
      </c>
      <c r="AA306" s="19">
        <v>151</v>
      </c>
      <c r="AB306" s="19">
        <v>149</v>
      </c>
      <c r="AC306" s="19">
        <v>123</v>
      </c>
      <c r="AD306" s="19">
        <v>115</v>
      </c>
      <c r="AE306" s="19">
        <f t="shared" si="19"/>
        <v>1632</v>
      </c>
      <c r="AF306" s="19">
        <f t="shared" si="20"/>
        <v>1200</v>
      </c>
      <c r="AG306" s="20">
        <f t="shared" si="21"/>
        <v>136</v>
      </c>
      <c r="AH306" s="20">
        <f t="shared" si="22"/>
        <v>100</v>
      </c>
      <c r="AI306" s="21"/>
      <c r="AJ306" s="13"/>
      <c r="AK306" s="13"/>
    </row>
    <row r="307" spans="1:37" x14ac:dyDescent="0.35">
      <c r="A307" s="15" t="str">
        <f>VLOOKUP(B307,'[1]Tabla 1 Arsenal'!$B$11:$K$380,10,FALSE)</f>
        <v>P132</v>
      </c>
      <c r="B307" s="15">
        <v>102093</v>
      </c>
      <c r="C307" s="16" t="s">
        <v>359</v>
      </c>
      <c r="D307" s="16" t="s">
        <v>37</v>
      </c>
      <c r="E307" s="17">
        <v>4305</v>
      </c>
      <c r="F307" s="18" t="s">
        <v>23</v>
      </c>
      <c r="G307" s="19">
        <v>26</v>
      </c>
      <c r="H307" s="19">
        <v>14</v>
      </c>
      <c r="I307" s="19">
        <v>12</v>
      </c>
      <c r="J307" s="19">
        <v>20</v>
      </c>
      <c r="K307" s="19">
        <v>28</v>
      </c>
      <c r="L307" s="19">
        <v>43</v>
      </c>
      <c r="M307" s="19">
        <v>34</v>
      </c>
      <c r="N307" s="19">
        <v>19</v>
      </c>
      <c r="O307" s="19">
        <v>16</v>
      </c>
      <c r="P307" s="19">
        <v>40</v>
      </c>
      <c r="Q307" s="19">
        <v>26</v>
      </c>
      <c r="R307" s="19">
        <v>88</v>
      </c>
      <c r="S307" s="19">
        <v>12</v>
      </c>
      <c r="T307" s="19">
        <v>20</v>
      </c>
      <c r="U307" s="19">
        <v>29</v>
      </c>
      <c r="V307" s="19">
        <v>28</v>
      </c>
      <c r="W307" s="19">
        <v>16</v>
      </c>
      <c r="X307" s="19">
        <v>29</v>
      </c>
      <c r="Y307" s="19">
        <v>52</v>
      </c>
      <c r="Z307" s="19">
        <v>19</v>
      </c>
      <c r="AA307" s="19">
        <v>18</v>
      </c>
      <c r="AB307" s="19">
        <v>18</v>
      </c>
      <c r="AC307" s="19">
        <v>0</v>
      </c>
      <c r="AD307" s="19">
        <v>27</v>
      </c>
      <c r="AE307" s="19">
        <f t="shared" si="19"/>
        <v>366</v>
      </c>
      <c r="AF307" s="19">
        <f t="shared" si="20"/>
        <v>268</v>
      </c>
      <c r="AG307" s="20">
        <f t="shared" si="21"/>
        <v>30.5</v>
      </c>
      <c r="AH307" s="20">
        <f t="shared" si="22"/>
        <v>22.333333333333332</v>
      </c>
      <c r="AI307" s="21"/>
      <c r="AJ307" s="13"/>
      <c r="AK307" s="13"/>
    </row>
    <row r="308" spans="1:37" x14ac:dyDescent="0.35">
      <c r="A308" s="15" t="str">
        <f>VLOOKUP(B308,'[1]Tabla 1 Arsenal'!$B$11:$K$380,10,FALSE)</f>
        <v>P219</v>
      </c>
      <c r="B308" s="15">
        <v>103022</v>
      </c>
      <c r="C308" s="16" t="s">
        <v>360</v>
      </c>
      <c r="D308" s="16" t="s">
        <v>22</v>
      </c>
      <c r="E308" s="17">
        <v>1981</v>
      </c>
      <c r="F308" s="18" t="s">
        <v>23</v>
      </c>
      <c r="G308" s="19">
        <v>640</v>
      </c>
      <c r="H308" s="19">
        <v>277</v>
      </c>
      <c r="I308" s="19">
        <v>735</v>
      </c>
      <c r="J308" s="19">
        <v>196</v>
      </c>
      <c r="K308" s="19">
        <v>296</v>
      </c>
      <c r="L308" s="19">
        <v>472</v>
      </c>
      <c r="M308" s="19">
        <v>911</v>
      </c>
      <c r="N308" s="19">
        <v>851</v>
      </c>
      <c r="O308" s="19">
        <v>186</v>
      </c>
      <c r="P308" s="19">
        <v>374</v>
      </c>
      <c r="Q308" s="19">
        <v>415</v>
      </c>
      <c r="R308" s="19">
        <v>520</v>
      </c>
      <c r="S308" s="19">
        <v>166</v>
      </c>
      <c r="T308" s="19">
        <v>590</v>
      </c>
      <c r="U308" s="19">
        <v>551</v>
      </c>
      <c r="V308" s="19">
        <v>392</v>
      </c>
      <c r="W308" s="19">
        <v>227</v>
      </c>
      <c r="X308" s="19">
        <v>361</v>
      </c>
      <c r="Y308" s="19">
        <v>160</v>
      </c>
      <c r="Z308" s="19">
        <v>688</v>
      </c>
      <c r="AA308" s="19">
        <v>123</v>
      </c>
      <c r="AB308" s="19">
        <v>275</v>
      </c>
      <c r="AC308" s="19">
        <v>387</v>
      </c>
      <c r="AD308" s="19">
        <v>332</v>
      </c>
      <c r="AE308" s="19">
        <f t="shared" si="19"/>
        <v>5873</v>
      </c>
      <c r="AF308" s="19">
        <f t="shared" si="20"/>
        <v>4252</v>
      </c>
      <c r="AG308" s="20">
        <f t="shared" si="21"/>
        <v>489.41666666666669</v>
      </c>
      <c r="AH308" s="20">
        <f t="shared" si="22"/>
        <v>354.33333333333331</v>
      </c>
      <c r="AI308" s="21"/>
      <c r="AJ308" s="13"/>
      <c r="AK308" s="13"/>
    </row>
    <row r="309" spans="1:37" x14ac:dyDescent="0.35">
      <c r="A309" s="15" t="str">
        <f>VLOOKUP(B309,'[1]Tabla 1 Arsenal'!$B$11:$K$380,10,FALSE)</f>
        <v>P175</v>
      </c>
      <c r="B309" s="15">
        <v>103029</v>
      </c>
      <c r="C309" s="16" t="s">
        <v>361</v>
      </c>
      <c r="D309" s="16" t="s">
        <v>22</v>
      </c>
      <c r="E309" s="17">
        <v>2975</v>
      </c>
      <c r="F309" s="18" t="s">
        <v>23</v>
      </c>
      <c r="G309" s="19">
        <v>170</v>
      </c>
      <c r="H309" s="19">
        <v>14</v>
      </c>
      <c r="I309" s="19">
        <v>96</v>
      </c>
      <c r="J309" s="19">
        <v>2</v>
      </c>
      <c r="K309" s="19">
        <v>177</v>
      </c>
      <c r="L309" s="19">
        <v>127</v>
      </c>
      <c r="M309" s="19">
        <v>50</v>
      </c>
      <c r="N309" s="19">
        <v>0</v>
      </c>
      <c r="O309" s="19">
        <v>18</v>
      </c>
      <c r="P309" s="19">
        <v>0</v>
      </c>
      <c r="Q309" s="19">
        <v>36</v>
      </c>
      <c r="R309" s="19">
        <v>52</v>
      </c>
      <c r="S309" s="19">
        <v>88</v>
      </c>
      <c r="T309" s="19">
        <v>18</v>
      </c>
      <c r="U309" s="19">
        <v>63</v>
      </c>
      <c r="V309" s="19">
        <v>50</v>
      </c>
      <c r="W309" s="19">
        <v>120</v>
      </c>
      <c r="X309" s="19">
        <v>15</v>
      </c>
      <c r="Y309" s="19">
        <v>32</v>
      </c>
      <c r="Z309" s="19">
        <v>56</v>
      </c>
      <c r="AA309" s="19">
        <v>66</v>
      </c>
      <c r="AB309" s="19">
        <v>27</v>
      </c>
      <c r="AC309" s="19">
        <v>0</v>
      </c>
      <c r="AD309" s="19">
        <v>0</v>
      </c>
      <c r="AE309" s="19">
        <f t="shared" si="19"/>
        <v>742</v>
      </c>
      <c r="AF309" s="19">
        <f t="shared" si="20"/>
        <v>535</v>
      </c>
      <c r="AG309" s="20">
        <f t="shared" si="21"/>
        <v>61.833333333333336</v>
      </c>
      <c r="AH309" s="20">
        <f t="shared" si="22"/>
        <v>44.583333333333336</v>
      </c>
      <c r="AI309" s="21"/>
      <c r="AJ309" s="13"/>
      <c r="AK309" s="13"/>
    </row>
    <row r="310" spans="1:37" x14ac:dyDescent="0.35">
      <c r="A310" s="15" t="str">
        <f>VLOOKUP(B310,'[1]Tabla 1 Arsenal'!$B$11:$K$380,10,FALSE)</f>
        <v>P157</v>
      </c>
      <c r="B310" s="15">
        <v>108010</v>
      </c>
      <c r="C310" s="16" t="s">
        <v>362</v>
      </c>
      <c r="D310" s="16" t="s">
        <v>135</v>
      </c>
      <c r="E310" s="17">
        <v>714</v>
      </c>
      <c r="F310" s="18" t="s">
        <v>23</v>
      </c>
      <c r="G310" s="19">
        <v>27</v>
      </c>
      <c r="H310" s="19">
        <v>164</v>
      </c>
      <c r="I310" s="19">
        <v>19</v>
      </c>
      <c r="J310" s="19">
        <v>72</v>
      </c>
      <c r="K310" s="19">
        <v>119</v>
      </c>
      <c r="L310" s="19">
        <v>24</v>
      </c>
      <c r="M310" s="19">
        <v>35</v>
      </c>
      <c r="N310" s="19">
        <v>30</v>
      </c>
      <c r="O310" s="19">
        <v>11</v>
      </c>
      <c r="P310" s="19">
        <v>4</v>
      </c>
      <c r="Q310" s="19">
        <v>10</v>
      </c>
      <c r="R310" s="19">
        <v>7</v>
      </c>
      <c r="S310" s="19">
        <v>29</v>
      </c>
      <c r="T310" s="19">
        <v>70</v>
      </c>
      <c r="U310" s="19">
        <v>20</v>
      </c>
      <c r="V310" s="19">
        <v>11</v>
      </c>
      <c r="W310" s="19">
        <v>13</v>
      </c>
      <c r="X310" s="19">
        <v>30</v>
      </c>
      <c r="Y310" s="19">
        <v>45</v>
      </c>
      <c r="Z310" s="19">
        <v>57</v>
      </c>
      <c r="AA310" s="19">
        <v>6</v>
      </c>
      <c r="AB310" s="19">
        <v>44</v>
      </c>
      <c r="AC310" s="19">
        <v>48</v>
      </c>
      <c r="AD310" s="19">
        <v>0</v>
      </c>
      <c r="AE310" s="19">
        <f t="shared" si="19"/>
        <v>522</v>
      </c>
      <c r="AF310" s="19">
        <f t="shared" si="20"/>
        <v>373</v>
      </c>
      <c r="AG310" s="20">
        <f t="shared" si="21"/>
        <v>43.5</v>
      </c>
      <c r="AH310" s="20">
        <f t="shared" si="22"/>
        <v>31.083333333333332</v>
      </c>
      <c r="AI310" s="21"/>
      <c r="AJ310" s="13"/>
      <c r="AK310" s="13"/>
    </row>
    <row r="311" spans="1:37" x14ac:dyDescent="0.35">
      <c r="A311" s="15" t="str">
        <f>VLOOKUP(B311,'[1]Tabla 1 Arsenal'!$B$11:$K$380,10,FALSE)</f>
        <v>P141</v>
      </c>
      <c r="B311" s="15">
        <v>106024</v>
      </c>
      <c r="C311" s="16" t="s">
        <v>363</v>
      </c>
      <c r="D311" s="16" t="s">
        <v>37</v>
      </c>
      <c r="E311" s="17">
        <v>74</v>
      </c>
      <c r="F311" s="18" t="s">
        <v>23</v>
      </c>
      <c r="G311" s="19">
        <v>125</v>
      </c>
      <c r="H311" s="19">
        <v>123</v>
      </c>
      <c r="I311" s="19">
        <v>121</v>
      </c>
      <c r="J311" s="19">
        <v>130</v>
      </c>
      <c r="K311" s="19">
        <v>167</v>
      </c>
      <c r="L311" s="19">
        <v>111</v>
      </c>
      <c r="M311" s="19">
        <v>175</v>
      </c>
      <c r="N311" s="19">
        <v>97</v>
      </c>
      <c r="O311" s="19">
        <v>39</v>
      </c>
      <c r="P311" s="19">
        <v>134</v>
      </c>
      <c r="Q311" s="19">
        <v>64</v>
      </c>
      <c r="R311" s="19">
        <v>50</v>
      </c>
      <c r="S311" s="19">
        <v>46</v>
      </c>
      <c r="T311" s="19">
        <v>62</v>
      </c>
      <c r="U311" s="19">
        <v>106</v>
      </c>
      <c r="V311" s="19">
        <v>132</v>
      </c>
      <c r="W311" s="19">
        <v>20</v>
      </c>
      <c r="X311" s="19">
        <v>41</v>
      </c>
      <c r="Y311" s="19">
        <v>175</v>
      </c>
      <c r="Z311" s="19">
        <v>74</v>
      </c>
      <c r="AA311" s="19">
        <v>97</v>
      </c>
      <c r="AB311" s="19">
        <v>84</v>
      </c>
      <c r="AC311" s="19">
        <v>20</v>
      </c>
      <c r="AD311" s="19">
        <v>90</v>
      </c>
      <c r="AE311" s="19">
        <f t="shared" si="19"/>
        <v>1336</v>
      </c>
      <c r="AF311" s="19">
        <f t="shared" si="20"/>
        <v>947</v>
      </c>
      <c r="AG311" s="20">
        <f t="shared" si="21"/>
        <v>111.33333333333333</v>
      </c>
      <c r="AH311" s="20">
        <f t="shared" si="22"/>
        <v>78.916666666666671</v>
      </c>
      <c r="AI311" s="21"/>
      <c r="AJ311" s="13"/>
      <c r="AK311" s="13"/>
    </row>
    <row r="312" spans="1:37" x14ac:dyDescent="0.35">
      <c r="A312" s="15" t="str">
        <f>VLOOKUP(B312,'[1]Tabla 1 Arsenal'!$B$11:$K$380,10,FALSE)</f>
        <v>P144</v>
      </c>
      <c r="B312" s="15">
        <v>209155</v>
      </c>
      <c r="C312" s="16" t="s">
        <v>364</v>
      </c>
      <c r="D312" s="16" t="s">
        <v>32</v>
      </c>
      <c r="E312" s="17">
        <v>3451</v>
      </c>
      <c r="F312" s="18" t="s">
        <v>55</v>
      </c>
      <c r="G312" s="19">
        <v>60</v>
      </c>
      <c r="H312" s="19">
        <v>60</v>
      </c>
      <c r="I312" s="19">
        <v>60</v>
      </c>
      <c r="J312" s="19">
        <v>60</v>
      </c>
      <c r="K312" s="19">
        <v>60</v>
      </c>
      <c r="L312" s="19">
        <v>30</v>
      </c>
      <c r="M312" s="19">
        <v>30</v>
      </c>
      <c r="N312" s="19">
        <v>30</v>
      </c>
      <c r="O312" s="19">
        <v>30</v>
      </c>
      <c r="P312" s="19">
        <v>30</v>
      </c>
      <c r="Q312" s="19">
        <v>30</v>
      </c>
      <c r="R312" s="19">
        <v>30</v>
      </c>
      <c r="S312" s="19">
        <v>30</v>
      </c>
      <c r="T312" s="19">
        <v>30</v>
      </c>
      <c r="U312" s="19">
        <v>30</v>
      </c>
      <c r="V312" s="19">
        <v>60</v>
      </c>
      <c r="W312" s="19">
        <v>30</v>
      </c>
      <c r="X312" s="19">
        <v>30</v>
      </c>
      <c r="Y312" s="19">
        <v>30</v>
      </c>
      <c r="Z312" s="19">
        <v>30</v>
      </c>
      <c r="AA312" s="19">
        <v>30</v>
      </c>
      <c r="AB312" s="19">
        <v>0</v>
      </c>
      <c r="AC312" s="19">
        <v>30</v>
      </c>
      <c r="AD312" s="19">
        <v>30</v>
      </c>
      <c r="AE312" s="19">
        <f t="shared" si="19"/>
        <v>510</v>
      </c>
      <c r="AF312" s="19">
        <f t="shared" si="20"/>
        <v>360</v>
      </c>
      <c r="AG312" s="20">
        <f t="shared" si="21"/>
        <v>42.5</v>
      </c>
      <c r="AH312" s="20">
        <f t="shared" si="22"/>
        <v>30</v>
      </c>
      <c r="AI312" s="21"/>
      <c r="AJ312" s="13"/>
      <c r="AK312" s="13"/>
    </row>
    <row r="313" spans="1:37" x14ac:dyDescent="0.35">
      <c r="A313" s="15" t="str">
        <f>VLOOKUP(B313,'[1]Tabla 1 Arsenal'!$B$11:$K$380,10,FALSE)</f>
        <v>P326</v>
      </c>
      <c r="B313" s="15">
        <v>106042</v>
      </c>
      <c r="C313" s="16" t="s">
        <v>365</v>
      </c>
      <c r="D313" s="16" t="s">
        <v>37</v>
      </c>
      <c r="E313" s="17">
        <v>217</v>
      </c>
      <c r="F313" s="18" t="s">
        <v>23</v>
      </c>
      <c r="G313" s="19">
        <v>126</v>
      </c>
      <c r="H313" s="19">
        <v>222</v>
      </c>
      <c r="I313" s="19">
        <v>187</v>
      </c>
      <c r="J313" s="19">
        <v>211</v>
      </c>
      <c r="K313" s="19">
        <v>57</v>
      </c>
      <c r="L313" s="19">
        <v>156</v>
      </c>
      <c r="M313" s="19">
        <v>47</v>
      </c>
      <c r="N313" s="19">
        <v>106</v>
      </c>
      <c r="O313" s="19">
        <v>16</v>
      </c>
      <c r="P313" s="19">
        <v>42</v>
      </c>
      <c r="Q313" s="19">
        <v>146</v>
      </c>
      <c r="R313" s="19">
        <v>142</v>
      </c>
      <c r="S313" s="19">
        <v>50</v>
      </c>
      <c r="T313" s="19">
        <v>24</v>
      </c>
      <c r="U313" s="19">
        <v>48</v>
      </c>
      <c r="V313" s="19">
        <v>74</v>
      </c>
      <c r="W313" s="19">
        <v>42</v>
      </c>
      <c r="X313" s="19">
        <v>6</v>
      </c>
      <c r="Y313" s="19">
        <v>14</v>
      </c>
      <c r="Z313" s="19">
        <v>12</v>
      </c>
      <c r="AA313" s="19">
        <v>50</v>
      </c>
      <c r="AB313" s="19">
        <v>115</v>
      </c>
      <c r="AC313" s="19">
        <v>296</v>
      </c>
      <c r="AD313" s="19">
        <v>298</v>
      </c>
      <c r="AE313" s="19">
        <f t="shared" si="19"/>
        <v>1458</v>
      </c>
      <c r="AF313" s="19">
        <f t="shared" si="20"/>
        <v>1029</v>
      </c>
      <c r="AG313" s="20">
        <f t="shared" si="21"/>
        <v>121.5</v>
      </c>
      <c r="AH313" s="20">
        <f t="shared" si="22"/>
        <v>85.75</v>
      </c>
      <c r="AI313" s="21"/>
      <c r="AJ313" s="13"/>
      <c r="AK313" s="13"/>
    </row>
    <row r="314" spans="1:37" x14ac:dyDescent="0.35">
      <c r="A314" s="15" t="str">
        <f>VLOOKUP(B314,'[1]Tabla 1 Arsenal'!$B$11:$K$380,10,FALSE)</f>
        <v>P062</v>
      </c>
      <c r="B314" s="15">
        <v>103005</v>
      </c>
      <c r="C314" s="16" t="s">
        <v>366</v>
      </c>
      <c r="D314" s="16" t="s">
        <v>22</v>
      </c>
      <c r="E314" s="17">
        <v>363</v>
      </c>
      <c r="F314" s="18" t="s">
        <v>23</v>
      </c>
      <c r="G314" s="19">
        <v>542</v>
      </c>
      <c r="H314" s="19">
        <v>469</v>
      </c>
      <c r="I314" s="19">
        <v>440</v>
      </c>
      <c r="J314" s="19">
        <v>520</v>
      </c>
      <c r="K314" s="19">
        <v>442</v>
      </c>
      <c r="L314" s="19">
        <v>392</v>
      </c>
      <c r="M314" s="19">
        <v>432</v>
      </c>
      <c r="N314" s="19">
        <v>550</v>
      </c>
      <c r="O314" s="19">
        <v>474</v>
      </c>
      <c r="P314" s="19">
        <v>371</v>
      </c>
      <c r="Q314" s="19">
        <v>397</v>
      </c>
      <c r="R314" s="19">
        <v>540</v>
      </c>
      <c r="S314" s="19">
        <v>367</v>
      </c>
      <c r="T314" s="19">
        <v>330</v>
      </c>
      <c r="U314" s="19">
        <v>292</v>
      </c>
      <c r="V314" s="19">
        <v>353</v>
      </c>
      <c r="W314" s="19">
        <v>340</v>
      </c>
      <c r="X314" s="19">
        <v>393</v>
      </c>
      <c r="Y314" s="19">
        <v>392</v>
      </c>
      <c r="Z314" s="19">
        <v>266</v>
      </c>
      <c r="AA314" s="19">
        <v>258</v>
      </c>
      <c r="AB314" s="19">
        <v>296</v>
      </c>
      <c r="AC314" s="19">
        <v>231</v>
      </c>
      <c r="AD314" s="19">
        <v>285</v>
      </c>
      <c r="AE314" s="19">
        <f t="shared" si="19"/>
        <v>5569</v>
      </c>
      <c r="AF314" s="19">
        <f t="shared" si="20"/>
        <v>3803</v>
      </c>
      <c r="AG314" s="20">
        <f t="shared" si="21"/>
        <v>464.08333333333331</v>
      </c>
      <c r="AH314" s="20">
        <f t="shared" si="22"/>
        <v>316.91666666666669</v>
      </c>
      <c r="AI314" s="21"/>
      <c r="AJ314" s="13"/>
      <c r="AK314" s="13"/>
    </row>
    <row r="315" spans="1:37" x14ac:dyDescent="0.35">
      <c r="A315" s="15" t="str">
        <f>VLOOKUP(B315,'[1]Tabla 1 Arsenal'!$B$11:$K$380,10,FALSE)</f>
        <v>P241</v>
      </c>
      <c r="B315" s="15">
        <v>102136</v>
      </c>
      <c r="C315" s="16" t="s">
        <v>367</v>
      </c>
      <c r="D315" s="16" t="s">
        <v>94</v>
      </c>
      <c r="E315" s="17">
        <v>490</v>
      </c>
      <c r="F315" s="18" t="s">
        <v>23</v>
      </c>
      <c r="G315" s="19">
        <v>0</v>
      </c>
      <c r="H315" s="19">
        <v>30</v>
      </c>
      <c r="I315" s="19">
        <v>50</v>
      </c>
      <c r="J315" s="19">
        <v>120</v>
      </c>
      <c r="K315" s="19">
        <v>0</v>
      </c>
      <c r="L315" s="19">
        <v>0</v>
      </c>
      <c r="M315" s="19">
        <v>20</v>
      </c>
      <c r="N315" s="19">
        <v>0</v>
      </c>
      <c r="O315" s="19">
        <v>5</v>
      </c>
      <c r="P315" s="19">
        <v>0</v>
      </c>
      <c r="Q315" s="19">
        <v>14</v>
      </c>
      <c r="R315" s="19">
        <v>9</v>
      </c>
      <c r="S315" s="19">
        <v>9</v>
      </c>
      <c r="T315" s="19">
        <v>0</v>
      </c>
      <c r="U315" s="19">
        <v>63</v>
      </c>
      <c r="V315" s="19">
        <v>12</v>
      </c>
      <c r="W315" s="19">
        <v>0</v>
      </c>
      <c r="X315" s="19">
        <v>3</v>
      </c>
      <c r="Y315" s="19">
        <v>6</v>
      </c>
      <c r="Z315" s="19">
        <v>25</v>
      </c>
      <c r="AA315" s="19">
        <v>24</v>
      </c>
      <c r="AB315" s="19">
        <v>16</v>
      </c>
      <c r="AC315" s="19">
        <v>5</v>
      </c>
      <c r="AD315" s="19">
        <v>6</v>
      </c>
      <c r="AE315" s="19">
        <f t="shared" si="19"/>
        <v>248</v>
      </c>
      <c r="AF315" s="19">
        <f t="shared" si="20"/>
        <v>169</v>
      </c>
      <c r="AG315" s="20">
        <f t="shared" si="21"/>
        <v>20.666666666666668</v>
      </c>
      <c r="AH315" s="20">
        <f t="shared" si="22"/>
        <v>14.083333333333334</v>
      </c>
      <c r="AI315" s="21"/>
      <c r="AJ315" s="13"/>
      <c r="AK315" s="13"/>
    </row>
    <row r="316" spans="1:37" x14ac:dyDescent="0.35">
      <c r="A316" s="15" t="str">
        <f>VLOOKUP(B316,'[1]Tabla 1 Arsenal'!$B$11:$K$380,10,FALSE)</f>
        <v>P303</v>
      </c>
      <c r="B316" s="15">
        <v>106047</v>
      </c>
      <c r="C316" s="16" t="s">
        <v>368</v>
      </c>
      <c r="D316" s="16" t="s">
        <v>37</v>
      </c>
      <c r="E316" s="17">
        <v>393</v>
      </c>
      <c r="F316" s="18" t="s">
        <v>23</v>
      </c>
      <c r="G316" s="19">
        <v>198</v>
      </c>
      <c r="H316" s="19">
        <v>133</v>
      </c>
      <c r="I316" s="19">
        <v>55</v>
      </c>
      <c r="J316" s="19">
        <v>30</v>
      </c>
      <c r="K316" s="19">
        <v>105</v>
      </c>
      <c r="L316" s="19">
        <v>51</v>
      </c>
      <c r="M316" s="19">
        <v>74</v>
      </c>
      <c r="N316" s="19">
        <v>83</v>
      </c>
      <c r="O316" s="19">
        <v>56</v>
      </c>
      <c r="P316" s="19">
        <v>69</v>
      </c>
      <c r="Q316" s="19">
        <v>13</v>
      </c>
      <c r="R316" s="19">
        <v>73</v>
      </c>
      <c r="S316" s="19">
        <v>31</v>
      </c>
      <c r="T316" s="19">
        <v>52</v>
      </c>
      <c r="U316" s="19">
        <v>38</v>
      </c>
      <c r="V316" s="19">
        <v>55</v>
      </c>
      <c r="W316" s="19">
        <v>145</v>
      </c>
      <c r="X316" s="19">
        <v>97</v>
      </c>
      <c r="Y316" s="19">
        <v>40</v>
      </c>
      <c r="Z316" s="19">
        <v>34</v>
      </c>
      <c r="AA316" s="19">
        <v>113</v>
      </c>
      <c r="AB316" s="19">
        <v>0</v>
      </c>
      <c r="AC316" s="19">
        <v>16</v>
      </c>
      <c r="AD316" s="19">
        <v>14</v>
      </c>
      <c r="AE316" s="19">
        <f t="shared" si="19"/>
        <v>940</v>
      </c>
      <c r="AF316" s="19">
        <f t="shared" si="20"/>
        <v>635</v>
      </c>
      <c r="AG316" s="20">
        <f t="shared" si="21"/>
        <v>78.333333333333329</v>
      </c>
      <c r="AH316" s="20">
        <f t="shared" si="22"/>
        <v>52.916666666666664</v>
      </c>
      <c r="AI316" s="21"/>
      <c r="AJ316" s="13"/>
      <c r="AK316" s="13"/>
    </row>
    <row r="317" spans="1:37" x14ac:dyDescent="0.35">
      <c r="A317" s="15" t="str">
        <f>VLOOKUP(B317,'[1]Tabla 1 Arsenal'!$B$11:$K$380,10,FALSE)</f>
        <v>P130</v>
      </c>
      <c r="B317" s="15">
        <v>102007</v>
      </c>
      <c r="C317" s="16" t="s">
        <v>369</v>
      </c>
      <c r="D317" s="16" t="s">
        <v>37</v>
      </c>
      <c r="E317" s="17">
        <v>203</v>
      </c>
      <c r="F317" s="18" t="s">
        <v>23</v>
      </c>
      <c r="G317" s="19">
        <v>278</v>
      </c>
      <c r="H317" s="19">
        <v>183</v>
      </c>
      <c r="I317" s="19">
        <v>322</v>
      </c>
      <c r="J317" s="19">
        <v>228</v>
      </c>
      <c r="K317" s="19">
        <v>286</v>
      </c>
      <c r="L317" s="19">
        <v>263</v>
      </c>
      <c r="M317" s="19">
        <v>248</v>
      </c>
      <c r="N317" s="19">
        <v>292</v>
      </c>
      <c r="O317" s="19">
        <v>402</v>
      </c>
      <c r="P317" s="19">
        <v>253</v>
      </c>
      <c r="Q317" s="19">
        <v>298</v>
      </c>
      <c r="R317" s="19">
        <v>237</v>
      </c>
      <c r="S317" s="19">
        <v>338</v>
      </c>
      <c r="T317" s="19">
        <v>174</v>
      </c>
      <c r="U317" s="19">
        <v>219</v>
      </c>
      <c r="V317" s="19">
        <v>181</v>
      </c>
      <c r="W317" s="19">
        <v>125</v>
      </c>
      <c r="X317" s="19">
        <v>133</v>
      </c>
      <c r="Y317" s="19">
        <v>179</v>
      </c>
      <c r="Z317" s="19">
        <v>188</v>
      </c>
      <c r="AA317" s="19">
        <v>154</v>
      </c>
      <c r="AB317" s="19">
        <v>181</v>
      </c>
      <c r="AC317" s="19">
        <v>165</v>
      </c>
      <c r="AD317" s="19">
        <v>158</v>
      </c>
      <c r="AE317" s="19">
        <f t="shared" si="19"/>
        <v>3290</v>
      </c>
      <c r="AF317" s="19">
        <f t="shared" si="20"/>
        <v>2195</v>
      </c>
      <c r="AG317" s="20">
        <f t="shared" si="21"/>
        <v>274.16666666666669</v>
      </c>
      <c r="AH317" s="20">
        <f t="shared" si="22"/>
        <v>182.91666666666666</v>
      </c>
      <c r="AI317" s="21"/>
      <c r="AJ317" s="13"/>
      <c r="AK317" s="13"/>
    </row>
    <row r="318" spans="1:37" x14ac:dyDescent="0.35">
      <c r="A318" s="15" t="str">
        <f>VLOOKUP(B318,'[1]Tabla 1 Arsenal'!$B$11:$K$380,10,FALSE)</f>
        <v>P284</v>
      </c>
      <c r="B318" s="15">
        <v>209109</v>
      </c>
      <c r="C318" s="16" t="s">
        <v>370</v>
      </c>
      <c r="D318" s="16" t="s">
        <v>22</v>
      </c>
      <c r="E318" s="17">
        <v>28441</v>
      </c>
      <c r="F318" s="18" t="s">
        <v>55</v>
      </c>
      <c r="G318" s="19">
        <v>19</v>
      </c>
      <c r="H318" s="19">
        <v>17</v>
      </c>
      <c r="I318" s="19">
        <v>26</v>
      </c>
      <c r="J318" s="19">
        <v>21</v>
      </c>
      <c r="K318" s="19">
        <v>23</v>
      </c>
      <c r="L318" s="19">
        <v>25</v>
      </c>
      <c r="M318" s="19">
        <v>20</v>
      </c>
      <c r="N318" s="19">
        <v>17</v>
      </c>
      <c r="O318" s="19">
        <v>15</v>
      </c>
      <c r="P318" s="19">
        <v>29</v>
      </c>
      <c r="Q318" s="19">
        <v>27</v>
      </c>
      <c r="R318" s="19">
        <v>28</v>
      </c>
      <c r="S318" s="19">
        <v>22</v>
      </c>
      <c r="T318" s="19">
        <v>18</v>
      </c>
      <c r="U318" s="19">
        <v>12</v>
      </c>
      <c r="V318" s="19">
        <v>13</v>
      </c>
      <c r="W318" s="19">
        <v>10</v>
      </c>
      <c r="X318" s="19">
        <v>10</v>
      </c>
      <c r="Y318" s="19">
        <v>6</v>
      </c>
      <c r="Z318" s="19">
        <v>16</v>
      </c>
      <c r="AA318" s="19">
        <v>10</v>
      </c>
      <c r="AB318" s="19">
        <v>22</v>
      </c>
      <c r="AC318" s="19">
        <v>23</v>
      </c>
      <c r="AD318" s="19">
        <v>13</v>
      </c>
      <c r="AE318" s="19">
        <f t="shared" si="19"/>
        <v>267</v>
      </c>
      <c r="AF318" s="19">
        <f t="shared" si="20"/>
        <v>175</v>
      </c>
      <c r="AG318" s="20">
        <f t="shared" si="21"/>
        <v>22.25</v>
      </c>
      <c r="AH318" s="20">
        <f t="shared" si="22"/>
        <v>14.583333333333334</v>
      </c>
      <c r="AI318" s="21"/>
      <c r="AJ318" s="13"/>
      <c r="AK318" s="13"/>
    </row>
    <row r="319" spans="1:37" x14ac:dyDescent="0.35">
      <c r="A319" s="15" t="str">
        <f>VLOOKUP(B319,'[1]Tabla 1 Arsenal'!$B$11:$K$380,10,FALSE)</f>
        <v>P067</v>
      </c>
      <c r="B319" s="15">
        <v>209010</v>
      </c>
      <c r="C319" s="16" t="s">
        <v>371</v>
      </c>
      <c r="D319" s="16" t="s">
        <v>32</v>
      </c>
      <c r="E319" s="17">
        <v>447</v>
      </c>
      <c r="F319" s="18" t="s">
        <v>55</v>
      </c>
      <c r="G319" s="19">
        <v>36</v>
      </c>
      <c r="H319" s="19">
        <v>76</v>
      </c>
      <c r="I319" s="19">
        <v>64</v>
      </c>
      <c r="J319" s="19">
        <v>0</v>
      </c>
      <c r="K319" s="19">
        <v>128</v>
      </c>
      <c r="L319" s="19">
        <v>124</v>
      </c>
      <c r="M319" s="19">
        <v>146</v>
      </c>
      <c r="N319" s="19">
        <v>232</v>
      </c>
      <c r="O319" s="19">
        <v>200</v>
      </c>
      <c r="P319" s="19">
        <v>200</v>
      </c>
      <c r="Q319" s="19">
        <v>128</v>
      </c>
      <c r="R319" s="19">
        <v>44</v>
      </c>
      <c r="S319" s="19">
        <v>128</v>
      </c>
      <c r="T319" s="19">
        <v>201</v>
      </c>
      <c r="U319" s="19">
        <v>64</v>
      </c>
      <c r="V319" s="19">
        <v>0</v>
      </c>
      <c r="W319" s="19">
        <v>44</v>
      </c>
      <c r="X319" s="19">
        <v>44</v>
      </c>
      <c r="Y319" s="19">
        <v>40</v>
      </c>
      <c r="Z319" s="19">
        <v>64</v>
      </c>
      <c r="AA319" s="19">
        <v>40</v>
      </c>
      <c r="AB319" s="19">
        <v>124</v>
      </c>
      <c r="AC319" s="19">
        <v>86</v>
      </c>
      <c r="AD319" s="19">
        <v>64</v>
      </c>
      <c r="AE319" s="19">
        <f t="shared" si="19"/>
        <v>1378</v>
      </c>
      <c r="AF319" s="19">
        <f t="shared" si="20"/>
        <v>899</v>
      </c>
      <c r="AG319" s="20">
        <f t="shared" si="21"/>
        <v>114.83333333333333</v>
      </c>
      <c r="AH319" s="20">
        <f t="shared" si="22"/>
        <v>74.916666666666671</v>
      </c>
      <c r="AI319" s="21"/>
      <c r="AJ319" s="13"/>
      <c r="AK319" s="13"/>
    </row>
    <row r="320" spans="1:37" x14ac:dyDescent="0.35">
      <c r="A320" s="15" t="str">
        <f>VLOOKUP(B320,'[1]Tabla 1 Arsenal'!$B$11:$K$380,10,FALSE)</f>
        <v>P044</v>
      </c>
      <c r="B320" s="15">
        <v>209003</v>
      </c>
      <c r="C320" s="16" t="s">
        <v>372</v>
      </c>
      <c r="D320" s="16" t="s">
        <v>22</v>
      </c>
      <c r="E320" s="17">
        <v>29869</v>
      </c>
      <c r="F320" s="18" t="s">
        <v>55</v>
      </c>
      <c r="G320" s="19">
        <v>15</v>
      </c>
      <c r="H320" s="19">
        <v>33</v>
      </c>
      <c r="I320" s="19">
        <v>68</v>
      </c>
      <c r="J320" s="19">
        <v>73</v>
      </c>
      <c r="K320" s="19">
        <v>83</v>
      </c>
      <c r="L320" s="19">
        <v>43</v>
      </c>
      <c r="M320" s="19">
        <v>30</v>
      </c>
      <c r="N320" s="19">
        <v>66</v>
      </c>
      <c r="O320" s="19">
        <v>77</v>
      </c>
      <c r="P320" s="19">
        <v>50</v>
      </c>
      <c r="Q320" s="19">
        <v>58</v>
      </c>
      <c r="R320" s="19">
        <v>44</v>
      </c>
      <c r="S320" s="19">
        <v>50</v>
      </c>
      <c r="T320" s="19">
        <v>42</v>
      </c>
      <c r="U320" s="19">
        <v>54</v>
      </c>
      <c r="V320" s="19">
        <v>55</v>
      </c>
      <c r="W320" s="19">
        <v>30</v>
      </c>
      <c r="X320" s="19">
        <v>28</v>
      </c>
      <c r="Y320" s="19">
        <v>40</v>
      </c>
      <c r="Z320" s="19">
        <v>24</v>
      </c>
      <c r="AA320" s="19">
        <v>15</v>
      </c>
      <c r="AB320" s="19">
        <v>24</v>
      </c>
      <c r="AC320" s="19">
        <v>26</v>
      </c>
      <c r="AD320" s="19">
        <v>27</v>
      </c>
      <c r="AE320" s="19">
        <f t="shared" si="19"/>
        <v>640</v>
      </c>
      <c r="AF320" s="19">
        <f t="shared" si="20"/>
        <v>415</v>
      </c>
      <c r="AG320" s="20">
        <f t="shared" si="21"/>
        <v>53.333333333333336</v>
      </c>
      <c r="AH320" s="20">
        <f t="shared" si="22"/>
        <v>34.583333333333336</v>
      </c>
      <c r="AI320" s="21"/>
      <c r="AJ320" s="13"/>
      <c r="AK320" s="13"/>
    </row>
    <row r="321" spans="1:37" x14ac:dyDescent="0.35">
      <c r="A321" s="15" t="str">
        <f>VLOOKUP(B321,'[1]Tabla 1 Arsenal'!$B$11:$K$380,10,FALSE)</f>
        <v>P242</v>
      </c>
      <c r="B321" s="15">
        <v>103040</v>
      </c>
      <c r="C321" s="16" t="s">
        <v>373</v>
      </c>
      <c r="D321" s="16" t="s">
        <v>37</v>
      </c>
      <c r="E321" s="17">
        <v>5486</v>
      </c>
      <c r="F321" s="18" t="s">
        <v>23</v>
      </c>
      <c r="G321" s="19">
        <v>13</v>
      </c>
      <c r="H321" s="19">
        <v>2</v>
      </c>
      <c r="I321" s="19">
        <v>13</v>
      </c>
      <c r="J321" s="19">
        <v>2</v>
      </c>
      <c r="K321" s="19">
        <v>4</v>
      </c>
      <c r="L321" s="19">
        <v>3</v>
      </c>
      <c r="M321" s="19">
        <v>3</v>
      </c>
      <c r="N321" s="19">
        <v>7</v>
      </c>
      <c r="O321" s="19">
        <v>9</v>
      </c>
      <c r="P321" s="19">
        <v>4</v>
      </c>
      <c r="Q321" s="19">
        <v>19</v>
      </c>
      <c r="R321" s="19">
        <v>11</v>
      </c>
      <c r="S321" s="19">
        <v>18</v>
      </c>
      <c r="T321" s="19">
        <v>1</v>
      </c>
      <c r="U321" s="19">
        <v>14</v>
      </c>
      <c r="V321" s="19">
        <v>2</v>
      </c>
      <c r="W321" s="19">
        <v>0</v>
      </c>
      <c r="X321" s="19">
        <v>3</v>
      </c>
      <c r="Y321" s="19">
        <v>4</v>
      </c>
      <c r="Z321" s="19">
        <v>1</v>
      </c>
      <c r="AA321" s="19">
        <v>3</v>
      </c>
      <c r="AB321" s="19">
        <v>3</v>
      </c>
      <c r="AC321" s="19">
        <v>2</v>
      </c>
      <c r="AD321" s="19">
        <v>7</v>
      </c>
      <c r="AE321" s="19">
        <f t="shared" si="19"/>
        <v>90</v>
      </c>
      <c r="AF321" s="19">
        <f t="shared" si="20"/>
        <v>58</v>
      </c>
      <c r="AG321" s="20">
        <f t="shared" si="21"/>
        <v>7.5</v>
      </c>
      <c r="AH321" s="20">
        <f t="shared" si="22"/>
        <v>4.833333333333333</v>
      </c>
      <c r="AI321" s="21"/>
      <c r="AJ321" s="13"/>
      <c r="AK321" s="13"/>
    </row>
    <row r="322" spans="1:37" x14ac:dyDescent="0.35">
      <c r="A322" s="15" t="str">
        <f>VLOOKUP(B322,'[1]Tabla 1 Arsenal'!$B$11:$K$380,10,FALSE)</f>
        <v>P237</v>
      </c>
      <c r="B322" s="15">
        <v>102159</v>
      </c>
      <c r="C322" s="16" t="s">
        <v>374</v>
      </c>
      <c r="D322" s="16" t="s">
        <v>37</v>
      </c>
      <c r="E322" s="17">
        <v>7364</v>
      </c>
      <c r="F322" s="18" t="s">
        <v>23</v>
      </c>
      <c r="G322" s="19">
        <v>3</v>
      </c>
      <c r="H322" s="19">
        <v>8</v>
      </c>
      <c r="I322" s="19">
        <v>1</v>
      </c>
      <c r="J322" s="19">
        <v>2</v>
      </c>
      <c r="K322" s="19">
        <v>0</v>
      </c>
      <c r="L322" s="19">
        <v>3</v>
      </c>
      <c r="M322" s="19">
        <v>1</v>
      </c>
      <c r="N322" s="19">
        <v>2</v>
      </c>
      <c r="O322" s="19">
        <v>0</v>
      </c>
      <c r="P322" s="19">
        <v>5</v>
      </c>
      <c r="Q322" s="19">
        <v>0</v>
      </c>
      <c r="R322" s="19">
        <v>0</v>
      </c>
      <c r="S322" s="19">
        <v>2</v>
      </c>
      <c r="T322" s="19">
        <v>1</v>
      </c>
      <c r="U322" s="19">
        <v>2</v>
      </c>
      <c r="V322" s="19">
        <v>0</v>
      </c>
      <c r="W322" s="19">
        <v>6</v>
      </c>
      <c r="X322" s="19">
        <v>0</v>
      </c>
      <c r="Y322" s="19">
        <v>1</v>
      </c>
      <c r="Z322" s="19">
        <v>0</v>
      </c>
      <c r="AA322" s="19">
        <v>3</v>
      </c>
      <c r="AB322" s="19">
        <v>0</v>
      </c>
      <c r="AC322" s="19">
        <v>1</v>
      </c>
      <c r="AD322" s="19">
        <v>0</v>
      </c>
      <c r="AE322" s="19">
        <f t="shared" si="19"/>
        <v>25</v>
      </c>
      <c r="AF322" s="19">
        <f t="shared" si="20"/>
        <v>16</v>
      </c>
      <c r="AG322" s="20">
        <f t="shared" si="21"/>
        <v>2.0833333333333335</v>
      </c>
      <c r="AH322" s="20">
        <f t="shared" si="22"/>
        <v>1.3333333333333333</v>
      </c>
      <c r="AI322" s="21"/>
      <c r="AJ322" s="13"/>
      <c r="AK322" s="13"/>
    </row>
    <row r="323" spans="1:37" x14ac:dyDescent="0.35">
      <c r="A323" s="15" t="str">
        <f>VLOOKUP(B323,'[1]Tabla 1 Arsenal'!$B$11:$K$380,10,FALSE)</f>
        <v>P338</v>
      </c>
      <c r="B323" s="15">
        <v>209152</v>
      </c>
      <c r="C323" s="16" t="s">
        <v>375</v>
      </c>
      <c r="D323" s="16" t="s">
        <v>86</v>
      </c>
      <c r="E323" s="17">
        <v>7729</v>
      </c>
      <c r="F323" s="18" t="s">
        <v>55</v>
      </c>
      <c r="G323" s="19">
        <v>112</v>
      </c>
      <c r="H323" s="19">
        <v>28</v>
      </c>
      <c r="I323" s="19">
        <v>28</v>
      </c>
      <c r="J323" s="19">
        <v>56</v>
      </c>
      <c r="K323" s="19">
        <v>0</v>
      </c>
      <c r="L323" s="19">
        <v>0</v>
      </c>
      <c r="M323" s="19">
        <v>28</v>
      </c>
      <c r="N323" s="19">
        <v>56</v>
      </c>
      <c r="O323" s="19">
        <v>0</v>
      </c>
      <c r="P323" s="19">
        <v>0</v>
      </c>
      <c r="Q323" s="19">
        <v>0</v>
      </c>
      <c r="R323" s="19">
        <v>0</v>
      </c>
      <c r="S323" s="19">
        <v>28</v>
      </c>
      <c r="T323" s="19">
        <v>56</v>
      </c>
      <c r="U323" s="19">
        <v>28</v>
      </c>
      <c r="V323" s="19">
        <v>56</v>
      </c>
      <c r="W323" s="19">
        <v>0</v>
      </c>
      <c r="X323" s="19">
        <v>0</v>
      </c>
      <c r="Y323" s="19">
        <v>0</v>
      </c>
      <c r="Z323" s="19">
        <v>0</v>
      </c>
      <c r="AA323" s="19">
        <v>0</v>
      </c>
      <c r="AB323" s="19">
        <v>28</v>
      </c>
      <c r="AC323" s="19">
        <v>0</v>
      </c>
      <c r="AD323" s="19">
        <v>0</v>
      </c>
      <c r="AE323" s="19">
        <f t="shared" si="19"/>
        <v>308</v>
      </c>
      <c r="AF323" s="19">
        <f t="shared" si="20"/>
        <v>196</v>
      </c>
      <c r="AG323" s="20">
        <f t="shared" si="21"/>
        <v>25.666666666666668</v>
      </c>
      <c r="AH323" s="20">
        <f t="shared" si="22"/>
        <v>16.333333333333332</v>
      </c>
      <c r="AI323" s="21"/>
      <c r="AJ323" s="13"/>
      <c r="AK323" s="13"/>
    </row>
    <row r="324" spans="1:37" x14ac:dyDescent="0.35">
      <c r="A324" s="15" t="str">
        <f>VLOOKUP(B324,'[1]Tabla 1 Arsenal'!$B$11:$K$380,10,FALSE)</f>
        <v>P273</v>
      </c>
      <c r="B324" s="15">
        <v>209040</v>
      </c>
      <c r="C324" s="16" t="s">
        <v>376</v>
      </c>
      <c r="D324" s="16" t="s">
        <v>22</v>
      </c>
      <c r="E324" s="17">
        <v>9586</v>
      </c>
      <c r="F324" s="18" t="s">
        <v>55</v>
      </c>
      <c r="G324" s="19">
        <v>250</v>
      </c>
      <c r="H324" s="19">
        <v>220</v>
      </c>
      <c r="I324" s="19">
        <v>281</v>
      </c>
      <c r="J324" s="19">
        <v>246</v>
      </c>
      <c r="K324" s="19">
        <v>0</v>
      </c>
      <c r="L324" s="19">
        <v>0</v>
      </c>
      <c r="M324" s="19">
        <v>82</v>
      </c>
      <c r="N324" s="19">
        <v>261</v>
      </c>
      <c r="O324" s="19">
        <v>288</v>
      </c>
      <c r="P324" s="19">
        <v>233</v>
      </c>
      <c r="Q324" s="19">
        <v>177</v>
      </c>
      <c r="R324" s="19">
        <v>163</v>
      </c>
      <c r="S324" s="19">
        <v>244</v>
      </c>
      <c r="T324" s="19">
        <v>148</v>
      </c>
      <c r="U324" s="19">
        <v>227</v>
      </c>
      <c r="V324" s="19">
        <v>255</v>
      </c>
      <c r="W324" s="19">
        <v>221</v>
      </c>
      <c r="X324" s="19">
        <v>186</v>
      </c>
      <c r="Y324" s="19">
        <v>112</v>
      </c>
      <c r="Z324" s="19">
        <v>0</v>
      </c>
      <c r="AA324" s="19">
        <v>0</v>
      </c>
      <c r="AB324" s="19">
        <v>0</v>
      </c>
      <c r="AC324" s="19">
        <v>0</v>
      </c>
      <c r="AD324" s="19">
        <v>0</v>
      </c>
      <c r="AE324" s="19">
        <f t="shared" si="19"/>
        <v>2201</v>
      </c>
      <c r="AF324" s="19">
        <f t="shared" si="20"/>
        <v>1393</v>
      </c>
      <c r="AG324" s="20">
        <f t="shared" si="21"/>
        <v>183.41666666666666</v>
      </c>
      <c r="AH324" s="20">
        <f t="shared" si="22"/>
        <v>116.08333333333333</v>
      </c>
      <c r="AI324" s="21"/>
      <c r="AJ324" s="13"/>
      <c r="AK324" s="13"/>
    </row>
    <row r="325" spans="1:37" x14ac:dyDescent="0.35">
      <c r="A325" s="15" t="str">
        <f>VLOOKUP(B325,'[1]Tabla 1 Arsenal'!$B$11:$K$380,10,FALSE)</f>
        <v>P319</v>
      </c>
      <c r="B325" s="15">
        <v>105007</v>
      </c>
      <c r="C325" s="16" t="s">
        <v>377</v>
      </c>
      <c r="D325" s="16" t="s">
        <v>39</v>
      </c>
      <c r="E325" s="17">
        <v>1107</v>
      </c>
      <c r="F325" s="18" t="s">
        <v>23</v>
      </c>
      <c r="G325" s="19">
        <v>29</v>
      </c>
      <c r="H325" s="19">
        <v>24</v>
      </c>
      <c r="I325" s="19">
        <v>13</v>
      </c>
      <c r="J325" s="19">
        <v>18</v>
      </c>
      <c r="K325" s="19">
        <v>20</v>
      </c>
      <c r="L325" s="19">
        <v>36</v>
      </c>
      <c r="M325" s="19">
        <v>30</v>
      </c>
      <c r="N325" s="19">
        <v>24</v>
      </c>
      <c r="O325" s="19">
        <v>18</v>
      </c>
      <c r="P325" s="19">
        <v>26</v>
      </c>
      <c r="Q325" s="19">
        <v>22</v>
      </c>
      <c r="R325" s="19">
        <v>26</v>
      </c>
      <c r="S325" s="19">
        <v>18</v>
      </c>
      <c r="T325" s="19">
        <v>9</v>
      </c>
      <c r="U325" s="19">
        <v>11</v>
      </c>
      <c r="V325" s="19">
        <v>24</v>
      </c>
      <c r="W325" s="19">
        <v>27</v>
      </c>
      <c r="X325" s="19">
        <v>18</v>
      </c>
      <c r="Y325" s="19">
        <v>15</v>
      </c>
      <c r="Z325" s="19">
        <v>17</v>
      </c>
      <c r="AA325" s="19">
        <v>20</v>
      </c>
      <c r="AB325" s="19">
        <v>13</v>
      </c>
      <c r="AC325" s="19">
        <v>2</v>
      </c>
      <c r="AD325" s="19">
        <v>7</v>
      </c>
      <c r="AE325" s="19">
        <f t="shared" si="19"/>
        <v>286</v>
      </c>
      <c r="AF325" s="19">
        <f t="shared" si="20"/>
        <v>181</v>
      </c>
      <c r="AG325" s="20">
        <f t="shared" si="21"/>
        <v>23.833333333333332</v>
      </c>
      <c r="AH325" s="20">
        <f t="shared" si="22"/>
        <v>15.083333333333334</v>
      </c>
      <c r="AI325" s="21"/>
      <c r="AJ325" s="13"/>
      <c r="AK325" s="13"/>
    </row>
    <row r="326" spans="1:37" x14ac:dyDescent="0.35">
      <c r="A326" s="15" t="str">
        <f>VLOOKUP(B326,'[1]Tabla 1 Arsenal'!$B$11:$K$380,10,FALSE)</f>
        <v>P344</v>
      </c>
      <c r="B326" s="15">
        <v>209162</v>
      </c>
      <c r="C326" s="16" t="s">
        <v>378</v>
      </c>
      <c r="D326" s="16" t="s">
        <v>86</v>
      </c>
      <c r="E326" s="17">
        <v>46410</v>
      </c>
      <c r="F326" s="18" t="s">
        <v>55</v>
      </c>
      <c r="G326" s="19">
        <v>60</v>
      </c>
      <c r="H326" s="19">
        <v>30</v>
      </c>
      <c r="I326" s="19">
        <v>25</v>
      </c>
      <c r="J326" s="19">
        <v>35</v>
      </c>
      <c r="K326" s="19">
        <v>65</v>
      </c>
      <c r="L326" s="19">
        <v>50</v>
      </c>
      <c r="M326" s="19">
        <v>50</v>
      </c>
      <c r="N326" s="19">
        <v>15</v>
      </c>
      <c r="O326" s="19">
        <v>15</v>
      </c>
      <c r="P326" s="19">
        <v>15</v>
      </c>
      <c r="Q326" s="19">
        <v>60</v>
      </c>
      <c r="R326" s="19">
        <v>40</v>
      </c>
      <c r="S326" s="19">
        <v>45</v>
      </c>
      <c r="T326" s="19">
        <v>45</v>
      </c>
      <c r="U326" s="19">
        <v>40</v>
      </c>
      <c r="V326" s="19">
        <v>35</v>
      </c>
      <c r="W326" s="19">
        <v>40</v>
      </c>
      <c r="X326" s="19">
        <v>25</v>
      </c>
      <c r="Y326" s="19">
        <v>5</v>
      </c>
      <c r="Z326" s="19">
        <v>10</v>
      </c>
      <c r="AA326" s="19">
        <v>15</v>
      </c>
      <c r="AB326" s="19">
        <v>15</v>
      </c>
      <c r="AC326" s="19">
        <v>5</v>
      </c>
      <c r="AD326" s="19">
        <v>10</v>
      </c>
      <c r="AE326" s="19">
        <f t="shared" ref="AE326:AE376" si="23">SUM(G326:R326)</f>
        <v>460</v>
      </c>
      <c r="AF326" s="19">
        <f t="shared" ref="AF326:AF376" si="24">SUM(S326:AD326)</f>
        <v>290</v>
      </c>
      <c r="AG326" s="20">
        <f t="shared" ref="AG326:AG376" si="25">AVERAGE(G326:R326)</f>
        <v>38.333333333333336</v>
      </c>
      <c r="AH326" s="20">
        <f t="shared" si="22"/>
        <v>24.166666666666668</v>
      </c>
      <c r="AI326" s="21"/>
      <c r="AJ326" s="13"/>
      <c r="AK326" s="13"/>
    </row>
    <row r="327" spans="1:37" x14ac:dyDescent="0.35">
      <c r="A327" s="15" t="str">
        <f>VLOOKUP(B327,'[1]Tabla 1 Arsenal'!$B$11:$K$380,10,FALSE)</f>
        <v>P016</v>
      </c>
      <c r="B327" s="15">
        <v>101098</v>
      </c>
      <c r="C327" s="16" t="s">
        <v>379</v>
      </c>
      <c r="D327" s="16" t="s">
        <v>86</v>
      </c>
      <c r="E327" s="17">
        <v>13483</v>
      </c>
      <c r="F327" s="18" t="s">
        <v>55</v>
      </c>
      <c r="G327" s="19">
        <v>448</v>
      </c>
      <c r="H327" s="19">
        <v>628</v>
      </c>
      <c r="I327" s="19">
        <v>672</v>
      </c>
      <c r="J327" s="19">
        <v>716</v>
      </c>
      <c r="K327" s="19">
        <v>672</v>
      </c>
      <c r="L327" s="19">
        <v>448</v>
      </c>
      <c r="M327" s="19">
        <v>448</v>
      </c>
      <c r="N327" s="19">
        <v>1120</v>
      </c>
      <c r="O327" s="19">
        <v>224</v>
      </c>
      <c r="P327" s="19">
        <v>672</v>
      </c>
      <c r="Q327" s="19">
        <v>224</v>
      </c>
      <c r="R327" s="19">
        <v>672</v>
      </c>
      <c r="S327" s="19">
        <v>672</v>
      </c>
      <c r="T327" s="19">
        <v>224</v>
      </c>
      <c r="U327" s="19">
        <v>448</v>
      </c>
      <c r="V327" s="19">
        <v>448</v>
      </c>
      <c r="W327" s="19">
        <v>224</v>
      </c>
      <c r="X327" s="19">
        <v>448</v>
      </c>
      <c r="Y327" s="19">
        <v>0</v>
      </c>
      <c r="Z327" s="19">
        <v>224</v>
      </c>
      <c r="AA327" s="19">
        <v>448</v>
      </c>
      <c r="AB327" s="19">
        <v>224</v>
      </c>
      <c r="AC327" s="19">
        <v>448</v>
      </c>
      <c r="AD327" s="19">
        <v>448</v>
      </c>
      <c r="AE327" s="19">
        <f t="shared" si="23"/>
        <v>6944</v>
      </c>
      <c r="AF327" s="19">
        <f t="shared" si="24"/>
        <v>4256</v>
      </c>
      <c r="AG327" s="20">
        <f t="shared" si="25"/>
        <v>578.66666666666663</v>
      </c>
      <c r="AH327" s="20">
        <f t="shared" si="22"/>
        <v>354.66666666666669</v>
      </c>
      <c r="AI327" s="21"/>
      <c r="AJ327" s="13"/>
      <c r="AK327" s="13"/>
    </row>
    <row r="328" spans="1:37" x14ac:dyDescent="0.35">
      <c r="A328" s="15" t="str">
        <f>VLOOKUP(B328,'[1]Tabla 1 Arsenal'!$B$11:$K$380,10,FALSE)</f>
        <v>P146</v>
      </c>
      <c r="B328" s="15">
        <v>353005</v>
      </c>
      <c r="C328" s="16" t="s">
        <v>380</v>
      </c>
      <c r="D328" s="16" t="s">
        <v>94</v>
      </c>
      <c r="E328" s="17">
        <v>4522</v>
      </c>
      <c r="F328" s="18" t="s">
        <v>55</v>
      </c>
      <c r="G328" s="19">
        <v>78</v>
      </c>
      <c r="H328" s="19">
        <v>278</v>
      </c>
      <c r="I328" s="19">
        <v>289</v>
      </c>
      <c r="J328" s="19">
        <v>238</v>
      </c>
      <c r="K328" s="19">
        <v>251</v>
      </c>
      <c r="L328" s="19">
        <v>139</v>
      </c>
      <c r="M328" s="19">
        <v>88</v>
      </c>
      <c r="N328" s="19">
        <v>181</v>
      </c>
      <c r="O328" s="19">
        <v>147</v>
      </c>
      <c r="P328" s="19">
        <v>92</v>
      </c>
      <c r="Q328" s="19">
        <v>205</v>
      </c>
      <c r="R328" s="19">
        <v>167</v>
      </c>
      <c r="S328" s="19">
        <v>139</v>
      </c>
      <c r="T328" s="19">
        <v>106</v>
      </c>
      <c r="U328" s="19">
        <v>34</v>
      </c>
      <c r="V328" s="19">
        <v>4</v>
      </c>
      <c r="W328" s="19">
        <v>30</v>
      </c>
      <c r="X328" s="19">
        <v>103</v>
      </c>
      <c r="Y328" s="19">
        <v>156</v>
      </c>
      <c r="Z328" s="19">
        <v>101</v>
      </c>
      <c r="AA328" s="19">
        <v>102</v>
      </c>
      <c r="AB328" s="19">
        <v>168</v>
      </c>
      <c r="AC328" s="19">
        <v>135</v>
      </c>
      <c r="AD328" s="19">
        <v>225</v>
      </c>
      <c r="AE328" s="19">
        <f t="shared" si="23"/>
        <v>2153</v>
      </c>
      <c r="AF328" s="19">
        <f t="shared" si="24"/>
        <v>1303</v>
      </c>
      <c r="AG328" s="20">
        <f t="shared" si="25"/>
        <v>179.41666666666666</v>
      </c>
      <c r="AH328" s="20">
        <f t="shared" si="22"/>
        <v>108.58333333333333</v>
      </c>
      <c r="AI328" s="21"/>
      <c r="AJ328" s="13"/>
      <c r="AK328" s="13"/>
    </row>
    <row r="329" spans="1:37" x14ac:dyDescent="0.35">
      <c r="A329" s="15" t="str">
        <f>VLOOKUP(B329,'[1]Tabla 1 Arsenal'!$B$11:$K$380,10,FALSE)</f>
        <v>P254</v>
      </c>
      <c r="B329" s="15">
        <v>108031</v>
      </c>
      <c r="C329" s="16" t="s">
        <v>381</v>
      </c>
      <c r="D329" s="16" t="s">
        <v>39</v>
      </c>
      <c r="E329" s="17">
        <v>48106</v>
      </c>
      <c r="F329" s="18" t="s">
        <v>23</v>
      </c>
      <c r="G329" s="19">
        <v>41</v>
      </c>
      <c r="H329" s="19">
        <v>57</v>
      </c>
      <c r="I329" s="19">
        <v>74</v>
      </c>
      <c r="J329" s="19">
        <v>46</v>
      </c>
      <c r="K329" s="19">
        <v>24</v>
      </c>
      <c r="L329" s="19">
        <v>24</v>
      </c>
      <c r="M329" s="19">
        <v>43</v>
      </c>
      <c r="N329" s="19">
        <v>41</v>
      </c>
      <c r="O329" s="19">
        <v>72</v>
      </c>
      <c r="P329" s="19">
        <v>50</v>
      </c>
      <c r="Q329" s="19">
        <v>15</v>
      </c>
      <c r="R329" s="19">
        <v>0</v>
      </c>
      <c r="S329" s="19">
        <v>3</v>
      </c>
      <c r="T329" s="19">
        <v>42</v>
      </c>
      <c r="U329" s="19">
        <v>75</v>
      </c>
      <c r="V329" s="19">
        <v>12</v>
      </c>
      <c r="W329" s="19">
        <v>21</v>
      </c>
      <c r="X329" s="19">
        <v>7</v>
      </c>
      <c r="Y329" s="19">
        <v>21</v>
      </c>
      <c r="Z329" s="19">
        <v>45</v>
      </c>
      <c r="AA329" s="19">
        <v>42</v>
      </c>
      <c r="AB329" s="19">
        <v>20</v>
      </c>
      <c r="AC329" s="19">
        <v>0</v>
      </c>
      <c r="AD329" s="19">
        <v>6</v>
      </c>
      <c r="AE329" s="19">
        <f t="shared" si="23"/>
        <v>487</v>
      </c>
      <c r="AF329" s="19">
        <f t="shared" si="24"/>
        <v>294</v>
      </c>
      <c r="AG329" s="20">
        <f t="shared" si="25"/>
        <v>40.583333333333336</v>
      </c>
      <c r="AH329" s="20">
        <f t="shared" si="22"/>
        <v>24.5</v>
      </c>
      <c r="AI329" s="21"/>
      <c r="AJ329" s="13"/>
      <c r="AK329" s="13"/>
    </row>
    <row r="330" spans="1:37" x14ac:dyDescent="0.35">
      <c r="A330" s="15" t="str">
        <f>VLOOKUP(B330,'[1]Tabla 1 Arsenal'!$B$11:$K$380,10,FALSE)</f>
        <v>P057</v>
      </c>
      <c r="B330" s="15">
        <v>104047</v>
      </c>
      <c r="C330" s="16" t="s">
        <v>382</v>
      </c>
      <c r="D330" s="16" t="s">
        <v>32</v>
      </c>
      <c r="E330" s="17">
        <v>36</v>
      </c>
      <c r="F330" s="18" t="s">
        <v>23</v>
      </c>
      <c r="G330" s="19">
        <v>91</v>
      </c>
      <c r="H330" s="19">
        <v>13</v>
      </c>
      <c r="I330" s="19">
        <v>28</v>
      </c>
      <c r="J330" s="19">
        <v>87</v>
      </c>
      <c r="K330" s="19">
        <v>30</v>
      </c>
      <c r="L330" s="19">
        <v>18</v>
      </c>
      <c r="M330" s="19">
        <v>26</v>
      </c>
      <c r="N330" s="19">
        <v>15</v>
      </c>
      <c r="O330" s="19">
        <v>34</v>
      </c>
      <c r="P330" s="19">
        <v>22</v>
      </c>
      <c r="Q330" s="19">
        <v>25</v>
      </c>
      <c r="R330" s="19">
        <v>12</v>
      </c>
      <c r="S330" s="19">
        <v>33</v>
      </c>
      <c r="T330" s="19">
        <v>14</v>
      </c>
      <c r="U330" s="19">
        <v>16</v>
      </c>
      <c r="V330" s="19">
        <v>69</v>
      </c>
      <c r="W330" s="19">
        <v>22</v>
      </c>
      <c r="X330" s="19">
        <v>20</v>
      </c>
      <c r="Y330" s="19">
        <v>3</v>
      </c>
      <c r="Z330" s="19">
        <v>0</v>
      </c>
      <c r="AA330" s="19">
        <v>13</v>
      </c>
      <c r="AB330" s="19">
        <v>41</v>
      </c>
      <c r="AC330" s="19">
        <v>0</v>
      </c>
      <c r="AD330" s="19">
        <v>8</v>
      </c>
      <c r="AE330" s="19">
        <f t="shared" si="23"/>
        <v>401</v>
      </c>
      <c r="AF330" s="19">
        <f t="shared" si="24"/>
        <v>239</v>
      </c>
      <c r="AG330" s="20">
        <f t="shared" si="25"/>
        <v>33.416666666666664</v>
      </c>
      <c r="AH330" s="20">
        <f t="shared" si="22"/>
        <v>19.916666666666668</v>
      </c>
      <c r="AI330" s="21"/>
      <c r="AJ330" s="13"/>
      <c r="AK330" s="13"/>
    </row>
    <row r="331" spans="1:37" x14ac:dyDescent="0.35">
      <c r="A331" s="15" t="str">
        <f>VLOOKUP(B331,'[1]Tabla 1 Arsenal'!$B$11:$K$380,10,FALSE)</f>
        <v>P335</v>
      </c>
      <c r="B331" s="15">
        <v>102163</v>
      </c>
      <c r="C331" s="16" t="s">
        <v>383</v>
      </c>
      <c r="D331" s="16" t="s">
        <v>23</v>
      </c>
      <c r="E331" s="17">
        <v>9510</v>
      </c>
      <c r="F331" s="18" t="s">
        <v>23</v>
      </c>
      <c r="G331" s="19">
        <v>3</v>
      </c>
      <c r="H331" s="19">
        <v>25</v>
      </c>
      <c r="I331" s="19">
        <v>29</v>
      </c>
      <c r="J331" s="19">
        <v>24</v>
      </c>
      <c r="K331" s="19">
        <v>18</v>
      </c>
      <c r="L331" s="19">
        <v>14</v>
      </c>
      <c r="M331" s="19">
        <v>12</v>
      </c>
      <c r="N331" s="19">
        <v>22</v>
      </c>
      <c r="O331" s="19">
        <v>22</v>
      </c>
      <c r="P331" s="19">
        <v>7</v>
      </c>
      <c r="Q331" s="19">
        <v>7</v>
      </c>
      <c r="R331" s="19">
        <v>10</v>
      </c>
      <c r="S331" s="19">
        <v>28</v>
      </c>
      <c r="T331" s="19">
        <v>8</v>
      </c>
      <c r="U331" s="19">
        <v>1</v>
      </c>
      <c r="V331" s="19">
        <v>0</v>
      </c>
      <c r="W331" s="19">
        <v>0</v>
      </c>
      <c r="X331" s="19">
        <v>1</v>
      </c>
      <c r="Y331" s="19">
        <v>10</v>
      </c>
      <c r="Z331" s="19">
        <v>14</v>
      </c>
      <c r="AA331" s="19">
        <v>15</v>
      </c>
      <c r="AB331" s="19">
        <v>24</v>
      </c>
      <c r="AC331" s="19">
        <v>1</v>
      </c>
      <c r="AD331" s="19">
        <v>13</v>
      </c>
      <c r="AE331" s="19">
        <f t="shared" si="23"/>
        <v>193</v>
      </c>
      <c r="AF331" s="19">
        <f t="shared" si="24"/>
        <v>115</v>
      </c>
      <c r="AG331" s="20">
        <f t="shared" si="25"/>
        <v>16.083333333333332</v>
      </c>
      <c r="AH331" s="20">
        <f t="shared" si="22"/>
        <v>9.5833333333333339</v>
      </c>
      <c r="AI331" s="21"/>
      <c r="AJ331" s="13"/>
      <c r="AK331" s="13"/>
    </row>
    <row r="332" spans="1:37" x14ac:dyDescent="0.35">
      <c r="A332" s="15" t="str">
        <f>VLOOKUP(B332,'[1]Tabla 1 Arsenal'!$B$11:$K$380,10,FALSE)</f>
        <v>P075</v>
      </c>
      <c r="B332" s="15">
        <v>101031</v>
      </c>
      <c r="C332" s="16" t="s">
        <v>384</v>
      </c>
      <c r="D332" s="16" t="s">
        <v>32</v>
      </c>
      <c r="E332" s="17">
        <v>774</v>
      </c>
      <c r="F332" s="18" t="s">
        <v>23</v>
      </c>
      <c r="G332" s="19">
        <v>81</v>
      </c>
      <c r="H332" s="19">
        <v>143</v>
      </c>
      <c r="I332" s="19">
        <v>285</v>
      </c>
      <c r="J332" s="19">
        <v>3</v>
      </c>
      <c r="K332" s="19">
        <v>0</v>
      </c>
      <c r="L332" s="19">
        <v>0</v>
      </c>
      <c r="M332" s="19">
        <v>51</v>
      </c>
      <c r="N332" s="19">
        <v>30</v>
      </c>
      <c r="O332" s="19">
        <v>0</v>
      </c>
      <c r="P332" s="19">
        <v>0</v>
      </c>
      <c r="Q332" s="19">
        <v>0</v>
      </c>
      <c r="R332" s="19">
        <v>0</v>
      </c>
      <c r="S332" s="19">
        <v>40</v>
      </c>
      <c r="T332" s="19">
        <v>14</v>
      </c>
      <c r="U332" s="19">
        <v>21</v>
      </c>
      <c r="V332" s="19">
        <v>72</v>
      </c>
      <c r="W332" s="19">
        <v>15</v>
      </c>
      <c r="X332" s="19">
        <v>0</v>
      </c>
      <c r="Y332" s="19">
        <v>21</v>
      </c>
      <c r="Z332" s="19">
        <v>84</v>
      </c>
      <c r="AA332" s="19">
        <v>42</v>
      </c>
      <c r="AB332" s="19">
        <v>21</v>
      </c>
      <c r="AC332" s="19">
        <v>0</v>
      </c>
      <c r="AD332" s="19">
        <v>21</v>
      </c>
      <c r="AE332" s="19">
        <f t="shared" si="23"/>
        <v>593</v>
      </c>
      <c r="AF332" s="19">
        <f t="shared" si="24"/>
        <v>351</v>
      </c>
      <c r="AG332" s="20">
        <f t="shared" si="25"/>
        <v>49.416666666666664</v>
      </c>
      <c r="AH332" s="20">
        <f t="shared" si="22"/>
        <v>29.25</v>
      </c>
      <c r="AI332" s="21"/>
      <c r="AJ332" s="13"/>
      <c r="AK332" s="13"/>
    </row>
    <row r="333" spans="1:37" x14ac:dyDescent="0.35">
      <c r="A333" s="15" t="str">
        <f>VLOOKUP(B333,'[1]Tabla 1 Arsenal'!$B$11:$K$380,10,FALSE)</f>
        <v>P165</v>
      </c>
      <c r="B333" s="15">
        <v>102035</v>
      </c>
      <c r="C333" s="16" t="s">
        <v>385</v>
      </c>
      <c r="D333" s="16" t="s">
        <v>78</v>
      </c>
      <c r="E333" s="17">
        <v>2737</v>
      </c>
      <c r="F333" s="18" t="s">
        <v>23</v>
      </c>
      <c r="G333" s="19">
        <v>159</v>
      </c>
      <c r="H333" s="19">
        <v>60</v>
      </c>
      <c r="I333" s="19">
        <v>276</v>
      </c>
      <c r="J333" s="19">
        <v>104</v>
      </c>
      <c r="K333" s="19">
        <v>169</v>
      </c>
      <c r="L333" s="19">
        <v>188</v>
      </c>
      <c r="M333" s="19">
        <v>231</v>
      </c>
      <c r="N333" s="19">
        <v>157</v>
      </c>
      <c r="O333" s="19">
        <v>181</v>
      </c>
      <c r="P333" s="19">
        <v>367</v>
      </c>
      <c r="Q333" s="19">
        <v>343</v>
      </c>
      <c r="R333" s="19">
        <v>233</v>
      </c>
      <c r="S333" s="19">
        <v>162</v>
      </c>
      <c r="T333" s="19">
        <v>163</v>
      </c>
      <c r="U333" s="19">
        <v>255</v>
      </c>
      <c r="V333" s="19">
        <v>102</v>
      </c>
      <c r="W333" s="19">
        <v>165</v>
      </c>
      <c r="X333" s="19">
        <v>145</v>
      </c>
      <c r="Y333" s="19">
        <v>108</v>
      </c>
      <c r="Z333" s="19">
        <v>42</v>
      </c>
      <c r="AA333" s="19">
        <v>78</v>
      </c>
      <c r="AB333" s="19">
        <v>156</v>
      </c>
      <c r="AC333" s="19">
        <v>0</v>
      </c>
      <c r="AD333" s="19">
        <v>71</v>
      </c>
      <c r="AE333" s="19">
        <f t="shared" si="23"/>
        <v>2468</v>
      </c>
      <c r="AF333" s="19">
        <f t="shared" si="24"/>
        <v>1447</v>
      </c>
      <c r="AG333" s="20">
        <f t="shared" si="25"/>
        <v>205.66666666666666</v>
      </c>
      <c r="AH333" s="20">
        <f t="shared" si="22"/>
        <v>120.58333333333333</v>
      </c>
      <c r="AI333" s="21"/>
      <c r="AJ333" s="13"/>
      <c r="AK333" s="13"/>
    </row>
    <row r="334" spans="1:37" x14ac:dyDescent="0.35">
      <c r="A334" s="15" t="str">
        <f>VLOOKUP(B334,'[1]Tabla 1 Arsenal'!$B$11:$K$380,10,FALSE)</f>
        <v>P277</v>
      </c>
      <c r="B334" s="15">
        <v>106052</v>
      </c>
      <c r="C334" s="16" t="s">
        <v>386</v>
      </c>
      <c r="D334" s="16" t="s">
        <v>37</v>
      </c>
      <c r="E334" s="17">
        <v>387</v>
      </c>
      <c r="F334" s="18" t="s">
        <v>23</v>
      </c>
      <c r="G334" s="19">
        <v>5</v>
      </c>
      <c r="H334" s="19">
        <v>6</v>
      </c>
      <c r="I334" s="19">
        <v>3</v>
      </c>
      <c r="J334" s="19">
        <v>20</v>
      </c>
      <c r="K334" s="19">
        <v>7</v>
      </c>
      <c r="L334" s="19">
        <v>28</v>
      </c>
      <c r="M334" s="19">
        <v>9</v>
      </c>
      <c r="N334" s="19">
        <v>3</v>
      </c>
      <c r="O334" s="19">
        <v>8</v>
      </c>
      <c r="P334" s="19">
        <v>8</v>
      </c>
      <c r="Q334" s="19">
        <v>4</v>
      </c>
      <c r="R334" s="19">
        <v>2</v>
      </c>
      <c r="S334" s="19">
        <v>10</v>
      </c>
      <c r="T334" s="19">
        <v>3</v>
      </c>
      <c r="U334" s="19">
        <v>5</v>
      </c>
      <c r="V334" s="19">
        <v>4</v>
      </c>
      <c r="W334" s="19">
        <v>9</v>
      </c>
      <c r="X334" s="19">
        <v>3</v>
      </c>
      <c r="Y334" s="19">
        <v>3</v>
      </c>
      <c r="Z334" s="19">
        <v>8</v>
      </c>
      <c r="AA334" s="19">
        <v>0</v>
      </c>
      <c r="AB334" s="19">
        <v>9</v>
      </c>
      <c r="AC334" s="19">
        <v>0</v>
      </c>
      <c r="AD334" s="19">
        <v>6</v>
      </c>
      <c r="AE334" s="19">
        <f t="shared" si="23"/>
        <v>103</v>
      </c>
      <c r="AF334" s="19">
        <f t="shared" si="24"/>
        <v>60</v>
      </c>
      <c r="AG334" s="20">
        <f t="shared" si="25"/>
        <v>8.5833333333333339</v>
      </c>
      <c r="AH334" s="20">
        <f t="shared" si="22"/>
        <v>5</v>
      </c>
      <c r="AI334" s="21"/>
      <c r="AJ334" s="13"/>
      <c r="AK334" s="13"/>
    </row>
    <row r="335" spans="1:37" x14ac:dyDescent="0.35">
      <c r="A335" s="15" t="str">
        <f>VLOOKUP(B335,'[1]Tabla 1 Arsenal'!$B$11:$K$380,10,FALSE)</f>
        <v>P313</v>
      </c>
      <c r="B335" s="15">
        <v>102111</v>
      </c>
      <c r="C335" s="16" t="s">
        <v>387</v>
      </c>
      <c r="D335" s="16" t="s">
        <v>32</v>
      </c>
      <c r="E335" s="17">
        <v>39</v>
      </c>
      <c r="F335" s="18" t="s">
        <v>23</v>
      </c>
      <c r="G335" s="19">
        <v>30</v>
      </c>
      <c r="H335" s="19">
        <v>90</v>
      </c>
      <c r="I335" s="19">
        <v>127</v>
      </c>
      <c r="J335" s="19">
        <v>120</v>
      </c>
      <c r="K335" s="19">
        <v>157</v>
      </c>
      <c r="L335" s="19">
        <v>172</v>
      </c>
      <c r="M335" s="19">
        <v>204</v>
      </c>
      <c r="N335" s="19">
        <v>442</v>
      </c>
      <c r="O335" s="19">
        <v>579</v>
      </c>
      <c r="P335" s="19">
        <v>153</v>
      </c>
      <c r="Q335" s="19">
        <v>192</v>
      </c>
      <c r="R335" s="19">
        <v>108</v>
      </c>
      <c r="S335" s="19">
        <v>204</v>
      </c>
      <c r="T335" s="19">
        <v>120</v>
      </c>
      <c r="U335" s="19">
        <v>54</v>
      </c>
      <c r="V335" s="19">
        <v>156</v>
      </c>
      <c r="W335" s="19">
        <v>196</v>
      </c>
      <c r="X335" s="19">
        <v>120</v>
      </c>
      <c r="Y335" s="19">
        <v>171</v>
      </c>
      <c r="Z335" s="19">
        <v>81</v>
      </c>
      <c r="AA335" s="19">
        <v>120</v>
      </c>
      <c r="AB335" s="19">
        <v>40</v>
      </c>
      <c r="AC335" s="19">
        <v>75</v>
      </c>
      <c r="AD335" s="19">
        <v>45</v>
      </c>
      <c r="AE335" s="19">
        <f t="shared" si="23"/>
        <v>2374</v>
      </c>
      <c r="AF335" s="19">
        <f t="shared" si="24"/>
        <v>1382</v>
      </c>
      <c r="AG335" s="20">
        <f t="shared" si="25"/>
        <v>197.83333333333334</v>
      </c>
      <c r="AH335" s="20">
        <f t="shared" si="22"/>
        <v>115.16666666666667</v>
      </c>
      <c r="AI335" s="21"/>
      <c r="AJ335" s="13"/>
      <c r="AK335" s="13"/>
    </row>
    <row r="336" spans="1:37" x14ac:dyDescent="0.35">
      <c r="A336" s="15" t="str">
        <f>VLOOKUP(B336,'[1]Tabla 1 Arsenal'!$B$11:$K$380,10,FALSE)</f>
        <v>P100</v>
      </c>
      <c r="B336" s="15">
        <v>109050</v>
      </c>
      <c r="C336" s="16" t="s">
        <v>388</v>
      </c>
      <c r="D336" s="16" t="s">
        <v>37</v>
      </c>
      <c r="E336" s="17">
        <v>1404</v>
      </c>
      <c r="F336" s="18" t="s">
        <v>23</v>
      </c>
      <c r="G336" s="19">
        <v>82</v>
      </c>
      <c r="H336" s="19">
        <v>321</v>
      </c>
      <c r="I336" s="19">
        <v>118</v>
      </c>
      <c r="J336" s="19">
        <v>78</v>
      </c>
      <c r="K336" s="19">
        <v>72</v>
      </c>
      <c r="L336" s="19">
        <v>86</v>
      </c>
      <c r="M336" s="19">
        <v>256</v>
      </c>
      <c r="N336" s="19">
        <v>406</v>
      </c>
      <c r="O336" s="19">
        <v>83</v>
      </c>
      <c r="P336" s="19">
        <v>103</v>
      </c>
      <c r="Q336" s="19">
        <v>61</v>
      </c>
      <c r="R336" s="19">
        <v>45</v>
      </c>
      <c r="S336" s="19">
        <v>71</v>
      </c>
      <c r="T336" s="19">
        <v>80</v>
      </c>
      <c r="U336" s="19">
        <v>58</v>
      </c>
      <c r="V336" s="19">
        <v>112</v>
      </c>
      <c r="W336" s="19">
        <v>133</v>
      </c>
      <c r="X336" s="19">
        <v>84</v>
      </c>
      <c r="Y336" s="19">
        <v>94</v>
      </c>
      <c r="Z336" s="19">
        <v>145</v>
      </c>
      <c r="AA336" s="19">
        <v>63</v>
      </c>
      <c r="AB336" s="19">
        <v>59</v>
      </c>
      <c r="AC336" s="19">
        <v>0</v>
      </c>
      <c r="AD336" s="19">
        <v>93</v>
      </c>
      <c r="AE336" s="19">
        <f t="shared" si="23"/>
        <v>1711</v>
      </c>
      <c r="AF336" s="19">
        <f t="shared" si="24"/>
        <v>992</v>
      </c>
      <c r="AG336" s="20">
        <f t="shared" si="25"/>
        <v>142.58333333333334</v>
      </c>
      <c r="AH336" s="20">
        <f t="shared" si="22"/>
        <v>82.666666666666671</v>
      </c>
      <c r="AI336" s="21"/>
      <c r="AJ336" s="13"/>
      <c r="AK336" s="13"/>
    </row>
    <row r="337" spans="1:37" x14ac:dyDescent="0.35">
      <c r="A337" s="15" t="str">
        <f>VLOOKUP(B337,'[1]Tabla 1 Arsenal'!$B$11:$K$380,10,FALSE)</f>
        <v>P323</v>
      </c>
      <c r="B337" s="15">
        <v>102101</v>
      </c>
      <c r="C337" s="16" t="s">
        <v>389</v>
      </c>
      <c r="D337" s="16" t="s">
        <v>86</v>
      </c>
      <c r="E337" s="17">
        <v>194</v>
      </c>
      <c r="F337" s="18" t="s">
        <v>23</v>
      </c>
      <c r="G337" s="19">
        <v>152</v>
      </c>
      <c r="H337" s="19">
        <v>190</v>
      </c>
      <c r="I337" s="19">
        <v>415</v>
      </c>
      <c r="J337" s="19">
        <v>510</v>
      </c>
      <c r="K337" s="19">
        <v>120</v>
      </c>
      <c r="L337" s="19">
        <v>135</v>
      </c>
      <c r="M337" s="19">
        <v>40</v>
      </c>
      <c r="N337" s="19">
        <v>65</v>
      </c>
      <c r="O337" s="19">
        <v>0</v>
      </c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9">
        <v>70</v>
      </c>
      <c r="V337" s="19">
        <v>0</v>
      </c>
      <c r="W337" s="19">
        <v>60</v>
      </c>
      <c r="X337" s="19">
        <v>59</v>
      </c>
      <c r="Y337" s="19">
        <v>35</v>
      </c>
      <c r="Z337" s="19">
        <v>183</v>
      </c>
      <c r="AA337" s="19">
        <v>64</v>
      </c>
      <c r="AB337" s="19">
        <v>199</v>
      </c>
      <c r="AC337" s="19">
        <v>7</v>
      </c>
      <c r="AD337" s="19">
        <v>266</v>
      </c>
      <c r="AE337" s="19">
        <f t="shared" si="23"/>
        <v>1627</v>
      </c>
      <c r="AF337" s="19">
        <f t="shared" si="24"/>
        <v>943</v>
      </c>
      <c r="AG337" s="20">
        <f t="shared" si="25"/>
        <v>135.58333333333334</v>
      </c>
      <c r="AH337" s="20">
        <f t="shared" si="22"/>
        <v>78.583333333333329</v>
      </c>
      <c r="AI337" s="21"/>
      <c r="AJ337" s="13"/>
      <c r="AK337" s="13"/>
    </row>
    <row r="338" spans="1:37" x14ac:dyDescent="0.35">
      <c r="A338" s="15" t="str">
        <f>VLOOKUP(B338,'[1]Tabla 1 Arsenal'!$B$11:$K$380,10,FALSE)</f>
        <v>P345</v>
      </c>
      <c r="B338" s="15">
        <v>209163</v>
      </c>
      <c r="C338" s="16" t="s">
        <v>390</v>
      </c>
      <c r="D338" s="16" t="s">
        <v>86</v>
      </c>
      <c r="E338" s="17">
        <v>56525</v>
      </c>
      <c r="F338" s="18" t="s">
        <v>55</v>
      </c>
      <c r="G338" s="19">
        <v>5</v>
      </c>
      <c r="H338" s="19">
        <v>10</v>
      </c>
      <c r="I338" s="19">
        <v>15</v>
      </c>
      <c r="J338" s="19">
        <v>5</v>
      </c>
      <c r="K338" s="19">
        <v>20</v>
      </c>
      <c r="L338" s="19">
        <v>25</v>
      </c>
      <c r="M338" s="19">
        <v>15</v>
      </c>
      <c r="N338" s="19">
        <v>15</v>
      </c>
      <c r="O338" s="19">
        <v>25</v>
      </c>
      <c r="P338" s="19">
        <v>20</v>
      </c>
      <c r="Q338" s="19">
        <v>5</v>
      </c>
      <c r="R338" s="19">
        <v>30</v>
      </c>
      <c r="S338" s="19">
        <v>10</v>
      </c>
      <c r="T338" s="19">
        <v>20</v>
      </c>
      <c r="U338" s="19">
        <v>15</v>
      </c>
      <c r="V338" s="19">
        <v>10</v>
      </c>
      <c r="W338" s="19">
        <v>5</v>
      </c>
      <c r="X338" s="19">
        <v>5</v>
      </c>
      <c r="Y338" s="19">
        <v>5</v>
      </c>
      <c r="Z338" s="19">
        <v>10</v>
      </c>
      <c r="AA338" s="19">
        <v>5</v>
      </c>
      <c r="AB338" s="19">
        <v>15</v>
      </c>
      <c r="AC338" s="19">
        <v>5</v>
      </c>
      <c r="AD338" s="19">
        <v>5</v>
      </c>
      <c r="AE338" s="19">
        <f t="shared" si="23"/>
        <v>190</v>
      </c>
      <c r="AF338" s="19">
        <f t="shared" si="24"/>
        <v>110</v>
      </c>
      <c r="AG338" s="20">
        <f t="shared" si="25"/>
        <v>15.833333333333334</v>
      </c>
      <c r="AH338" s="20">
        <f t="shared" si="22"/>
        <v>9.1666666666666661</v>
      </c>
      <c r="AI338" s="21"/>
      <c r="AJ338" s="13"/>
      <c r="AK338" s="13"/>
    </row>
    <row r="339" spans="1:37" x14ac:dyDescent="0.35">
      <c r="A339" s="15" t="str">
        <f>VLOOKUP(B339,'[1]Tabla 1 Arsenal'!$B$11:$K$380,10,FALSE)</f>
        <v>P080</v>
      </c>
      <c r="B339" s="15">
        <v>209085</v>
      </c>
      <c r="C339" s="16" t="s">
        <v>391</v>
      </c>
      <c r="D339" s="16" t="s">
        <v>32</v>
      </c>
      <c r="E339" s="17">
        <v>1187</v>
      </c>
      <c r="F339" s="18" t="s">
        <v>55</v>
      </c>
      <c r="G339" s="19">
        <v>100</v>
      </c>
      <c r="H339" s="19">
        <v>200</v>
      </c>
      <c r="I339" s="19">
        <v>75</v>
      </c>
      <c r="J339" s="19">
        <v>150</v>
      </c>
      <c r="K339" s="19">
        <v>250</v>
      </c>
      <c r="L339" s="19">
        <v>125</v>
      </c>
      <c r="M339" s="19">
        <v>450</v>
      </c>
      <c r="N339" s="19">
        <v>425</v>
      </c>
      <c r="O339" s="19">
        <v>100</v>
      </c>
      <c r="P339" s="19">
        <v>50</v>
      </c>
      <c r="Q339" s="19">
        <v>100</v>
      </c>
      <c r="R339" s="19">
        <v>50</v>
      </c>
      <c r="S339" s="19">
        <v>225</v>
      </c>
      <c r="T339" s="19">
        <v>75</v>
      </c>
      <c r="U339" s="19">
        <v>50</v>
      </c>
      <c r="V339" s="19">
        <v>50</v>
      </c>
      <c r="W339" s="19">
        <v>175</v>
      </c>
      <c r="X339" s="19">
        <v>175</v>
      </c>
      <c r="Y339" s="19">
        <v>125</v>
      </c>
      <c r="Z339" s="19">
        <v>125</v>
      </c>
      <c r="AA339" s="19">
        <v>50</v>
      </c>
      <c r="AB339" s="19">
        <v>25</v>
      </c>
      <c r="AC339" s="19">
        <v>50</v>
      </c>
      <c r="AD339" s="19">
        <v>75</v>
      </c>
      <c r="AE339" s="19">
        <f t="shared" si="23"/>
        <v>2075</v>
      </c>
      <c r="AF339" s="19">
        <f t="shared" si="24"/>
        <v>1200</v>
      </c>
      <c r="AG339" s="20">
        <f t="shared" si="25"/>
        <v>172.91666666666666</v>
      </c>
      <c r="AH339" s="20">
        <f t="shared" si="22"/>
        <v>100</v>
      </c>
      <c r="AI339" s="21"/>
      <c r="AJ339" s="13"/>
      <c r="AK339" s="13"/>
    </row>
    <row r="340" spans="1:37" x14ac:dyDescent="0.35">
      <c r="A340" s="15" t="str">
        <f>VLOOKUP(B340,'[1]Tabla 1 Arsenal'!$B$11:$K$380,10,FALSE)</f>
        <v>P156</v>
      </c>
      <c r="B340" s="15">
        <v>108009</v>
      </c>
      <c r="C340" s="16" t="s">
        <v>392</v>
      </c>
      <c r="D340" s="16" t="s">
        <v>135</v>
      </c>
      <c r="E340" s="17">
        <v>696</v>
      </c>
      <c r="F340" s="18" t="s">
        <v>23</v>
      </c>
      <c r="G340" s="19">
        <v>172</v>
      </c>
      <c r="H340" s="19">
        <v>167</v>
      </c>
      <c r="I340" s="19">
        <v>166</v>
      </c>
      <c r="J340" s="19">
        <v>30</v>
      </c>
      <c r="K340" s="19">
        <v>63</v>
      </c>
      <c r="L340" s="19">
        <v>72</v>
      </c>
      <c r="M340" s="19">
        <v>59</v>
      </c>
      <c r="N340" s="19">
        <v>54</v>
      </c>
      <c r="O340" s="19">
        <v>74</v>
      </c>
      <c r="P340" s="19">
        <v>18</v>
      </c>
      <c r="Q340" s="19">
        <v>38</v>
      </c>
      <c r="R340" s="19">
        <v>35</v>
      </c>
      <c r="S340" s="19">
        <v>31</v>
      </c>
      <c r="T340" s="19">
        <v>73</v>
      </c>
      <c r="U340" s="19">
        <v>42</v>
      </c>
      <c r="V340" s="19">
        <v>53</v>
      </c>
      <c r="W340" s="19">
        <v>33</v>
      </c>
      <c r="X340" s="19">
        <v>10</v>
      </c>
      <c r="Y340" s="19">
        <v>121</v>
      </c>
      <c r="Z340" s="19">
        <v>62</v>
      </c>
      <c r="AA340" s="19">
        <v>17</v>
      </c>
      <c r="AB340" s="19">
        <v>34</v>
      </c>
      <c r="AC340" s="19">
        <v>46</v>
      </c>
      <c r="AD340" s="19">
        <v>20</v>
      </c>
      <c r="AE340" s="19">
        <f t="shared" si="23"/>
        <v>948</v>
      </c>
      <c r="AF340" s="19">
        <f t="shared" si="24"/>
        <v>542</v>
      </c>
      <c r="AG340" s="20">
        <f t="shared" si="25"/>
        <v>79</v>
      </c>
      <c r="AH340" s="20">
        <f t="shared" si="22"/>
        <v>45.166666666666664</v>
      </c>
      <c r="AI340" s="21"/>
      <c r="AJ340" s="13"/>
      <c r="AK340" s="13"/>
    </row>
    <row r="341" spans="1:37" x14ac:dyDescent="0.35">
      <c r="A341" s="15" t="str">
        <f>VLOOKUP(B341,'[1]Tabla 1 Arsenal'!$B$11:$K$380,10,FALSE)</f>
        <v>P331</v>
      </c>
      <c r="B341" s="15">
        <v>102052</v>
      </c>
      <c r="C341" s="16" t="s">
        <v>393</v>
      </c>
      <c r="D341" s="16" t="s">
        <v>39</v>
      </c>
      <c r="E341" s="17">
        <v>8834</v>
      </c>
      <c r="F341" s="18" t="s">
        <v>23</v>
      </c>
      <c r="G341" s="19">
        <v>12</v>
      </c>
      <c r="H341" s="19">
        <v>35</v>
      </c>
      <c r="I341" s="19">
        <v>349</v>
      </c>
      <c r="J341" s="19">
        <v>338</v>
      </c>
      <c r="K341" s="19">
        <v>366</v>
      </c>
      <c r="L341" s="19">
        <v>406</v>
      </c>
      <c r="M341" s="19">
        <v>174</v>
      </c>
      <c r="N341" s="19">
        <v>174</v>
      </c>
      <c r="O341" s="19">
        <v>108</v>
      </c>
      <c r="P341" s="19">
        <v>270</v>
      </c>
      <c r="Q341" s="19">
        <v>349</v>
      </c>
      <c r="R341" s="19">
        <v>412</v>
      </c>
      <c r="S341" s="19">
        <v>127</v>
      </c>
      <c r="T341" s="19">
        <v>84</v>
      </c>
      <c r="U341" s="19">
        <v>276</v>
      </c>
      <c r="V341" s="19">
        <v>120</v>
      </c>
      <c r="W341" s="19">
        <v>174</v>
      </c>
      <c r="X341" s="19">
        <v>102</v>
      </c>
      <c r="Y341" s="19">
        <v>138</v>
      </c>
      <c r="Z341" s="19">
        <v>156</v>
      </c>
      <c r="AA341" s="19">
        <v>228</v>
      </c>
      <c r="AB341" s="19">
        <v>99</v>
      </c>
      <c r="AC341" s="19">
        <v>191</v>
      </c>
      <c r="AD341" s="19">
        <v>0</v>
      </c>
      <c r="AE341" s="19">
        <f t="shared" si="23"/>
        <v>2993</v>
      </c>
      <c r="AF341" s="19">
        <f t="shared" si="24"/>
        <v>1695</v>
      </c>
      <c r="AG341" s="20">
        <f t="shared" si="25"/>
        <v>249.41666666666666</v>
      </c>
      <c r="AH341" s="20">
        <f t="shared" si="22"/>
        <v>141.25</v>
      </c>
      <c r="AI341" s="21"/>
      <c r="AJ341" s="13"/>
      <c r="AK341" s="13"/>
    </row>
    <row r="342" spans="1:37" x14ac:dyDescent="0.35">
      <c r="A342" s="15" t="str">
        <f>VLOOKUP(B342,'[1]Tabla 1 Arsenal'!$B$11:$K$380,10,FALSE)</f>
        <v>P031</v>
      </c>
      <c r="B342" s="15">
        <v>104006</v>
      </c>
      <c r="C342" s="16" t="s">
        <v>394</v>
      </c>
      <c r="D342" s="16" t="s">
        <v>32</v>
      </c>
      <c r="E342" s="17">
        <v>11</v>
      </c>
      <c r="F342" s="18" t="s">
        <v>23</v>
      </c>
      <c r="G342" s="19">
        <v>18</v>
      </c>
      <c r="H342" s="19">
        <v>75</v>
      </c>
      <c r="I342" s="19">
        <v>59</v>
      </c>
      <c r="J342" s="19">
        <v>36</v>
      </c>
      <c r="K342" s="19">
        <v>35</v>
      </c>
      <c r="L342" s="19">
        <v>88</v>
      </c>
      <c r="M342" s="19">
        <v>84</v>
      </c>
      <c r="N342" s="19">
        <v>65</v>
      </c>
      <c r="O342" s="19">
        <v>37</v>
      </c>
      <c r="P342" s="19">
        <v>3</v>
      </c>
      <c r="Q342" s="19">
        <v>22</v>
      </c>
      <c r="R342" s="19">
        <v>0</v>
      </c>
      <c r="S342" s="19">
        <v>0</v>
      </c>
      <c r="T342" s="19">
        <v>6</v>
      </c>
      <c r="U342" s="19">
        <v>36</v>
      </c>
      <c r="V342" s="19">
        <v>98</v>
      </c>
      <c r="W342" s="19">
        <v>0</v>
      </c>
      <c r="X342" s="19">
        <v>7</v>
      </c>
      <c r="Y342" s="19">
        <v>8</v>
      </c>
      <c r="Z342" s="19">
        <v>36</v>
      </c>
      <c r="AA342" s="19">
        <v>0</v>
      </c>
      <c r="AB342" s="19">
        <v>11</v>
      </c>
      <c r="AC342" s="19">
        <v>75</v>
      </c>
      <c r="AD342" s="19">
        <v>17</v>
      </c>
      <c r="AE342" s="19">
        <f t="shared" si="23"/>
        <v>522</v>
      </c>
      <c r="AF342" s="19">
        <f t="shared" si="24"/>
        <v>294</v>
      </c>
      <c r="AG342" s="20">
        <f t="shared" si="25"/>
        <v>43.5</v>
      </c>
      <c r="AH342" s="20">
        <f t="shared" si="22"/>
        <v>24.5</v>
      </c>
      <c r="AI342" s="21"/>
      <c r="AJ342" s="13"/>
      <c r="AK342" s="13"/>
    </row>
    <row r="343" spans="1:37" x14ac:dyDescent="0.35">
      <c r="A343" s="15" t="str">
        <f>VLOOKUP(B343,'[1]Tabla 1 Arsenal'!$B$11:$K$380,10,FALSE)</f>
        <v>P113</v>
      </c>
      <c r="B343" s="15">
        <v>106015</v>
      </c>
      <c r="C343" s="16" t="s">
        <v>395</v>
      </c>
      <c r="D343" s="16" t="s">
        <v>37</v>
      </c>
      <c r="E343" s="17">
        <v>239</v>
      </c>
      <c r="F343" s="18" t="s">
        <v>23</v>
      </c>
      <c r="G343" s="19">
        <v>186</v>
      </c>
      <c r="H343" s="19">
        <v>174</v>
      </c>
      <c r="I343" s="19">
        <v>199</v>
      </c>
      <c r="J343" s="19">
        <v>155</v>
      </c>
      <c r="K343" s="19">
        <v>209</v>
      </c>
      <c r="L343" s="19">
        <v>205</v>
      </c>
      <c r="M343" s="19">
        <v>191</v>
      </c>
      <c r="N343" s="19">
        <v>220</v>
      </c>
      <c r="O343" s="19">
        <v>175</v>
      </c>
      <c r="P343" s="19">
        <v>181</v>
      </c>
      <c r="Q343" s="19">
        <v>188</v>
      </c>
      <c r="R343" s="19">
        <v>171</v>
      </c>
      <c r="S343" s="19">
        <v>187</v>
      </c>
      <c r="T343" s="19">
        <v>152</v>
      </c>
      <c r="U343" s="19">
        <v>151</v>
      </c>
      <c r="V343" s="19">
        <v>200</v>
      </c>
      <c r="W343" s="19">
        <v>189</v>
      </c>
      <c r="X343" s="19">
        <v>148</v>
      </c>
      <c r="Y343" s="19">
        <v>98</v>
      </c>
      <c r="Z343" s="19">
        <v>57</v>
      </c>
      <c r="AA343" s="19">
        <v>11</v>
      </c>
      <c r="AB343" s="19">
        <v>0</v>
      </c>
      <c r="AC343" s="19">
        <v>0</v>
      </c>
      <c r="AD343" s="19">
        <v>51</v>
      </c>
      <c r="AE343" s="19">
        <f t="shared" si="23"/>
        <v>2254</v>
      </c>
      <c r="AF343" s="19">
        <f t="shared" si="24"/>
        <v>1244</v>
      </c>
      <c r="AG343" s="20">
        <f t="shared" si="25"/>
        <v>187.83333333333334</v>
      </c>
      <c r="AH343" s="20">
        <f t="shared" si="22"/>
        <v>103.66666666666667</v>
      </c>
      <c r="AI343" s="21"/>
      <c r="AJ343" s="13"/>
      <c r="AK343" s="13"/>
    </row>
    <row r="344" spans="1:37" x14ac:dyDescent="0.35">
      <c r="A344" s="15" t="str">
        <f>VLOOKUP(B344,'[1]Tabla 1 Arsenal'!$B$11:$K$380,10,FALSE)</f>
        <v>P307</v>
      </c>
      <c r="B344" s="15">
        <v>101002</v>
      </c>
      <c r="C344" s="16" t="s">
        <v>396</v>
      </c>
      <c r="D344" s="16" t="s">
        <v>78</v>
      </c>
      <c r="E344" s="17">
        <v>23300</v>
      </c>
      <c r="F344" s="18" t="s">
        <v>23</v>
      </c>
      <c r="G344" s="19">
        <v>5</v>
      </c>
      <c r="H344" s="19">
        <v>5</v>
      </c>
      <c r="I344" s="19">
        <v>7</v>
      </c>
      <c r="J344" s="19">
        <v>5</v>
      </c>
      <c r="K344" s="19">
        <v>3</v>
      </c>
      <c r="L344" s="19">
        <v>4</v>
      </c>
      <c r="M344" s="19">
        <v>57</v>
      </c>
      <c r="N344" s="19">
        <v>27</v>
      </c>
      <c r="O344" s="19">
        <v>30</v>
      </c>
      <c r="P344" s="19">
        <v>12</v>
      </c>
      <c r="Q344" s="19">
        <v>14</v>
      </c>
      <c r="R344" s="19">
        <v>3</v>
      </c>
      <c r="S344" s="19">
        <v>15</v>
      </c>
      <c r="T344" s="19">
        <v>17</v>
      </c>
      <c r="U344" s="19">
        <v>6</v>
      </c>
      <c r="V344" s="19">
        <v>22</v>
      </c>
      <c r="W344" s="19">
        <v>7</v>
      </c>
      <c r="X344" s="19">
        <v>3</v>
      </c>
      <c r="Y344" s="19">
        <v>0</v>
      </c>
      <c r="Z344" s="19">
        <v>6</v>
      </c>
      <c r="AA344" s="19">
        <v>10</v>
      </c>
      <c r="AB344" s="19">
        <v>4</v>
      </c>
      <c r="AC344" s="19">
        <v>1</v>
      </c>
      <c r="AD344" s="19">
        <v>3</v>
      </c>
      <c r="AE344" s="19">
        <f t="shared" si="23"/>
        <v>172</v>
      </c>
      <c r="AF344" s="19">
        <f t="shared" si="24"/>
        <v>94</v>
      </c>
      <c r="AG344" s="20">
        <f t="shared" si="25"/>
        <v>14.333333333333334</v>
      </c>
      <c r="AH344" s="20">
        <f t="shared" si="22"/>
        <v>7.833333333333333</v>
      </c>
      <c r="AI344" s="21"/>
      <c r="AJ344" s="13"/>
      <c r="AK344" s="13"/>
    </row>
    <row r="345" spans="1:37" x14ac:dyDescent="0.35">
      <c r="A345" s="15" t="str">
        <f>VLOOKUP(B345,'[1]Tabla 1 Arsenal'!$B$11:$K$380,10,FALSE)</f>
        <v>P274</v>
      </c>
      <c r="B345" s="15">
        <v>209005</v>
      </c>
      <c r="C345" s="16" t="s">
        <v>397</v>
      </c>
      <c r="D345" s="16" t="s">
        <v>22</v>
      </c>
      <c r="E345" s="17">
        <v>16584</v>
      </c>
      <c r="F345" s="18" t="s">
        <v>55</v>
      </c>
      <c r="G345" s="19">
        <v>108</v>
      </c>
      <c r="H345" s="19">
        <v>140</v>
      </c>
      <c r="I345" s="19">
        <v>235</v>
      </c>
      <c r="J345" s="19">
        <v>186</v>
      </c>
      <c r="K345" s="19">
        <v>31</v>
      </c>
      <c r="L345" s="19">
        <v>131</v>
      </c>
      <c r="M345" s="19">
        <v>207</v>
      </c>
      <c r="N345" s="19">
        <v>108</v>
      </c>
      <c r="O345" s="19">
        <v>8</v>
      </c>
      <c r="P345" s="19">
        <v>167</v>
      </c>
      <c r="Q345" s="19">
        <v>202</v>
      </c>
      <c r="R345" s="19">
        <v>71</v>
      </c>
      <c r="S345" s="19">
        <v>93</v>
      </c>
      <c r="T345" s="19">
        <v>0</v>
      </c>
      <c r="U345" s="19">
        <v>3</v>
      </c>
      <c r="V345" s="19">
        <v>56</v>
      </c>
      <c r="W345" s="19">
        <v>190</v>
      </c>
      <c r="X345" s="19">
        <v>160</v>
      </c>
      <c r="Y345" s="19">
        <v>56</v>
      </c>
      <c r="Z345" s="19">
        <v>0</v>
      </c>
      <c r="AA345" s="19">
        <v>0</v>
      </c>
      <c r="AB345" s="19">
        <v>0</v>
      </c>
      <c r="AC345" s="19">
        <v>10</v>
      </c>
      <c r="AD345" s="19">
        <v>265</v>
      </c>
      <c r="AE345" s="19">
        <f t="shared" si="23"/>
        <v>1594</v>
      </c>
      <c r="AF345" s="19">
        <f t="shared" si="24"/>
        <v>833</v>
      </c>
      <c r="AG345" s="20">
        <f t="shared" si="25"/>
        <v>132.83333333333334</v>
      </c>
      <c r="AH345" s="20">
        <f t="shared" si="22"/>
        <v>69.416666666666671</v>
      </c>
      <c r="AI345" s="21"/>
      <c r="AJ345" s="13"/>
      <c r="AK345" s="13"/>
    </row>
    <row r="346" spans="1:37" x14ac:dyDescent="0.35">
      <c r="A346" s="15" t="str">
        <f>VLOOKUP(B346,'[1]Tabla 1 Arsenal'!$B$11:$K$380,10,FALSE)</f>
        <v>P346</v>
      </c>
      <c r="B346" s="15">
        <v>209106</v>
      </c>
      <c r="C346" s="16" t="s">
        <v>398</v>
      </c>
      <c r="D346" s="16" t="s">
        <v>86</v>
      </c>
      <c r="E346" s="17">
        <v>3570</v>
      </c>
      <c r="F346" s="18" t="s">
        <v>55</v>
      </c>
      <c r="G346" s="19">
        <v>45</v>
      </c>
      <c r="H346" s="19">
        <v>50</v>
      </c>
      <c r="I346" s="19">
        <v>60</v>
      </c>
      <c r="J346" s="19">
        <v>55</v>
      </c>
      <c r="K346" s="19">
        <v>25</v>
      </c>
      <c r="L346" s="19">
        <v>25</v>
      </c>
      <c r="M346" s="19">
        <v>0</v>
      </c>
      <c r="N346" s="19">
        <v>10</v>
      </c>
      <c r="O346" s="19">
        <v>5</v>
      </c>
      <c r="P346" s="19">
        <v>5</v>
      </c>
      <c r="Q346" s="19">
        <v>10</v>
      </c>
      <c r="R346" s="19">
        <v>20</v>
      </c>
      <c r="S346" s="19">
        <v>10</v>
      </c>
      <c r="T346" s="19">
        <v>30</v>
      </c>
      <c r="U346" s="19">
        <v>65</v>
      </c>
      <c r="V346" s="19">
        <v>0</v>
      </c>
      <c r="W346" s="19">
        <v>5</v>
      </c>
      <c r="X346" s="19">
        <v>10</v>
      </c>
      <c r="Y346" s="19">
        <v>0</v>
      </c>
      <c r="Z346" s="19">
        <v>0</v>
      </c>
      <c r="AA346" s="19">
        <v>0</v>
      </c>
      <c r="AB346" s="19">
        <v>0</v>
      </c>
      <c r="AC346" s="19">
        <v>10</v>
      </c>
      <c r="AD346" s="19">
        <v>30</v>
      </c>
      <c r="AE346" s="19">
        <f t="shared" si="23"/>
        <v>310</v>
      </c>
      <c r="AF346" s="19">
        <f t="shared" si="24"/>
        <v>160</v>
      </c>
      <c r="AG346" s="20">
        <f t="shared" si="25"/>
        <v>25.833333333333332</v>
      </c>
      <c r="AH346" s="20">
        <f t="shared" si="22"/>
        <v>13.333333333333334</v>
      </c>
      <c r="AI346" s="21"/>
      <c r="AJ346" s="13"/>
      <c r="AK346" s="13"/>
    </row>
    <row r="347" spans="1:37" x14ac:dyDescent="0.35">
      <c r="A347" s="15" t="str">
        <f>VLOOKUP(B347,'[1]Tabla 1 Arsenal'!$B$11:$K$380,10,FALSE)</f>
        <v>P023</v>
      </c>
      <c r="B347" s="15">
        <v>104003</v>
      </c>
      <c r="C347" s="16" t="s">
        <v>399</v>
      </c>
      <c r="D347" s="16" t="s">
        <v>32</v>
      </c>
      <c r="E347" s="17">
        <v>83</v>
      </c>
      <c r="F347" s="18" t="s">
        <v>23</v>
      </c>
      <c r="G347" s="19">
        <v>1</v>
      </c>
      <c r="H347" s="19">
        <v>45</v>
      </c>
      <c r="I347" s="19">
        <v>35</v>
      </c>
      <c r="J347" s="19">
        <v>80</v>
      </c>
      <c r="K347" s="19">
        <v>0</v>
      </c>
      <c r="L347" s="19">
        <v>19</v>
      </c>
      <c r="M347" s="19">
        <v>3</v>
      </c>
      <c r="N347" s="19">
        <v>0</v>
      </c>
      <c r="O347" s="19">
        <v>33</v>
      </c>
      <c r="P347" s="19">
        <v>12</v>
      </c>
      <c r="Q347" s="19">
        <v>10</v>
      </c>
      <c r="R347" s="19">
        <v>75</v>
      </c>
      <c r="S347" s="19">
        <v>15</v>
      </c>
      <c r="T347" s="19">
        <v>18</v>
      </c>
      <c r="U347" s="19">
        <v>5</v>
      </c>
      <c r="V347" s="19">
        <v>38</v>
      </c>
      <c r="W347" s="19">
        <v>53</v>
      </c>
      <c r="X347" s="19">
        <v>1</v>
      </c>
      <c r="Y347" s="19">
        <v>0</v>
      </c>
      <c r="Z347" s="19">
        <v>0</v>
      </c>
      <c r="AA347" s="19">
        <v>7</v>
      </c>
      <c r="AB347" s="19">
        <v>14</v>
      </c>
      <c r="AC347" s="19">
        <v>0</v>
      </c>
      <c r="AD347" s="19">
        <v>10</v>
      </c>
      <c r="AE347" s="19">
        <f t="shared" si="23"/>
        <v>313</v>
      </c>
      <c r="AF347" s="19">
        <f t="shared" si="24"/>
        <v>161</v>
      </c>
      <c r="AG347" s="20">
        <f t="shared" si="25"/>
        <v>26.083333333333332</v>
      </c>
      <c r="AH347" s="20">
        <f t="shared" si="22"/>
        <v>13.416666666666666</v>
      </c>
      <c r="AI347" s="21"/>
      <c r="AJ347" s="13"/>
      <c r="AK347" s="13"/>
    </row>
    <row r="348" spans="1:37" x14ac:dyDescent="0.35">
      <c r="A348" s="15" t="str">
        <f>VLOOKUP(B348,'[1]Tabla 1 Arsenal'!$B$11:$K$380,10,FALSE)</f>
        <v>P367</v>
      </c>
      <c r="B348" s="15">
        <v>102139</v>
      </c>
      <c r="C348" s="16" t="s">
        <v>400</v>
      </c>
      <c r="D348" s="16" t="s">
        <v>39</v>
      </c>
      <c r="E348" s="17">
        <v>30</v>
      </c>
      <c r="F348" s="18" t="s">
        <v>23</v>
      </c>
      <c r="G348" s="19">
        <v>1049</v>
      </c>
      <c r="H348" s="19">
        <v>447</v>
      </c>
      <c r="I348" s="19">
        <v>1146</v>
      </c>
      <c r="J348" s="19">
        <v>660</v>
      </c>
      <c r="K348" s="19">
        <v>1224</v>
      </c>
      <c r="L348" s="19">
        <v>722</v>
      </c>
      <c r="M348" s="19">
        <v>340</v>
      </c>
      <c r="N348" s="19">
        <v>903</v>
      </c>
      <c r="O348" s="19">
        <v>387</v>
      </c>
      <c r="P348" s="19">
        <v>561</v>
      </c>
      <c r="Q348" s="19">
        <v>520</v>
      </c>
      <c r="R348" s="19">
        <v>210</v>
      </c>
      <c r="S348" s="19">
        <v>255</v>
      </c>
      <c r="T348" s="19">
        <v>210</v>
      </c>
      <c r="U348" s="19">
        <v>315</v>
      </c>
      <c r="V348" s="19">
        <v>450</v>
      </c>
      <c r="W348" s="19">
        <v>167</v>
      </c>
      <c r="X348" s="19">
        <v>60</v>
      </c>
      <c r="Y348" s="19">
        <v>550</v>
      </c>
      <c r="Z348" s="19">
        <v>407</v>
      </c>
      <c r="AA348" s="19">
        <v>479</v>
      </c>
      <c r="AB348" s="19">
        <v>353</v>
      </c>
      <c r="AC348" s="19">
        <v>364</v>
      </c>
      <c r="AD348" s="19">
        <v>525</v>
      </c>
      <c r="AE348" s="19">
        <f t="shared" si="23"/>
        <v>8169</v>
      </c>
      <c r="AF348" s="19">
        <f t="shared" si="24"/>
        <v>4135</v>
      </c>
      <c r="AG348" s="20">
        <f t="shared" si="25"/>
        <v>680.75</v>
      </c>
      <c r="AH348" s="20">
        <f t="shared" si="22"/>
        <v>344.58333333333331</v>
      </c>
      <c r="AI348" s="21"/>
      <c r="AJ348" s="13"/>
      <c r="AK348" s="13"/>
    </row>
    <row r="349" spans="1:37" x14ac:dyDescent="0.35">
      <c r="A349" s="15" t="str">
        <f>VLOOKUP(B349,'[1]Tabla 1 Arsenal'!$B$11:$K$380,10,FALSE)</f>
        <v>P163</v>
      </c>
      <c r="B349" s="15">
        <v>106022</v>
      </c>
      <c r="C349" s="16" t="s">
        <v>401</v>
      </c>
      <c r="D349" s="16" t="s">
        <v>78</v>
      </c>
      <c r="E349" s="17">
        <v>2380</v>
      </c>
      <c r="F349" s="18" t="s">
        <v>23</v>
      </c>
      <c r="G349" s="19">
        <v>1</v>
      </c>
      <c r="H349" s="19">
        <v>0</v>
      </c>
      <c r="I349" s="19">
        <v>0</v>
      </c>
      <c r="J349" s="19">
        <v>4</v>
      </c>
      <c r="K349" s="19">
        <v>7</v>
      </c>
      <c r="L349" s="19">
        <v>3</v>
      </c>
      <c r="M349" s="19">
        <v>8</v>
      </c>
      <c r="N349" s="19">
        <v>39</v>
      </c>
      <c r="O349" s="19">
        <v>5</v>
      </c>
      <c r="P349" s="19">
        <v>0</v>
      </c>
      <c r="Q349" s="19">
        <v>2</v>
      </c>
      <c r="R349" s="19">
        <v>0</v>
      </c>
      <c r="S349" s="19">
        <v>16</v>
      </c>
      <c r="T349" s="19">
        <v>0</v>
      </c>
      <c r="U349" s="19">
        <v>1</v>
      </c>
      <c r="V349" s="19">
        <v>2</v>
      </c>
      <c r="W349" s="19">
        <v>3</v>
      </c>
      <c r="X349" s="19">
        <v>3</v>
      </c>
      <c r="Y349" s="19">
        <v>0</v>
      </c>
      <c r="Z349" s="19">
        <v>0</v>
      </c>
      <c r="AA349" s="19">
        <v>1</v>
      </c>
      <c r="AB349" s="19">
        <v>5</v>
      </c>
      <c r="AC349" s="19">
        <v>1</v>
      </c>
      <c r="AD349" s="19">
        <v>0</v>
      </c>
      <c r="AE349" s="19">
        <f t="shared" si="23"/>
        <v>69</v>
      </c>
      <c r="AF349" s="19">
        <f t="shared" si="24"/>
        <v>32</v>
      </c>
      <c r="AG349" s="20">
        <f t="shared" si="25"/>
        <v>5.75</v>
      </c>
      <c r="AH349" s="20">
        <f t="shared" si="22"/>
        <v>2.6666666666666665</v>
      </c>
      <c r="AI349" s="21"/>
      <c r="AJ349" s="13"/>
      <c r="AK349" s="13"/>
    </row>
    <row r="350" spans="1:37" x14ac:dyDescent="0.35">
      <c r="A350" s="15" t="str">
        <f>VLOOKUP(B350,'[1]Tabla 1 Arsenal'!$B$11:$K$380,10,FALSE)</f>
        <v>P072</v>
      </c>
      <c r="B350" s="15">
        <v>209119</v>
      </c>
      <c r="C350" s="16" t="s">
        <v>402</v>
      </c>
      <c r="D350" s="16" t="s">
        <v>22</v>
      </c>
      <c r="E350" s="17">
        <v>17180</v>
      </c>
      <c r="F350" s="18" t="s">
        <v>55</v>
      </c>
      <c r="G350" s="19">
        <v>6</v>
      </c>
      <c r="H350" s="19">
        <v>7</v>
      </c>
      <c r="I350" s="19">
        <v>13</v>
      </c>
      <c r="J350" s="19">
        <v>16</v>
      </c>
      <c r="K350" s="19">
        <v>25</v>
      </c>
      <c r="L350" s="19">
        <v>3</v>
      </c>
      <c r="M350" s="19">
        <v>4</v>
      </c>
      <c r="N350" s="19">
        <v>28</v>
      </c>
      <c r="O350" s="19">
        <v>51</v>
      </c>
      <c r="P350" s="19">
        <v>39</v>
      </c>
      <c r="Q350" s="19">
        <v>9</v>
      </c>
      <c r="R350" s="19">
        <v>8</v>
      </c>
      <c r="S350" s="19">
        <v>4</v>
      </c>
      <c r="T350" s="19">
        <v>8</v>
      </c>
      <c r="U350" s="19">
        <v>18</v>
      </c>
      <c r="V350" s="19">
        <v>19</v>
      </c>
      <c r="W350" s="19">
        <v>13</v>
      </c>
      <c r="X350" s="19">
        <v>0</v>
      </c>
      <c r="Y350" s="19">
        <v>3</v>
      </c>
      <c r="Z350" s="19">
        <v>19</v>
      </c>
      <c r="AA350" s="19">
        <v>0</v>
      </c>
      <c r="AB350" s="19">
        <v>0</v>
      </c>
      <c r="AC350" s="19">
        <v>12</v>
      </c>
      <c r="AD350" s="19">
        <v>0</v>
      </c>
      <c r="AE350" s="19">
        <f t="shared" si="23"/>
        <v>209</v>
      </c>
      <c r="AF350" s="19">
        <f t="shared" si="24"/>
        <v>96</v>
      </c>
      <c r="AG350" s="20">
        <f t="shared" si="25"/>
        <v>17.416666666666668</v>
      </c>
      <c r="AH350" s="20">
        <f t="shared" si="22"/>
        <v>8</v>
      </c>
      <c r="AI350" s="21"/>
      <c r="AJ350" s="13"/>
      <c r="AK350" s="13"/>
    </row>
    <row r="351" spans="1:37" x14ac:dyDescent="0.35">
      <c r="A351" s="15" t="str">
        <f>VLOOKUP(B351,'[1]Tabla 1 Arsenal'!$B$11:$K$380,10,FALSE)</f>
        <v>P305</v>
      </c>
      <c r="B351" s="15">
        <v>101000</v>
      </c>
      <c r="C351" s="16" t="s">
        <v>403</v>
      </c>
      <c r="D351" s="16" t="s">
        <v>78</v>
      </c>
      <c r="E351" s="17">
        <v>15708</v>
      </c>
      <c r="F351" s="18" t="s">
        <v>23</v>
      </c>
      <c r="G351" s="19">
        <v>17</v>
      </c>
      <c r="H351" s="19">
        <v>19</v>
      </c>
      <c r="I351" s="19">
        <v>21</v>
      </c>
      <c r="J351" s="19">
        <v>34</v>
      </c>
      <c r="K351" s="19">
        <v>23</v>
      </c>
      <c r="L351" s="19">
        <v>21</v>
      </c>
      <c r="M351" s="19">
        <v>16</v>
      </c>
      <c r="N351" s="19">
        <v>45</v>
      </c>
      <c r="O351" s="19">
        <v>17</v>
      </c>
      <c r="P351" s="19">
        <v>8</v>
      </c>
      <c r="Q351" s="19">
        <v>17</v>
      </c>
      <c r="R351" s="19">
        <v>25</v>
      </c>
      <c r="S351" s="19">
        <v>0</v>
      </c>
      <c r="T351" s="19">
        <v>10</v>
      </c>
      <c r="U351" s="19">
        <v>8</v>
      </c>
      <c r="V351" s="19">
        <v>8</v>
      </c>
      <c r="W351" s="19">
        <v>12</v>
      </c>
      <c r="X351" s="19">
        <v>6</v>
      </c>
      <c r="Y351" s="19">
        <v>2</v>
      </c>
      <c r="Z351" s="19">
        <v>14</v>
      </c>
      <c r="AA351" s="19">
        <v>18</v>
      </c>
      <c r="AB351" s="19">
        <v>18</v>
      </c>
      <c r="AC351" s="19">
        <v>2</v>
      </c>
      <c r="AD351" s="19">
        <v>21</v>
      </c>
      <c r="AE351" s="19">
        <f t="shared" si="23"/>
        <v>263</v>
      </c>
      <c r="AF351" s="19">
        <f t="shared" si="24"/>
        <v>119</v>
      </c>
      <c r="AG351" s="20">
        <f t="shared" si="25"/>
        <v>21.916666666666668</v>
      </c>
      <c r="AH351" s="20">
        <f t="shared" si="22"/>
        <v>9.9166666666666661</v>
      </c>
      <c r="AI351" s="21"/>
      <c r="AJ351" s="13"/>
      <c r="AK351" s="13"/>
    </row>
    <row r="352" spans="1:37" x14ac:dyDescent="0.35">
      <c r="A352" s="15" t="str">
        <f>VLOOKUP(B352,'[1]Tabla 1 Arsenal'!$B$11:$K$380,10,FALSE)</f>
        <v>P182</v>
      </c>
      <c r="B352" s="15">
        <v>102123</v>
      </c>
      <c r="C352" s="16" t="s">
        <v>404</v>
      </c>
      <c r="D352" s="16" t="s">
        <v>23</v>
      </c>
      <c r="E352" s="17">
        <v>1904</v>
      </c>
      <c r="F352" s="18" t="s">
        <v>23</v>
      </c>
      <c r="G352" s="19">
        <v>2</v>
      </c>
      <c r="H352" s="19">
        <v>16</v>
      </c>
      <c r="I352" s="19">
        <v>2</v>
      </c>
      <c r="J352" s="19">
        <v>1</v>
      </c>
      <c r="K352" s="19">
        <v>0</v>
      </c>
      <c r="L352" s="19">
        <v>3</v>
      </c>
      <c r="M352" s="19">
        <v>4</v>
      </c>
      <c r="N352" s="19">
        <v>10</v>
      </c>
      <c r="O352" s="19">
        <v>0</v>
      </c>
      <c r="P352" s="19">
        <v>1</v>
      </c>
      <c r="Q352" s="19">
        <v>0</v>
      </c>
      <c r="R352" s="19">
        <v>0</v>
      </c>
      <c r="S352" s="19">
        <v>1</v>
      </c>
      <c r="T352" s="19">
        <v>0</v>
      </c>
      <c r="U352" s="19">
        <v>3</v>
      </c>
      <c r="V352" s="19">
        <v>0</v>
      </c>
      <c r="W352" s="19">
        <v>1</v>
      </c>
      <c r="X352" s="19">
        <v>1</v>
      </c>
      <c r="Y352" s="19">
        <v>2</v>
      </c>
      <c r="Z352" s="19">
        <v>3</v>
      </c>
      <c r="AA352" s="19">
        <v>3</v>
      </c>
      <c r="AB352" s="19">
        <v>0</v>
      </c>
      <c r="AC352" s="19">
        <v>2</v>
      </c>
      <c r="AD352" s="19">
        <v>1</v>
      </c>
      <c r="AE352" s="19">
        <f t="shared" si="23"/>
        <v>39</v>
      </c>
      <c r="AF352" s="19">
        <f t="shared" si="24"/>
        <v>17</v>
      </c>
      <c r="AG352" s="20">
        <f t="shared" si="25"/>
        <v>3.25</v>
      </c>
      <c r="AH352" s="20">
        <f t="shared" si="22"/>
        <v>1.4166666666666667</v>
      </c>
      <c r="AI352" s="21"/>
      <c r="AJ352" s="13"/>
      <c r="AK352" s="13"/>
    </row>
    <row r="353" spans="1:37" x14ac:dyDescent="0.35">
      <c r="A353" s="15" t="str">
        <f>VLOOKUP(B353,'[1]Tabla 1 Arsenal'!$B$11:$K$380,10,FALSE)</f>
        <v>P184</v>
      </c>
      <c r="B353" s="15">
        <v>106081</v>
      </c>
      <c r="C353" s="16" t="s">
        <v>405</v>
      </c>
      <c r="D353" s="16" t="s">
        <v>22</v>
      </c>
      <c r="E353" s="17">
        <v>2694</v>
      </c>
      <c r="F353" s="18" t="s">
        <v>23</v>
      </c>
      <c r="G353" s="19">
        <v>4</v>
      </c>
      <c r="H353" s="19">
        <v>3</v>
      </c>
      <c r="I353" s="19">
        <v>9</v>
      </c>
      <c r="J353" s="19">
        <v>5</v>
      </c>
      <c r="K353" s="19">
        <v>5</v>
      </c>
      <c r="L353" s="19">
        <v>3</v>
      </c>
      <c r="M353" s="19">
        <v>10</v>
      </c>
      <c r="N353" s="19">
        <v>8</v>
      </c>
      <c r="O353" s="19">
        <v>3</v>
      </c>
      <c r="P353" s="19">
        <v>6</v>
      </c>
      <c r="Q353" s="19">
        <v>8</v>
      </c>
      <c r="R353" s="19">
        <v>4</v>
      </c>
      <c r="S353" s="19">
        <v>4</v>
      </c>
      <c r="T353" s="19">
        <v>6</v>
      </c>
      <c r="U353" s="19">
        <v>17</v>
      </c>
      <c r="V353" s="19">
        <v>2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0</v>
      </c>
      <c r="AD353" s="19">
        <v>0</v>
      </c>
      <c r="AE353" s="19">
        <f t="shared" si="23"/>
        <v>68</v>
      </c>
      <c r="AF353" s="19">
        <f t="shared" si="24"/>
        <v>29</v>
      </c>
      <c r="AG353" s="20">
        <f t="shared" si="25"/>
        <v>5.666666666666667</v>
      </c>
      <c r="AH353" s="20">
        <f t="shared" si="22"/>
        <v>2.4166666666666665</v>
      </c>
      <c r="AI353" s="21"/>
      <c r="AJ353" s="13"/>
      <c r="AK353" s="13"/>
    </row>
    <row r="354" spans="1:37" x14ac:dyDescent="0.35">
      <c r="A354" s="15" t="str">
        <f>VLOOKUP(B354,'[1]Tabla 1 Arsenal'!$B$11:$K$380,10,FALSE)</f>
        <v>P334</v>
      </c>
      <c r="B354" s="15">
        <v>106055</v>
      </c>
      <c r="C354" s="16" t="s">
        <v>406</v>
      </c>
      <c r="D354" s="16" t="s">
        <v>22</v>
      </c>
      <c r="E354" s="17">
        <v>1702</v>
      </c>
      <c r="F354" s="18" t="s">
        <v>23</v>
      </c>
      <c r="G354" s="19">
        <v>7</v>
      </c>
      <c r="H354" s="19">
        <v>10</v>
      </c>
      <c r="I354" s="19">
        <v>7</v>
      </c>
      <c r="J354" s="19">
        <v>10</v>
      </c>
      <c r="K354" s="19">
        <v>4</v>
      </c>
      <c r="L354" s="19">
        <v>7</v>
      </c>
      <c r="M354" s="19">
        <v>12</v>
      </c>
      <c r="N354" s="19">
        <v>6</v>
      </c>
      <c r="O354" s="19">
        <v>10</v>
      </c>
      <c r="P354" s="19">
        <v>4</v>
      </c>
      <c r="Q354" s="19">
        <v>0</v>
      </c>
      <c r="R354" s="19">
        <v>0</v>
      </c>
      <c r="S354" s="19">
        <v>7</v>
      </c>
      <c r="T354" s="19">
        <v>4</v>
      </c>
      <c r="U354" s="19">
        <v>0</v>
      </c>
      <c r="V354" s="19">
        <v>2</v>
      </c>
      <c r="W354" s="19">
        <v>4</v>
      </c>
      <c r="X354" s="19">
        <v>2</v>
      </c>
      <c r="Y354" s="19">
        <v>4</v>
      </c>
      <c r="Z354" s="19">
        <v>0</v>
      </c>
      <c r="AA354" s="19">
        <v>1</v>
      </c>
      <c r="AB354" s="19">
        <v>3</v>
      </c>
      <c r="AC354" s="19">
        <v>0</v>
      </c>
      <c r="AD354" s="19">
        <v>2</v>
      </c>
      <c r="AE354" s="19">
        <f t="shared" si="23"/>
        <v>77</v>
      </c>
      <c r="AF354" s="19">
        <f t="shared" si="24"/>
        <v>29</v>
      </c>
      <c r="AG354" s="20">
        <f t="shared" si="25"/>
        <v>6.416666666666667</v>
      </c>
      <c r="AH354" s="20">
        <f t="shared" si="22"/>
        <v>2.4166666666666665</v>
      </c>
      <c r="AI354" s="21"/>
      <c r="AJ354" s="13"/>
      <c r="AK354" s="13"/>
    </row>
    <row r="355" spans="1:37" x14ac:dyDescent="0.35">
      <c r="A355" s="15" t="str">
        <f>VLOOKUP(B355,'[1]Tabla 1 Arsenal'!$B$11:$K$380,10,FALSE)</f>
        <v>P152</v>
      </c>
      <c r="B355" s="15">
        <v>108004</v>
      </c>
      <c r="C355" s="16" t="s">
        <v>407</v>
      </c>
      <c r="D355" s="16" t="s">
        <v>135</v>
      </c>
      <c r="E355" s="17">
        <v>928</v>
      </c>
      <c r="F355" s="18" t="s">
        <v>23</v>
      </c>
      <c r="G355" s="19">
        <v>0</v>
      </c>
      <c r="H355" s="19">
        <v>2</v>
      </c>
      <c r="I355" s="19">
        <v>12</v>
      </c>
      <c r="J355" s="19">
        <v>6</v>
      </c>
      <c r="K355" s="19">
        <v>21</v>
      </c>
      <c r="L355" s="19">
        <v>0</v>
      </c>
      <c r="M355" s="19">
        <v>14</v>
      </c>
      <c r="N355" s="19">
        <v>4</v>
      </c>
      <c r="O355" s="19">
        <v>2</v>
      </c>
      <c r="P355" s="19">
        <v>50</v>
      </c>
      <c r="Q355" s="19">
        <v>25</v>
      </c>
      <c r="R355" s="19">
        <v>0</v>
      </c>
      <c r="S355" s="19">
        <v>3</v>
      </c>
      <c r="T355" s="19">
        <v>0</v>
      </c>
      <c r="U355" s="19">
        <v>4</v>
      </c>
      <c r="V355" s="19">
        <v>0</v>
      </c>
      <c r="W355" s="19">
        <v>0</v>
      </c>
      <c r="X355" s="19">
        <v>10</v>
      </c>
      <c r="Y355" s="19">
        <v>0</v>
      </c>
      <c r="Z355" s="19">
        <v>0</v>
      </c>
      <c r="AA355" s="19">
        <v>0</v>
      </c>
      <c r="AB355" s="19">
        <v>15</v>
      </c>
      <c r="AC355" s="19">
        <v>19</v>
      </c>
      <c r="AD355" s="19">
        <v>0</v>
      </c>
      <c r="AE355" s="19">
        <f t="shared" si="23"/>
        <v>136</v>
      </c>
      <c r="AF355" s="19">
        <f t="shared" si="24"/>
        <v>51</v>
      </c>
      <c r="AG355" s="20">
        <f t="shared" si="25"/>
        <v>11.333333333333334</v>
      </c>
      <c r="AH355" s="20">
        <f t="shared" ref="AH355:AH370" si="26">AVERAGE(S355:AD355)</f>
        <v>4.25</v>
      </c>
      <c r="AI355" s="21"/>
      <c r="AJ355" s="13"/>
      <c r="AK355" s="13"/>
    </row>
    <row r="356" spans="1:37" x14ac:dyDescent="0.35">
      <c r="A356" s="15" t="str">
        <f>VLOOKUP(B356,'[1]Tabla 1 Arsenal'!$B$11:$K$380,10,FALSE)</f>
        <v>P204</v>
      </c>
      <c r="B356" s="15">
        <v>105005</v>
      </c>
      <c r="C356" s="16" t="s">
        <v>408</v>
      </c>
      <c r="D356" s="16" t="s">
        <v>64</v>
      </c>
      <c r="E356" s="17">
        <v>5047</v>
      </c>
      <c r="F356" s="18" t="s">
        <v>23</v>
      </c>
      <c r="G356" s="19">
        <v>6</v>
      </c>
      <c r="H356" s="19">
        <v>10</v>
      </c>
      <c r="I356" s="19">
        <v>5</v>
      </c>
      <c r="J356" s="19">
        <v>4</v>
      </c>
      <c r="K356" s="19">
        <v>2</v>
      </c>
      <c r="L356" s="19">
        <v>6</v>
      </c>
      <c r="M356" s="19">
        <v>5</v>
      </c>
      <c r="N356" s="19">
        <v>4</v>
      </c>
      <c r="O356" s="19">
        <v>5</v>
      </c>
      <c r="P356" s="19">
        <v>13</v>
      </c>
      <c r="Q356" s="19">
        <v>3</v>
      </c>
      <c r="R356" s="19">
        <v>1</v>
      </c>
      <c r="S356" s="19">
        <v>0</v>
      </c>
      <c r="T356" s="19">
        <v>1</v>
      </c>
      <c r="U356" s="19">
        <v>2</v>
      </c>
      <c r="V356" s="19">
        <v>6</v>
      </c>
      <c r="W356" s="19">
        <v>0</v>
      </c>
      <c r="X356" s="19">
        <v>1</v>
      </c>
      <c r="Y356" s="19">
        <v>4</v>
      </c>
      <c r="Z356" s="19">
        <v>2</v>
      </c>
      <c r="AA356" s="19">
        <v>4</v>
      </c>
      <c r="AB356" s="19">
        <v>1</v>
      </c>
      <c r="AC356" s="19">
        <v>1</v>
      </c>
      <c r="AD356" s="19">
        <v>2</v>
      </c>
      <c r="AE356" s="19">
        <f t="shared" si="23"/>
        <v>64</v>
      </c>
      <c r="AF356" s="19">
        <f t="shared" si="24"/>
        <v>24</v>
      </c>
      <c r="AG356" s="20">
        <f t="shared" si="25"/>
        <v>5.333333333333333</v>
      </c>
      <c r="AH356" s="20">
        <f t="shared" si="26"/>
        <v>2</v>
      </c>
      <c r="AI356" s="21"/>
      <c r="AJ356" s="13"/>
      <c r="AK356" s="13"/>
    </row>
    <row r="357" spans="1:37" x14ac:dyDescent="0.35">
      <c r="A357" s="15" t="str">
        <f>VLOOKUP(B357,'[1]Tabla 1 Arsenal'!$B$11:$K$380,10,FALSE)</f>
        <v>P256</v>
      </c>
      <c r="B357" s="15">
        <v>108028</v>
      </c>
      <c r="C357" s="16" t="s">
        <v>409</v>
      </c>
      <c r="D357" s="16" t="s">
        <v>39</v>
      </c>
      <c r="E357" s="17">
        <v>51230</v>
      </c>
      <c r="F357" s="18" t="s">
        <v>23</v>
      </c>
      <c r="G357" s="19">
        <v>18</v>
      </c>
      <c r="H357" s="19">
        <v>34</v>
      </c>
      <c r="I357" s="19">
        <v>25</v>
      </c>
      <c r="J357" s="19">
        <v>0</v>
      </c>
      <c r="K357" s="19">
        <v>6</v>
      </c>
      <c r="L357" s="19">
        <v>4</v>
      </c>
      <c r="M357" s="19">
        <v>52</v>
      </c>
      <c r="N357" s="19">
        <v>47</v>
      </c>
      <c r="O357" s="19">
        <v>36</v>
      </c>
      <c r="P357" s="19">
        <v>34</v>
      </c>
      <c r="Q357" s="19">
        <v>7</v>
      </c>
      <c r="R357" s="19">
        <v>68</v>
      </c>
      <c r="S357" s="19">
        <v>15</v>
      </c>
      <c r="T357" s="19">
        <v>0</v>
      </c>
      <c r="U357" s="19">
        <v>16</v>
      </c>
      <c r="V357" s="19">
        <v>0</v>
      </c>
      <c r="W357" s="19">
        <v>0</v>
      </c>
      <c r="X357" s="19">
        <v>0</v>
      </c>
      <c r="Y357" s="19">
        <v>6</v>
      </c>
      <c r="Z357" s="19">
        <v>0</v>
      </c>
      <c r="AA357" s="19">
        <v>16</v>
      </c>
      <c r="AB357" s="19">
        <v>27</v>
      </c>
      <c r="AC357" s="19">
        <v>7</v>
      </c>
      <c r="AD357" s="19">
        <v>37</v>
      </c>
      <c r="AE357" s="19">
        <f t="shared" si="23"/>
        <v>331</v>
      </c>
      <c r="AF357" s="19">
        <f t="shared" si="24"/>
        <v>124</v>
      </c>
      <c r="AG357" s="20">
        <f t="shared" si="25"/>
        <v>27.583333333333332</v>
      </c>
      <c r="AH357" s="20">
        <f t="shared" si="26"/>
        <v>10.333333333333334</v>
      </c>
      <c r="AI357" s="21"/>
      <c r="AJ357" s="13"/>
      <c r="AK357" s="13"/>
    </row>
    <row r="358" spans="1:37" x14ac:dyDescent="0.35">
      <c r="A358" s="15" t="str">
        <f>VLOOKUP(B358,'[1]Tabla 1 Arsenal'!$B$11:$K$380,10,FALSE)</f>
        <v>P043</v>
      </c>
      <c r="B358" s="15">
        <v>101022</v>
      </c>
      <c r="C358" s="16" t="s">
        <v>410</v>
      </c>
      <c r="D358" s="16" t="s">
        <v>32</v>
      </c>
      <c r="E358" s="17">
        <v>194</v>
      </c>
      <c r="F358" s="18" t="s">
        <v>55</v>
      </c>
      <c r="G358" s="19">
        <v>90</v>
      </c>
      <c r="H358" s="19">
        <v>180</v>
      </c>
      <c r="I358" s="19">
        <v>0</v>
      </c>
      <c r="J358" s="19">
        <v>412</v>
      </c>
      <c r="K358" s="19">
        <v>1080</v>
      </c>
      <c r="L358" s="19">
        <v>150</v>
      </c>
      <c r="M358" s="19">
        <v>180</v>
      </c>
      <c r="N358" s="19">
        <v>180</v>
      </c>
      <c r="O358" s="19">
        <v>0</v>
      </c>
      <c r="P358" s="19">
        <v>90</v>
      </c>
      <c r="Q358" s="19">
        <v>270</v>
      </c>
      <c r="R358" s="19">
        <v>0</v>
      </c>
      <c r="S358" s="19">
        <v>100</v>
      </c>
      <c r="T358" s="19">
        <v>390</v>
      </c>
      <c r="U358" s="19">
        <v>155</v>
      </c>
      <c r="V358" s="19">
        <v>90</v>
      </c>
      <c r="W358" s="19">
        <v>0</v>
      </c>
      <c r="X358" s="19">
        <v>110</v>
      </c>
      <c r="Y358" s="19">
        <v>0</v>
      </c>
      <c r="Z358" s="19">
        <v>31</v>
      </c>
      <c r="AA358" s="19">
        <v>100</v>
      </c>
      <c r="AB358" s="19">
        <v>10</v>
      </c>
      <c r="AC358" s="19">
        <v>0</v>
      </c>
      <c r="AD358" s="19">
        <v>0</v>
      </c>
      <c r="AE358" s="19">
        <f t="shared" si="23"/>
        <v>2632</v>
      </c>
      <c r="AF358" s="19">
        <f t="shared" si="24"/>
        <v>986</v>
      </c>
      <c r="AG358" s="20">
        <f t="shared" si="25"/>
        <v>219.33333333333334</v>
      </c>
      <c r="AH358" s="20">
        <f t="shared" si="26"/>
        <v>82.166666666666671</v>
      </c>
      <c r="AI358" s="21"/>
      <c r="AJ358" s="13"/>
      <c r="AK358" s="13"/>
    </row>
    <row r="359" spans="1:37" x14ac:dyDescent="0.35">
      <c r="A359" s="15" t="str">
        <f>VLOOKUP(B359,'[1]Tabla 1 Arsenal'!$B$11:$K$380,10,FALSE)</f>
        <v>P366</v>
      </c>
      <c r="B359" s="15">
        <v>105015</v>
      </c>
      <c r="C359" s="16" t="s">
        <v>411</v>
      </c>
      <c r="D359" s="16" t="s">
        <v>23</v>
      </c>
      <c r="E359" s="17">
        <v>3897</v>
      </c>
      <c r="F359" s="18" t="s">
        <v>23</v>
      </c>
      <c r="G359" s="19">
        <v>0</v>
      </c>
      <c r="H359" s="19">
        <v>8</v>
      </c>
      <c r="I359" s="19">
        <v>0</v>
      </c>
      <c r="J359" s="19">
        <v>6</v>
      </c>
      <c r="K359" s="19">
        <v>5</v>
      </c>
      <c r="L359" s="19">
        <v>0</v>
      </c>
      <c r="M359" s="19">
        <v>2</v>
      </c>
      <c r="N359" s="19">
        <v>1</v>
      </c>
      <c r="O359" s="19">
        <v>5</v>
      </c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9">
        <v>0</v>
      </c>
      <c r="V359" s="19">
        <v>1</v>
      </c>
      <c r="W359" s="19">
        <v>0</v>
      </c>
      <c r="X359" s="19">
        <v>3</v>
      </c>
      <c r="Y359" s="19">
        <v>4</v>
      </c>
      <c r="Z359" s="19">
        <v>0</v>
      </c>
      <c r="AA359" s="19">
        <v>0</v>
      </c>
      <c r="AB359" s="19">
        <v>2</v>
      </c>
      <c r="AC359" s="19">
        <v>0</v>
      </c>
      <c r="AD359" s="19">
        <v>0</v>
      </c>
      <c r="AE359" s="19">
        <f t="shared" si="23"/>
        <v>27</v>
      </c>
      <c r="AF359" s="19">
        <f t="shared" si="24"/>
        <v>10</v>
      </c>
      <c r="AG359" s="20">
        <f t="shared" si="25"/>
        <v>2.25</v>
      </c>
      <c r="AH359" s="20">
        <f t="shared" si="26"/>
        <v>0.83333333333333337</v>
      </c>
      <c r="AI359" s="21"/>
      <c r="AJ359" s="13"/>
      <c r="AK359" s="13"/>
    </row>
    <row r="360" spans="1:37" x14ac:dyDescent="0.35">
      <c r="A360" s="15" t="str">
        <f>VLOOKUP(B360,'[1]Tabla 1 Arsenal'!$B$11:$K$380,10,FALSE)</f>
        <v>P302</v>
      </c>
      <c r="B360" s="15">
        <v>106063</v>
      </c>
      <c r="C360" s="16" t="s">
        <v>412</v>
      </c>
      <c r="D360" s="16" t="s">
        <v>37</v>
      </c>
      <c r="E360" s="17">
        <v>464</v>
      </c>
      <c r="F360" s="18" t="s">
        <v>23</v>
      </c>
      <c r="G360" s="19">
        <v>4</v>
      </c>
      <c r="H360" s="19">
        <v>9</v>
      </c>
      <c r="I360" s="19">
        <v>1</v>
      </c>
      <c r="J360" s="19">
        <v>1</v>
      </c>
      <c r="K360" s="19">
        <v>3</v>
      </c>
      <c r="L360" s="19">
        <v>1</v>
      </c>
      <c r="M360" s="19">
        <v>6</v>
      </c>
      <c r="N360" s="19">
        <v>0</v>
      </c>
      <c r="O360" s="19">
        <v>1</v>
      </c>
      <c r="P360" s="19">
        <v>18</v>
      </c>
      <c r="Q360" s="19">
        <v>4</v>
      </c>
      <c r="R360" s="19">
        <v>10</v>
      </c>
      <c r="S360" s="19">
        <v>1</v>
      </c>
      <c r="T360" s="19">
        <v>2</v>
      </c>
      <c r="U360" s="19">
        <v>2</v>
      </c>
      <c r="V360" s="19">
        <v>3</v>
      </c>
      <c r="W360" s="19">
        <v>7</v>
      </c>
      <c r="X360" s="19">
        <v>0</v>
      </c>
      <c r="Y360" s="19">
        <v>1</v>
      </c>
      <c r="Z360" s="19">
        <v>2</v>
      </c>
      <c r="AA360" s="19">
        <v>0</v>
      </c>
      <c r="AB360" s="19">
        <v>0</v>
      </c>
      <c r="AC360" s="19">
        <v>2</v>
      </c>
      <c r="AD360" s="19">
        <v>0</v>
      </c>
      <c r="AE360" s="19">
        <f t="shared" si="23"/>
        <v>58</v>
      </c>
      <c r="AF360" s="19">
        <f t="shared" si="24"/>
        <v>20</v>
      </c>
      <c r="AG360" s="20">
        <f t="shared" si="25"/>
        <v>4.833333333333333</v>
      </c>
      <c r="AH360" s="20">
        <f t="shared" si="26"/>
        <v>1.6666666666666667</v>
      </c>
      <c r="AI360" s="21"/>
      <c r="AJ360" s="13"/>
      <c r="AK360" s="13"/>
    </row>
    <row r="361" spans="1:37" x14ac:dyDescent="0.35">
      <c r="A361" s="15" t="str">
        <f>VLOOKUP(B361,'[1]Tabla 1 Arsenal'!$B$11:$K$380,10,FALSE)</f>
        <v>P030</v>
      </c>
      <c r="B361" s="15">
        <v>102062</v>
      </c>
      <c r="C361" s="16" t="s">
        <v>413</v>
      </c>
      <c r="D361" s="16" t="s">
        <v>37</v>
      </c>
      <c r="E361" s="17">
        <v>65331</v>
      </c>
      <c r="F361" s="18" t="s">
        <v>23</v>
      </c>
      <c r="G361" s="19">
        <v>14</v>
      </c>
      <c r="H361" s="19">
        <v>28</v>
      </c>
      <c r="I361" s="19">
        <v>0</v>
      </c>
      <c r="J361" s="19">
        <v>2</v>
      </c>
      <c r="K361" s="19">
        <v>0</v>
      </c>
      <c r="L361" s="19">
        <v>0</v>
      </c>
      <c r="M361" s="19">
        <v>3</v>
      </c>
      <c r="N361" s="19">
        <v>0</v>
      </c>
      <c r="O361" s="19">
        <v>0</v>
      </c>
      <c r="P361" s="19">
        <v>0</v>
      </c>
      <c r="Q361" s="19">
        <v>26</v>
      </c>
      <c r="R361" s="19">
        <v>0</v>
      </c>
      <c r="S361" s="19">
        <v>0</v>
      </c>
      <c r="T361" s="19">
        <v>0</v>
      </c>
      <c r="U361" s="19">
        <v>0</v>
      </c>
      <c r="V361" s="19">
        <v>0</v>
      </c>
      <c r="W361" s="19">
        <v>0</v>
      </c>
      <c r="X361" s="19">
        <v>0</v>
      </c>
      <c r="Y361" s="19">
        <v>0</v>
      </c>
      <c r="Z361" s="19">
        <v>8</v>
      </c>
      <c r="AA361" s="19">
        <v>0</v>
      </c>
      <c r="AB361" s="19">
        <v>0</v>
      </c>
      <c r="AC361" s="19">
        <v>5</v>
      </c>
      <c r="AD361" s="19">
        <v>11</v>
      </c>
      <c r="AE361" s="19">
        <f t="shared" si="23"/>
        <v>73</v>
      </c>
      <c r="AF361" s="19">
        <f t="shared" si="24"/>
        <v>24</v>
      </c>
      <c r="AG361" s="20">
        <f t="shared" si="25"/>
        <v>6.083333333333333</v>
      </c>
      <c r="AH361" s="20">
        <f t="shared" si="26"/>
        <v>2</v>
      </c>
      <c r="AI361" s="21"/>
      <c r="AJ361" s="13"/>
      <c r="AK361" s="13"/>
    </row>
    <row r="362" spans="1:37" x14ac:dyDescent="0.35">
      <c r="A362" s="15" t="str">
        <f>VLOOKUP(B362,'[1]Tabla 1 Arsenal'!$B$11:$K$380,10,FALSE)</f>
        <v>P280</v>
      </c>
      <c r="B362" s="15">
        <v>102047</v>
      </c>
      <c r="C362" s="16" t="s">
        <v>414</v>
      </c>
      <c r="D362" s="16" t="s">
        <v>32</v>
      </c>
      <c r="E362" s="17">
        <v>8204</v>
      </c>
      <c r="F362" s="18" t="s">
        <v>55</v>
      </c>
      <c r="G362" s="19">
        <v>60</v>
      </c>
      <c r="H362" s="19">
        <v>0</v>
      </c>
      <c r="I362" s="19">
        <v>60</v>
      </c>
      <c r="J362" s="19">
        <v>30</v>
      </c>
      <c r="K362" s="19">
        <v>30</v>
      </c>
      <c r="L362" s="19">
        <v>90</v>
      </c>
      <c r="M362" s="19">
        <v>150</v>
      </c>
      <c r="N362" s="19">
        <v>120</v>
      </c>
      <c r="O362" s="19">
        <v>120</v>
      </c>
      <c r="P362" s="19">
        <v>240</v>
      </c>
      <c r="Q362" s="19">
        <v>0</v>
      </c>
      <c r="R362" s="19">
        <v>30</v>
      </c>
      <c r="S362" s="19">
        <v>0</v>
      </c>
      <c r="T362" s="19">
        <v>300</v>
      </c>
      <c r="U362" s="19">
        <v>0</v>
      </c>
      <c r="V362" s="19">
        <v>0</v>
      </c>
      <c r="W362" s="19">
        <v>0</v>
      </c>
      <c r="X362" s="19">
        <v>0</v>
      </c>
      <c r="Y362" s="19">
        <v>0</v>
      </c>
      <c r="Z362" s="19">
        <v>0</v>
      </c>
      <c r="AA362" s="19">
        <v>0</v>
      </c>
      <c r="AB362" s="19">
        <v>0</v>
      </c>
      <c r="AC362" s="19">
        <v>0</v>
      </c>
      <c r="AD362" s="19">
        <v>0</v>
      </c>
      <c r="AE362" s="19">
        <f t="shared" si="23"/>
        <v>930</v>
      </c>
      <c r="AF362" s="19">
        <f t="shared" si="24"/>
        <v>300</v>
      </c>
      <c r="AG362" s="20">
        <f t="shared" si="25"/>
        <v>77.5</v>
      </c>
      <c r="AH362" s="20">
        <f t="shared" si="26"/>
        <v>25</v>
      </c>
      <c r="AI362" s="21"/>
      <c r="AJ362" s="13"/>
      <c r="AK362" s="13"/>
    </row>
    <row r="363" spans="1:37" x14ac:dyDescent="0.35">
      <c r="A363" s="15" t="str">
        <f>VLOOKUP(B363,'[1]Tabla 1 Arsenal'!$B$11:$K$380,10,FALSE)</f>
        <v>P002</v>
      </c>
      <c r="B363" s="15">
        <v>102038</v>
      </c>
      <c r="C363" s="16" t="s">
        <v>415</v>
      </c>
      <c r="D363" s="16" t="s">
        <v>32</v>
      </c>
      <c r="E363" s="17">
        <v>81</v>
      </c>
      <c r="F363" s="18" t="s">
        <v>23</v>
      </c>
      <c r="G363" s="19">
        <v>12</v>
      </c>
      <c r="H363" s="19">
        <v>11</v>
      </c>
      <c r="I363" s="19">
        <v>10</v>
      </c>
      <c r="J363" s="19">
        <v>18</v>
      </c>
      <c r="K363" s="19">
        <v>8</v>
      </c>
      <c r="L363" s="19">
        <v>65</v>
      </c>
      <c r="M363" s="19">
        <v>9</v>
      </c>
      <c r="N363" s="19">
        <v>70</v>
      </c>
      <c r="O363" s="19">
        <v>27</v>
      </c>
      <c r="P363" s="19">
        <v>60</v>
      </c>
      <c r="Q363" s="19">
        <v>25</v>
      </c>
      <c r="R363" s="19">
        <v>1</v>
      </c>
      <c r="S363" s="19">
        <v>21</v>
      </c>
      <c r="T363" s="19">
        <v>0</v>
      </c>
      <c r="U363" s="19">
        <v>16</v>
      </c>
      <c r="V363" s="19">
        <v>3</v>
      </c>
      <c r="W363" s="19">
        <v>2</v>
      </c>
      <c r="X363" s="19">
        <v>1</v>
      </c>
      <c r="Y363" s="19">
        <v>0</v>
      </c>
      <c r="Z363" s="19">
        <v>17</v>
      </c>
      <c r="AA363" s="19">
        <v>4</v>
      </c>
      <c r="AB363" s="19">
        <v>3</v>
      </c>
      <c r="AC363" s="19">
        <v>17</v>
      </c>
      <c r="AD363" s="19">
        <v>5</v>
      </c>
      <c r="AE363" s="19">
        <f t="shared" si="23"/>
        <v>316</v>
      </c>
      <c r="AF363" s="19">
        <f t="shared" si="24"/>
        <v>89</v>
      </c>
      <c r="AG363" s="20">
        <f t="shared" si="25"/>
        <v>26.333333333333332</v>
      </c>
      <c r="AH363" s="20">
        <f t="shared" si="26"/>
        <v>7.416666666666667</v>
      </c>
      <c r="AI363" s="21"/>
      <c r="AJ363" s="13"/>
      <c r="AK363" s="13"/>
    </row>
    <row r="364" spans="1:37" x14ac:dyDescent="0.35">
      <c r="A364" s="15" t="str">
        <f>VLOOKUP(B364,'[1]Tabla 1 Arsenal'!$B$11:$K$380,10,FALSE)</f>
        <v>P011</v>
      </c>
      <c r="B364" s="15">
        <v>101035</v>
      </c>
      <c r="C364" s="16" t="s">
        <v>416</v>
      </c>
      <c r="D364" s="16" t="s">
        <v>37</v>
      </c>
      <c r="E364" s="17">
        <v>1488</v>
      </c>
      <c r="F364" s="18" t="s">
        <v>23</v>
      </c>
      <c r="G364" s="19">
        <v>0</v>
      </c>
      <c r="H364" s="19">
        <v>1</v>
      </c>
      <c r="I364" s="19">
        <v>0</v>
      </c>
      <c r="J364" s="19">
        <v>2</v>
      </c>
      <c r="K364" s="19">
        <v>0</v>
      </c>
      <c r="L364" s="19">
        <v>0</v>
      </c>
      <c r="M364" s="19">
        <v>1</v>
      </c>
      <c r="N364" s="19">
        <v>7</v>
      </c>
      <c r="O364" s="19">
        <v>1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3</v>
      </c>
      <c r="W364" s="19">
        <v>0</v>
      </c>
      <c r="X364" s="19">
        <v>0</v>
      </c>
      <c r="Y364" s="19">
        <v>0</v>
      </c>
      <c r="Z364" s="19">
        <v>0</v>
      </c>
      <c r="AA364" s="19">
        <v>0</v>
      </c>
      <c r="AB364" s="19">
        <v>0</v>
      </c>
      <c r="AC364" s="19">
        <v>0</v>
      </c>
      <c r="AD364" s="19">
        <v>0</v>
      </c>
      <c r="AE364" s="19">
        <f t="shared" si="23"/>
        <v>12</v>
      </c>
      <c r="AF364" s="19">
        <f t="shared" si="24"/>
        <v>3</v>
      </c>
      <c r="AG364" s="20">
        <f t="shared" si="25"/>
        <v>1</v>
      </c>
      <c r="AH364" s="20">
        <f t="shared" si="26"/>
        <v>0.25</v>
      </c>
      <c r="AI364" s="21"/>
      <c r="AJ364" s="13"/>
      <c r="AK364" s="13"/>
    </row>
    <row r="365" spans="1:37" x14ac:dyDescent="0.35">
      <c r="A365" s="15" t="str">
        <f>VLOOKUP(B365,'[1]Tabla 1 Arsenal'!$B$11:$K$380,10,FALSE)</f>
        <v>P234</v>
      </c>
      <c r="B365" s="33">
        <v>104041</v>
      </c>
      <c r="C365" s="34" t="s">
        <v>417</v>
      </c>
      <c r="D365" s="35" t="s">
        <v>37</v>
      </c>
      <c r="E365" s="17">
        <v>725</v>
      </c>
      <c r="F365" s="18" t="s">
        <v>23</v>
      </c>
      <c r="G365" s="36">
        <v>40</v>
      </c>
      <c r="H365" s="19">
        <v>12</v>
      </c>
      <c r="I365" s="19">
        <v>44</v>
      </c>
      <c r="J365" s="19">
        <v>58</v>
      </c>
      <c r="K365" s="19">
        <v>15</v>
      </c>
      <c r="L365" s="19">
        <v>18</v>
      </c>
      <c r="M365" s="19">
        <v>150</v>
      </c>
      <c r="N365" s="19">
        <v>120</v>
      </c>
      <c r="O365" s="19">
        <v>17</v>
      </c>
      <c r="P365" s="19">
        <v>28</v>
      </c>
      <c r="Q365" s="19">
        <v>9</v>
      </c>
      <c r="R365" s="19">
        <v>28</v>
      </c>
      <c r="S365" s="37">
        <v>0</v>
      </c>
      <c r="T365" s="37">
        <v>6</v>
      </c>
      <c r="U365" s="37">
        <v>11</v>
      </c>
      <c r="V365" s="37">
        <v>8</v>
      </c>
      <c r="W365" s="37">
        <v>7</v>
      </c>
      <c r="X365" s="37">
        <v>2</v>
      </c>
      <c r="Y365" s="37">
        <v>25</v>
      </c>
      <c r="Z365" s="37">
        <v>36</v>
      </c>
      <c r="AA365" s="37">
        <v>0</v>
      </c>
      <c r="AB365" s="37">
        <v>0</v>
      </c>
      <c r="AC365" s="37">
        <v>4</v>
      </c>
      <c r="AD365" s="37">
        <v>10</v>
      </c>
      <c r="AE365" s="19">
        <f t="shared" si="23"/>
        <v>539</v>
      </c>
      <c r="AF365" s="19">
        <f t="shared" si="24"/>
        <v>109</v>
      </c>
      <c r="AG365" s="20">
        <f t="shared" si="25"/>
        <v>44.916666666666664</v>
      </c>
      <c r="AH365" s="20">
        <f t="shared" si="26"/>
        <v>9.0833333333333339</v>
      </c>
      <c r="AI365" s="21"/>
      <c r="AJ365" s="13"/>
      <c r="AK365" s="13"/>
    </row>
    <row r="366" spans="1:37" x14ac:dyDescent="0.35">
      <c r="A366" s="15" t="str">
        <f>VLOOKUP(B366,'[1]Tabla 1 Arsenal'!$B$11:$K$380,10,FALSE)</f>
        <v>P236</v>
      </c>
      <c r="B366" s="33">
        <v>209159</v>
      </c>
      <c r="C366" s="34" t="s">
        <v>418</v>
      </c>
      <c r="D366" s="35" t="s">
        <v>22</v>
      </c>
      <c r="E366" s="17">
        <v>37525</v>
      </c>
      <c r="F366" s="18" t="s">
        <v>55</v>
      </c>
      <c r="G366" s="19">
        <v>3</v>
      </c>
      <c r="H366" s="19">
        <v>3</v>
      </c>
      <c r="I366" s="19">
        <v>1</v>
      </c>
      <c r="J366" s="19">
        <v>2</v>
      </c>
      <c r="K366" s="19">
        <v>2</v>
      </c>
      <c r="L366" s="19">
        <v>3</v>
      </c>
      <c r="M366" s="19">
        <v>3</v>
      </c>
      <c r="N366" s="19">
        <v>1</v>
      </c>
      <c r="O366" s="19">
        <v>1</v>
      </c>
      <c r="P366" s="19">
        <v>6</v>
      </c>
      <c r="Q366" s="19">
        <v>0</v>
      </c>
      <c r="R366" s="19">
        <v>0</v>
      </c>
      <c r="S366" s="37">
        <v>0</v>
      </c>
      <c r="T366" s="37">
        <v>0</v>
      </c>
      <c r="U366" s="37">
        <v>0</v>
      </c>
      <c r="V366" s="37">
        <v>0</v>
      </c>
      <c r="W366" s="37">
        <v>0</v>
      </c>
      <c r="X366" s="37">
        <v>0</v>
      </c>
      <c r="Y366" s="37">
        <v>1</v>
      </c>
      <c r="Z366" s="37">
        <v>0</v>
      </c>
      <c r="AA366" s="37">
        <v>2</v>
      </c>
      <c r="AB366" s="37">
        <v>1</v>
      </c>
      <c r="AC366" s="37">
        <v>0</v>
      </c>
      <c r="AD366" s="37">
        <v>1</v>
      </c>
      <c r="AE366" s="19">
        <f t="shared" si="23"/>
        <v>25</v>
      </c>
      <c r="AF366" s="19">
        <f t="shared" si="24"/>
        <v>5</v>
      </c>
      <c r="AG366" s="20">
        <f t="shared" si="25"/>
        <v>2.0833333333333335</v>
      </c>
      <c r="AH366" s="20">
        <f t="shared" si="26"/>
        <v>0.41666666666666669</v>
      </c>
      <c r="AI366" s="21"/>
      <c r="AJ366" s="13"/>
      <c r="AK366" s="13"/>
    </row>
    <row r="367" spans="1:37" x14ac:dyDescent="0.35">
      <c r="A367" s="15" t="str">
        <f>VLOOKUP(B367,'[1]Tabla 1 Arsenal'!$B$11:$K$380,10,FALSE)</f>
        <v>P189</v>
      </c>
      <c r="B367" s="33">
        <v>107006</v>
      </c>
      <c r="C367" s="34" t="s">
        <v>419</v>
      </c>
      <c r="D367" s="35" t="s">
        <v>23</v>
      </c>
      <c r="E367" s="17">
        <v>4126</v>
      </c>
      <c r="F367" s="18" t="s">
        <v>23</v>
      </c>
      <c r="G367" s="19">
        <v>793</v>
      </c>
      <c r="H367" s="19">
        <v>613</v>
      </c>
      <c r="I367" s="19">
        <v>694</v>
      </c>
      <c r="J367" s="19">
        <v>610</v>
      </c>
      <c r="K367" s="19">
        <v>678</v>
      </c>
      <c r="L367" s="19">
        <v>609</v>
      </c>
      <c r="M367" s="19">
        <v>767</v>
      </c>
      <c r="N367" s="19">
        <v>769</v>
      </c>
      <c r="O367" s="19">
        <v>666</v>
      </c>
      <c r="P367" s="19">
        <v>528</v>
      </c>
      <c r="Q367" s="19">
        <v>67</v>
      </c>
      <c r="R367" s="19">
        <v>277</v>
      </c>
      <c r="S367" s="37">
        <v>53</v>
      </c>
      <c r="T367" s="37">
        <v>5</v>
      </c>
      <c r="U367" s="37">
        <v>2</v>
      </c>
      <c r="V367" s="37">
        <v>7</v>
      </c>
      <c r="W367" s="37">
        <v>1</v>
      </c>
      <c r="X367" s="37">
        <v>0</v>
      </c>
      <c r="Y367" s="37">
        <v>27</v>
      </c>
      <c r="Z367" s="37">
        <v>131</v>
      </c>
      <c r="AA367" s="37">
        <v>128</v>
      </c>
      <c r="AB367" s="37">
        <v>326</v>
      </c>
      <c r="AC367" s="37">
        <v>320</v>
      </c>
      <c r="AD367" s="37">
        <v>333</v>
      </c>
      <c r="AE367" s="19">
        <f t="shared" si="23"/>
        <v>7071</v>
      </c>
      <c r="AF367" s="19">
        <f t="shared" si="24"/>
        <v>1333</v>
      </c>
      <c r="AG367" s="20">
        <f t="shared" si="25"/>
        <v>589.25</v>
      </c>
      <c r="AH367" s="20">
        <f t="shared" si="26"/>
        <v>111.08333333333333</v>
      </c>
      <c r="AI367" s="21"/>
      <c r="AJ367" s="13"/>
      <c r="AK367" s="13"/>
    </row>
    <row r="368" spans="1:37" x14ac:dyDescent="0.35">
      <c r="A368" s="15" t="str">
        <f>VLOOKUP(B368,'[1]Tabla 1 Arsenal'!$B$11:$K$380,10,FALSE)</f>
        <v>P104</v>
      </c>
      <c r="B368" s="33">
        <v>209045</v>
      </c>
      <c r="C368" s="34" t="s">
        <v>420</v>
      </c>
      <c r="D368" s="35" t="s">
        <v>22</v>
      </c>
      <c r="E368" s="17">
        <v>59405</v>
      </c>
      <c r="F368" s="18" t="s">
        <v>55</v>
      </c>
      <c r="G368" s="19">
        <v>24</v>
      </c>
      <c r="H368" s="19">
        <v>26</v>
      </c>
      <c r="I368" s="19">
        <v>33</v>
      </c>
      <c r="J368" s="19">
        <v>25</v>
      </c>
      <c r="K368" s="19">
        <v>23</v>
      </c>
      <c r="L368" s="19">
        <v>95</v>
      </c>
      <c r="M368" s="19">
        <v>66</v>
      </c>
      <c r="N368" s="19">
        <v>72</v>
      </c>
      <c r="O368" s="19">
        <v>79</v>
      </c>
      <c r="P368" s="19">
        <v>1</v>
      </c>
      <c r="Q368" s="19">
        <v>0</v>
      </c>
      <c r="R368" s="19">
        <v>0</v>
      </c>
      <c r="S368" s="37">
        <v>0</v>
      </c>
      <c r="T368" s="37">
        <v>0</v>
      </c>
      <c r="U368" s="37">
        <v>2</v>
      </c>
      <c r="V368" s="37">
        <v>3</v>
      </c>
      <c r="W368" s="37">
        <v>0</v>
      </c>
      <c r="X368" s="37">
        <v>0</v>
      </c>
      <c r="Y368" s="37">
        <v>0</v>
      </c>
      <c r="Z368" s="37">
        <v>0</v>
      </c>
      <c r="AA368" s="37">
        <v>0</v>
      </c>
      <c r="AB368" s="37">
        <v>0</v>
      </c>
      <c r="AC368" s="37">
        <v>14</v>
      </c>
      <c r="AD368" s="37">
        <v>42</v>
      </c>
      <c r="AE368" s="19">
        <f t="shared" si="23"/>
        <v>444</v>
      </c>
      <c r="AF368" s="19">
        <f t="shared" si="24"/>
        <v>61</v>
      </c>
      <c r="AG368" s="20">
        <f t="shared" si="25"/>
        <v>37</v>
      </c>
      <c r="AH368" s="20">
        <f t="shared" si="26"/>
        <v>5.083333333333333</v>
      </c>
      <c r="AI368" s="21"/>
      <c r="AJ368" s="13"/>
      <c r="AK368" s="13"/>
    </row>
    <row r="369" spans="1:37" x14ac:dyDescent="0.35">
      <c r="A369" s="15" t="str">
        <f>VLOOKUP(B369,'[1]Tabla 1 Arsenal'!$B$11:$K$380,10,FALSE)</f>
        <v>P079</v>
      </c>
      <c r="B369" s="33">
        <v>102066</v>
      </c>
      <c r="C369" s="34" t="s">
        <v>421</v>
      </c>
      <c r="D369" s="35" t="s">
        <v>32</v>
      </c>
      <c r="E369" s="17">
        <v>51</v>
      </c>
      <c r="F369" s="18" t="s">
        <v>23</v>
      </c>
      <c r="G369" s="19">
        <v>0</v>
      </c>
      <c r="H369" s="19">
        <v>0</v>
      </c>
      <c r="I369" s="19">
        <v>0</v>
      </c>
      <c r="J369" s="19">
        <v>0</v>
      </c>
      <c r="K369" s="19">
        <v>11</v>
      </c>
      <c r="L369" s="19">
        <v>0</v>
      </c>
      <c r="M369" s="19">
        <v>28</v>
      </c>
      <c r="N369" s="19">
        <v>11</v>
      </c>
      <c r="O369" s="19">
        <v>5</v>
      </c>
      <c r="P369" s="19">
        <v>0</v>
      </c>
      <c r="Q369" s="19">
        <v>0</v>
      </c>
      <c r="R369" s="19">
        <v>0</v>
      </c>
      <c r="S369" s="37">
        <v>0</v>
      </c>
      <c r="T369" s="37">
        <v>0</v>
      </c>
      <c r="U369" s="37">
        <v>0</v>
      </c>
      <c r="V369" s="37">
        <v>0</v>
      </c>
      <c r="W369" s="37">
        <v>0</v>
      </c>
      <c r="X369" s="37">
        <v>0</v>
      </c>
      <c r="Y369" s="37">
        <v>4</v>
      </c>
      <c r="Z369" s="37">
        <v>0</v>
      </c>
      <c r="AA369" s="37">
        <v>0</v>
      </c>
      <c r="AB369" s="37">
        <v>0</v>
      </c>
      <c r="AC369" s="37">
        <v>0</v>
      </c>
      <c r="AD369" s="37">
        <v>0</v>
      </c>
      <c r="AE369" s="19">
        <f t="shared" si="23"/>
        <v>55</v>
      </c>
      <c r="AF369" s="19">
        <f t="shared" si="24"/>
        <v>4</v>
      </c>
      <c r="AG369" s="20">
        <f t="shared" si="25"/>
        <v>4.583333333333333</v>
      </c>
      <c r="AH369" s="20">
        <f t="shared" si="26"/>
        <v>0.33333333333333331</v>
      </c>
      <c r="AI369" s="21"/>
      <c r="AJ369" s="13"/>
      <c r="AK369" s="13"/>
    </row>
    <row r="370" spans="1:37" x14ac:dyDescent="0.35">
      <c r="A370" s="15" t="str">
        <f>VLOOKUP(B370,'[1]Tabla 1 Arsenal'!$B$11:$K$380,10,FALSE)</f>
        <v>P151</v>
      </c>
      <c r="B370" s="33">
        <v>108002</v>
      </c>
      <c r="C370" s="34" t="s">
        <v>422</v>
      </c>
      <c r="D370" s="35" t="s">
        <v>135</v>
      </c>
      <c r="E370" s="17">
        <v>1250</v>
      </c>
      <c r="F370" s="18" t="s">
        <v>23</v>
      </c>
      <c r="G370" s="19">
        <v>0</v>
      </c>
      <c r="H370" s="19">
        <v>10</v>
      </c>
      <c r="I370" s="19">
        <v>0</v>
      </c>
      <c r="J370" s="19">
        <v>0</v>
      </c>
      <c r="K370" s="19">
        <v>19</v>
      </c>
      <c r="L370" s="19">
        <v>18</v>
      </c>
      <c r="M370" s="19">
        <v>5</v>
      </c>
      <c r="N370" s="19">
        <v>0</v>
      </c>
      <c r="O370" s="19">
        <v>28</v>
      </c>
      <c r="P370" s="19">
        <v>9</v>
      </c>
      <c r="Q370" s="19">
        <v>3</v>
      </c>
      <c r="R370" s="19">
        <v>0</v>
      </c>
      <c r="S370" s="37">
        <v>0</v>
      </c>
      <c r="T370" s="37">
        <v>0</v>
      </c>
      <c r="U370" s="37">
        <v>0</v>
      </c>
      <c r="V370" s="37">
        <v>0</v>
      </c>
      <c r="W370" s="37">
        <v>0</v>
      </c>
      <c r="X370" s="37">
        <v>0</v>
      </c>
      <c r="Y370" s="37">
        <v>1</v>
      </c>
      <c r="Z370" s="37">
        <v>0</v>
      </c>
      <c r="AA370" s="37">
        <v>2</v>
      </c>
      <c r="AB370" s="37">
        <v>0</v>
      </c>
      <c r="AC370" s="37">
        <v>0</v>
      </c>
      <c r="AD370" s="37">
        <v>0</v>
      </c>
      <c r="AE370" s="19">
        <f t="shared" si="23"/>
        <v>92</v>
      </c>
      <c r="AF370" s="19">
        <f t="shared" si="24"/>
        <v>3</v>
      </c>
      <c r="AG370" s="20">
        <f t="shared" si="25"/>
        <v>7.666666666666667</v>
      </c>
      <c r="AH370" s="20">
        <f t="shared" si="26"/>
        <v>0.25</v>
      </c>
      <c r="AI370" s="21"/>
      <c r="AJ370" s="13"/>
      <c r="AK370" s="13"/>
    </row>
    <row r="371" spans="1:37" x14ac:dyDescent="0.35">
      <c r="A371" s="15" t="str">
        <f>VLOOKUP(B371,'[1]Tabla 1 Arsenal'!$B$11:$K$380,10,FALSE)</f>
        <v>P086</v>
      </c>
      <c r="B371" s="33">
        <v>106048</v>
      </c>
      <c r="C371" s="34" t="s">
        <v>423</v>
      </c>
      <c r="D371" s="35" t="s">
        <v>37</v>
      </c>
      <c r="E371" s="17">
        <v>107</v>
      </c>
      <c r="F371" s="18" t="s">
        <v>23</v>
      </c>
      <c r="G371" s="19">
        <v>0</v>
      </c>
      <c r="H371" s="19">
        <v>2</v>
      </c>
      <c r="I371" s="19">
        <v>6</v>
      </c>
      <c r="J371" s="19">
        <v>0</v>
      </c>
      <c r="K371" s="19">
        <v>0</v>
      </c>
      <c r="L371" s="19">
        <v>0</v>
      </c>
      <c r="M371" s="19">
        <v>0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37">
        <v>0</v>
      </c>
      <c r="T371" s="37">
        <v>0</v>
      </c>
      <c r="U371" s="37">
        <v>0</v>
      </c>
      <c r="V371" s="37">
        <v>0</v>
      </c>
      <c r="W371" s="37">
        <v>0</v>
      </c>
      <c r="X371" s="37">
        <v>0</v>
      </c>
      <c r="Y371" s="37">
        <v>0</v>
      </c>
      <c r="Z371" s="37">
        <v>0</v>
      </c>
      <c r="AA371" s="37">
        <v>0</v>
      </c>
      <c r="AB371" s="37">
        <v>0</v>
      </c>
      <c r="AC371" s="37">
        <v>0</v>
      </c>
      <c r="AD371" s="37">
        <v>0</v>
      </c>
      <c r="AE371" s="19">
        <f t="shared" si="23"/>
        <v>8</v>
      </c>
      <c r="AF371" s="19">
        <f t="shared" si="24"/>
        <v>0</v>
      </c>
      <c r="AG371" s="20">
        <f t="shared" si="25"/>
        <v>0.66666666666666663</v>
      </c>
      <c r="AH371" s="20">
        <v>0</v>
      </c>
      <c r="AI371" s="21"/>
      <c r="AJ371" s="13"/>
      <c r="AK371" s="13"/>
    </row>
    <row r="372" spans="1:37" x14ac:dyDescent="0.35">
      <c r="A372" s="15" t="str">
        <f>VLOOKUP(B372,'[1]Tabla 1 Arsenal'!$B$11:$K$380,10,FALSE)</f>
        <v>P088</v>
      </c>
      <c r="B372" s="33">
        <v>102125</v>
      </c>
      <c r="C372" s="34" t="s">
        <v>424</v>
      </c>
      <c r="D372" s="35" t="s">
        <v>22</v>
      </c>
      <c r="E372" s="17">
        <v>187611</v>
      </c>
      <c r="F372" s="18" t="s">
        <v>23</v>
      </c>
      <c r="G372" s="19">
        <v>0</v>
      </c>
      <c r="H372" s="19">
        <v>0</v>
      </c>
      <c r="I372" s="19">
        <v>0</v>
      </c>
      <c r="J372" s="19">
        <v>0</v>
      </c>
      <c r="K372" s="19">
        <v>4</v>
      </c>
      <c r="L372" s="19">
        <v>0</v>
      </c>
      <c r="M372" s="19">
        <v>0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37">
        <v>0</v>
      </c>
      <c r="T372" s="37">
        <v>0</v>
      </c>
      <c r="U372" s="37">
        <v>0</v>
      </c>
      <c r="V372" s="37">
        <v>0</v>
      </c>
      <c r="W372" s="37">
        <v>0</v>
      </c>
      <c r="X372" s="37">
        <v>0</v>
      </c>
      <c r="Y372" s="37">
        <v>0</v>
      </c>
      <c r="Z372" s="37">
        <v>0</v>
      </c>
      <c r="AA372" s="37">
        <v>0</v>
      </c>
      <c r="AB372" s="37">
        <v>0</v>
      </c>
      <c r="AC372" s="37">
        <v>0</v>
      </c>
      <c r="AD372" s="37">
        <v>0</v>
      </c>
      <c r="AE372" s="19">
        <f t="shared" si="23"/>
        <v>4</v>
      </c>
      <c r="AF372" s="19">
        <f t="shared" si="24"/>
        <v>0</v>
      </c>
      <c r="AG372" s="20">
        <f t="shared" si="25"/>
        <v>0.33333333333333331</v>
      </c>
      <c r="AH372" s="20">
        <v>0</v>
      </c>
      <c r="AI372" s="21"/>
      <c r="AJ372" s="13"/>
      <c r="AK372" s="13"/>
    </row>
    <row r="373" spans="1:37" x14ac:dyDescent="0.35">
      <c r="A373" s="15" t="str">
        <f>VLOOKUP(B373,'[1]Tabla 1 Arsenal'!$B$11:$K$380,10,FALSE)</f>
        <v>P106</v>
      </c>
      <c r="B373" s="33">
        <v>106013</v>
      </c>
      <c r="C373" s="34" t="s">
        <v>425</v>
      </c>
      <c r="D373" s="35" t="s">
        <v>37</v>
      </c>
      <c r="E373" s="17">
        <v>405</v>
      </c>
      <c r="F373" s="18" t="s">
        <v>23</v>
      </c>
      <c r="G373" s="19">
        <v>0</v>
      </c>
      <c r="H373" s="19">
        <v>3</v>
      </c>
      <c r="I373" s="19">
        <v>2</v>
      </c>
      <c r="J373" s="19">
        <v>0</v>
      </c>
      <c r="K373" s="19">
        <v>0</v>
      </c>
      <c r="L373" s="19">
        <v>1</v>
      </c>
      <c r="M373" s="19">
        <v>0</v>
      </c>
      <c r="N373" s="19">
        <v>0</v>
      </c>
      <c r="O373" s="19">
        <v>0</v>
      </c>
      <c r="P373" s="19">
        <v>0</v>
      </c>
      <c r="Q373" s="19">
        <v>2</v>
      </c>
      <c r="R373" s="19">
        <v>0</v>
      </c>
      <c r="S373" s="37">
        <v>0</v>
      </c>
      <c r="T373" s="37">
        <v>0</v>
      </c>
      <c r="U373" s="37">
        <v>0</v>
      </c>
      <c r="V373" s="37">
        <v>0</v>
      </c>
      <c r="W373" s="37">
        <v>0</v>
      </c>
      <c r="X373" s="37">
        <v>0</v>
      </c>
      <c r="Y373" s="37">
        <v>0</v>
      </c>
      <c r="Z373" s="37">
        <v>0</v>
      </c>
      <c r="AA373" s="37">
        <v>0</v>
      </c>
      <c r="AB373" s="37">
        <v>0</v>
      </c>
      <c r="AC373" s="37">
        <v>0</v>
      </c>
      <c r="AD373" s="37">
        <v>0</v>
      </c>
      <c r="AE373" s="19">
        <f t="shared" si="23"/>
        <v>8</v>
      </c>
      <c r="AF373" s="19">
        <f t="shared" si="24"/>
        <v>0</v>
      </c>
      <c r="AG373" s="20">
        <f t="shared" si="25"/>
        <v>0.66666666666666663</v>
      </c>
      <c r="AH373" s="20">
        <v>0</v>
      </c>
      <c r="AI373" s="21"/>
      <c r="AJ373" s="13"/>
      <c r="AK373" s="13"/>
    </row>
    <row r="374" spans="1:37" x14ac:dyDescent="0.35">
      <c r="A374" s="15" t="str">
        <f>VLOOKUP(B374,'[1]Tabla 1 Arsenal'!$B$11:$K$380,10,FALSE)</f>
        <v>P347</v>
      </c>
      <c r="B374" s="33">
        <v>209135</v>
      </c>
      <c r="C374" s="34" t="s">
        <v>426</v>
      </c>
      <c r="D374" s="35" t="s">
        <v>86</v>
      </c>
      <c r="E374" s="17">
        <v>59500</v>
      </c>
      <c r="F374" s="18" t="s">
        <v>55</v>
      </c>
      <c r="G374" s="37">
        <v>35</v>
      </c>
      <c r="H374" s="37">
        <v>20</v>
      </c>
      <c r="I374" s="37">
        <v>15</v>
      </c>
      <c r="J374" s="37">
        <v>25</v>
      </c>
      <c r="K374" s="37">
        <v>20</v>
      </c>
      <c r="L374" s="37">
        <v>10</v>
      </c>
      <c r="M374" s="37">
        <v>10</v>
      </c>
      <c r="N374" s="37">
        <v>5</v>
      </c>
      <c r="O374" s="37">
        <v>0</v>
      </c>
      <c r="P374" s="37">
        <v>0</v>
      </c>
      <c r="Q374" s="37">
        <v>0</v>
      </c>
      <c r="R374" s="37">
        <v>0</v>
      </c>
      <c r="S374" s="37">
        <v>0</v>
      </c>
      <c r="T374" s="37">
        <v>0</v>
      </c>
      <c r="U374" s="37">
        <v>0</v>
      </c>
      <c r="V374" s="37">
        <v>0</v>
      </c>
      <c r="W374" s="37">
        <v>0</v>
      </c>
      <c r="X374" s="37">
        <v>0</v>
      </c>
      <c r="Y374" s="37">
        <v>0</v>
      </c>
      <c r="Z374" s="37">
        <v>0</v>
      </c>
      <c r="AA374" s="37">
        <v>0</v>
      </c>
      <c r="AB374" s="37">
        <v>0</v>
      </c>
      <c r="AC374" s="37">
        <v>0</v>
      </c>
      <c r="AD374" s="37">
        <v>0</v>
      </c>
      <c r="AE374" s="19">
        <f t="shared" si="23"/>
        <v>140</v>
      </c>
      <c r="AF374" s="19">
        <f t="shared" si="24"/>
        <v>0</v>
      </c>
      <c r="AG374" s="20">
        <f t="shared" si="25"/>
        <v>11.666666666666666</v>
      </c>
      <c r="AH374" s="20">
        <v>0</v>
      </c>
      <c r="AI374" s="21"/>
      <c r="AJ374" s="13"/>
      <c r="AK374" s="13"/>
    </row>
    <row r="375" spans="1:37" x14ac:dyDescent="0.35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7" t="s">
        <v>427</v>
      </c>
      <c r="AE375" s="37">
        <f>SUM(AE5:AE374)</f>
        <v>4344455.8500000006</v>
      </c>
      <c r="AF375" s="37">
        <f>SUM(AF5:AF374)</f>
        <v>4257674.8499999996</v>
      </c>
      <c r="AG375" s="37"/>
      <c r="AH375" s="37"/>
      <c r="AI375" s="39"/>
      <c r="AJ375" s="13"/>
      <c r="AK375" s="13"/>
    </row>
    <row r="376" spans="1:37" x14ac:dyDescent="0.35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13"/>
      <c r="AK376" s="13"/>
    </row>
    <row r="377" spans="1:37" x14ac:dyDescent="0.35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13"/>
      <c r="AK377" s="13"/>
    </row>
    <row r="378" spans="1:37" x14ac:dyDescent="0.35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13"/>
      <c r="AK378" s="13"/>
    </row>
    <row r="379" spans="1:37" x14ac:dyDescent="0.35"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spans="1:37" x14ac:dyDescent="0.35"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spans="1:37" x14ac:dyDescent="0.35"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40"/>
      <c r="AK381" s="13"/>
    </row>
    <row r="382" spans="1:37" x14ac:dyDescent="0.35"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spans="1:37" x14ac:dyDescent="0.35"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spans="1:37" x14ac:dyDescent="0.35"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spans="2:37" x14ac:dyDescent="0.35"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spans="2:37" x14ac:dyDescent="0.35"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spans="2:37" x14ac:dyDescent="0.35"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spans="2:37" x14ac:dyDescent="0.35"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spans="2:37" x14ac:dyDescent="0.35"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spans="2:37" x14ac:dyDescent="0.35"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spans="2:37" x14ac:dyDescent="0.35"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spans="2:37" x14ac:dyDescent="0.35"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spans="2:37" x14ac:dyDescent="0.35"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spans="2:37" x14ac:dyDescent="0.35"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spans="2:37" x14ac:dyDescent="0.35"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spans="2:37" x14ac:dyDescent="0.35"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spans="2:37" x14ac:dyDescent="0.35"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</sheetData>
  <mergeCells count="2">
    <mergeCell ref="G3:R3"/>
    <mergeCell ref="S3:AD3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2. 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2025-12-30T21:38:33Z</dcterms:created>
  <dcterms:modified xsi:type="dcterms:W3CDTF">2025-12-30T21:39:21Z</dcterms:modified>
</cp:coreProperties>
</file>