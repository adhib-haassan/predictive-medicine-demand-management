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TFG final/Bases de Datos/"/>
    </mc:Choice>
  </mc:AlternateContent>
  <xr:revisionPtr revIDLastSave="0" documentId="8_{C56C92E4-0365-4CCE-A790-E1413220D910}" xr6:coauthVersionLast="47" xr6:coauthVersionMax="47" xr10:uidLastSave="{00000000-0000-0000-0000-000000000000}"/>
  <bookViews>
    <workbookView xWindow="-110" yWindow="-110" windowWidth="19420" windowHeight="10300" activeTab="1" xr2:uid="{55D9BDB7-D091-40A6-840D-2C80B26FCFE5}"/>
  </bookViews>
  <sheets>
    <sheet name="Arsenal" sheetId="1" r:id="rId1"/>
    <sheet name="Tabla 1 Arsenal" sheetId="2" r:id="rId2"/>
  </sheets>
  <definedNames>
    <definedName name="_xlnm._FilterDatabase" localSheetId="0" hidden="1">Arsenal!$A$3:$M$374</definedName>
    <definedName name="_xlnm._FilterDatabase" localSheetId="1" hidden="1">'Tabla 1 Arsenal'!$A$10:$M$381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0" i="2" l="1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381" i="2" s="1"/>
  <c r="J5" i="2" s="1"/>
  <c r="H5" i="2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74" i="1" s="1"/>
  <c r="K4" i="2" l="1"/>
  <c r="J3" i="2"/>
  <c r="K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D183" authorId="0" shapeId="0" xr:uid="{6FF260E9-92F2-406B-8354-50FDA7BC7B3C}">
      <text>
        <r>
          <rPr>
            <b/>
            <sz val="9"/>
            <color indexed="81"/>
            <rFont val="Tahoma"/>
            <family val="2"/>
          </rPr>
          <t>Toujeo</t>
        </r>
      </text>
    </comment>
    <comment ref="D184" authorId="0" shapeId="0" xr:uid="{C5D45628-4639-4F2B-B989-F151F066CA43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D188" authorId="0" shapeId="0" xr:uid="{BBF2E3AF-C15A-4731-912B-386086104078}">
      <text>
        <r>
          <rPr>
            <b/>
            <sz val="9"/>
            <color indexed="81"/>
            <rFont val="Tahoma"/>
            <family val="2"/>
          </rPr>
          <t>Toujeo</t>
        </r>
      </text>
    </comment>
    <comment ref="D189" authorId="0" shapeId="0" xr:uid="{90F4E114-42FC-460B-8A7E-AB6B466B71CF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<sst xmlns="http://schemas.openxmlformats.org/spreadsheetml/2006/main" count="3594" uniqueCount="810">
  <si>
    <t>ARSENAL FARMACOLÓGICO INSTITUTO NACIONAL DEL CÁNCER 2025</t>
  </si>
  <si>
    <t>PRODUCTO</t>
  </si>
  <si>
    <t>CÓDIGO INC</t>
  </si>
  <si>
    <t>CÓDIGO ZGEN</t>
  </si>
  <si>
    <t>ESPECIALIDAD FARMACEUTICA</t>
  </si>
  <si>
    <t>PRESENTACIÓN</t>
  </si>
  <si>
    <t>SUBUNIDAD</t>
  </si>
  <si>
    <t>STOCK BODEGA         05-05-2025</t>
  </si>
  <si>
    <t>Precio Prom Pond</t>
  </si>
  <si>
    <t>Total</t>
  </si>
  <si>
    <t>P001</t>
  </si>
  <si>
    <t>ABIRATERONA 250 MG CM/CM REC</t>
  </si>
  <si>
    <t>CM</t>
  </si>
  <si>
    <t>FO</t>
  </si>
  <si>
    <t>P002</t>
  </si>
  <si>
    <t xml:space="preserve">ACENOCUMAROL 4 MG CM/CM REC </t>
  </si>
  <si>
    <t>FH</t>
  </si>
  <si>
    <t>P003</t>
  </si>
  <si>
    <t>ACICLOVIR 400 MG CM/CM REC</t>
  </si>
  <si>
    <t>P004</t>
  </si>
  <si>
    <t>NO ZGEN</t>
  </si>
  <si>
    <t>ACICLOVIR 5% CREMA 5-15 G TU/PO</t>
  </si>
  <si>
    <t>TU</t>
  </si>
  <si>
    <t>P005</t>
  </si>
  <si>
    <t>ACIDO ACETILSALICILICO 100MG CM/CM REC</t>
  </si>
  <si>
    <t>P006</t>
  </si>
  <si>
    <t>ACIDO FOLICO 1 MG CM/CM REC</t>
  </si>
  <si>
    <t>P007</t>
  </si>
  <si>
    <t>ACIDO FOLICO 5 MG CM/CM REC</t>
  </si>
  <si>
    <t>P008</t>
  </si>
  <si>
    <t>ACIDO TRANEX. 1 G/10 ML SOL. INY. AM</t>
  </si>
  <si>
    <t>AM</t>
  </si>
  <si>
    <t>P009</t>
  </si>
  <si>
    <t>ACIDO TRANEXAMICO 500 MG CP/CM REC</t>
  </si>
  <si>
    <t>P010</t>
  </si>
  <si>
    <t>ACIDO ZOLEDRONICO 4 MG SOL. INY. FAM</t>
  </si>
  <si>
    <t>FA</t>
  </si>
  <si>
    <t>P011</t>
  </si>
  <si>
    <t>ADENOSINA 6 MG/2 ML SOL. INY. AM/FAM/JERP</t>
  </si>
  <si>
    <t>JER</t>
  </si>
  <si>
    <t>P012</t>
  </si>
  <si>
    <t>AFATINIB 40 MG CM REC</t>
  </si>
  <si>
    <t>P013</t>
  </si>
  <si>
    <t>AGUA ESTERIL P/INY. 500 ML ENV. SEMIRRIGIDO</t>
  </si>
  <si>
    <t>MTZ</t>
  </si>
  <si>
    <t>P014</t>
  </si>
  <si>
    <t>AGUA ESTERIL P/INYECTABLES 10 ML AM</t>
  </si>
  <si>
    <t>P015</t>
  </si>
  <si>
    <t>ALBUMINA HUMANA 20% SOL. PERF. IV FAM 50ML</t>
  </si>
  <si>
    <t>P016</t>
  </si>
  <si>
    <t>ALECTINIB 150 MG CP</t>
  </si>
  <si>
    <t>CP</t>
  </si>
  <si>
    <t>P017</t>
  </si>
  <si>
    <t>ALOPURINOL 100 MG CM/CM REC</t>
  </si>
  <si>
    <t>P018</t>
  </si>
  <si>
    <t>ALOPURINOL 300 MG CM/C REC</t>
  </si>
  <si>
    <t>P019</t>
  </si>
  <si>
    <t>ALPRAZOLAM 0,50 MG CM/CM REC</t>
  </si>
  <si>
    <t>P020</t>
  </si>
  <si>
    <t>AMIKACINA 500 MG/2 ML SOL. INY. AM/FAM</t>
  </si>
  <si>
    <t>P021</t>
  </si>
  <si>
    <t>AMINOACIDOS ESENCIAL 10% SOL. IV. FAM 500ML</t>
  </si>
  <si>
    <t>FC</t>
  </si>
  <si>
    <t>P022</t>
  </si>
  <si>
    <t>AMIODARONA 150 MG/3 ML SOL. INY. AM</t>
  </si>
  <si>
    <t>P023</t>
  </si>
  <si>
    <t>AMIODARONA 200 MG CM/CM REC</t>
  </si>
  <si>
    <t>P024</t>
  </si>
  <si>
    <t>AMITRIPTILINA 25 MG CM REC</t>
  </si>
  <si>
    <t>P025</t>
  </si>
  <si>
    <t>AMOXICIL/CLAVULAN 875/125 MG CM/CM REC</t>
  </si>
  <si>
    <t>P026</t>
  </si>
  <si>
    <t>AMOXICILINA 500 MG CP/CM REC</t>
  </si>
  <si>
    <t>P027</t>
  </si>
  <si>
    <t>AMPICILINA 1G POLVO/LIOF. P/SOL. INY. FAM</t>
  </si>
  <si>
    <t>P028</t>
  </si>
  <si>
    <t>AMPICILINA/SULBACTAM 1000/500 MG P/SOL. INY.FAM</t>
  </si>
  <si>
    <t>P029</t>
  </si>
  <si>
    <t>ANASTROZOL 1 MG CM REC</t>
  </si>
  <si>
    <t>P030</t>
  </si>
  <si>
    <t>ANIDULAFUNGINA 100MG POLVO LIOF. FAM</t>
  </si>
  <si>
    <t>P031</t>
  </si>
  <si>
    <t>ATENOLOL 50 MG CM/CM REC</t>
  </si>
  <si>
    <t>P032</t>
  </si>
  <si>
    <t>ATORVASTATINA 40 MG CM REC</t>
  </si>
  <si>
    <t>P033</t>
  </si>
  <si>
    <t>ATROPINA 1 MG/1 ML SOL. INY. AM</t>
  </si>
  <si>
    <t>P034</t>
  </si>
  <si>
    <t>ATROPINA/PAPAVERINA 0,5/40 MG CM/CM REC</t>
  </si>
  <si>
    <t>P035</t>
  </si>
  <si>
    <t>AZACITIDINA 100 MG FA POLVO P/ SOL. INY. FAM</t>
  </si>
  <si>
    <t>P036</t>
  </si>
  <si>
    <t>AZTREONAM 1G P/SOL. INY.FAM</t>
  </si>
  <si>
    <t>P037</t>
  </si>
  <si>
    <t>AZUL DE ISOSULFANO 1 % 5 ML AM SOL. INY.</t>
  </si>
  <si>
    <t>P038</t>
  </si>
  <si>
    <t>AZUL DE METILENO 1 % 5 ML AM  SOL. INY.</t>
  </si>
  <si>
    <t>P039</t>
  </si>
  <si>
    <t>BENDAMUSTINA 100 MG SOL. INY. FAM</t>
  </si>
  <si>
    <t>P040</t>
  </si>
  <si>
    <t>BETAMETASONA FOSF. DISOD. 4 MG/ML SOL. INY. AM</t>
  </si>
  <si>
    <t>P041</t>
  </si>
  <si>
    <t>BETAMETASONA FOSF/ACET 3/3 MG 3 A 5 ML RAPILENTA SUSP. INY. FAM</t>
  </si>
  <si>
    <t>P042</t>
  </si>
  <si>
    <t>BICALUTAMIDA 150 MG CM REC</t>
  </si>
  <si>
    <t>P043</t>
  </si>
  <si>
    <t>BICALUTAMIDA 50 MG CM REC</t>
  </si>
  <si>
    <t>P044</t>
  </si>
  <si>
    <t xml:space="preserve">BICARBONATO DE SODIO 8,4% 10 ML SOL. INY. AM </t>
  </si>
  <si>
    <t>P045</t>
  </si>
  <si>
    <t>BLEOMICINA 15U.I. POLVO/LIOF. P/SOL. INY. FAM</t>
  </si>
  <si>
    <t>P046</t>
  </si>
  <si>
    <t>BORTEZOMIB 3,5 MG POLVO/LIOF. P/SOL. INY. FAM</t>
  </si>
  <si>
    <t>P047</t>
  </si>
  <si>
    <t>BROMHEXINA 4 MG/5 ML JARAB FC 100 A 120 ML</t>
  </si>
  <si>
    <t>P048</t>
  </si>
  <si>
    <t>BUPIVACAINA 0,5% 10 ML SOL. INY.  AM</t>
  </si>
  <si>
    <t>P049</t>
  </si>
  <si>
    <t>BUPIVACAINA HIPERBARICA 0,75% 2 ML SOL. INY. AM</t>
  </si>
  <si>
    <t>P050</t>
  </si>
  <si>
    <t>BUPRENORFINA SIST. TRANSDERMICO 10 MCG/H</t>
  </si>
  <si>
    <t>PARCHE</t>
  </si>
  <si>
    <t>P051</t>
  </si>
  <si>
    <t>BUPRENORFINA SIST. TRANSDERMICO 35 MCG/H</t>
  </si>
  <si>
    <t>P052</t>
  </si>
  <si>
    <t>CABAZITAXEL 60 MG/1,5 ML CONCENTRADO P/SOL. INY. FAM</t>
  </si>
  <si>
    <t>P053</t>
  </si>
  <si>
    <t>CALCIO GLUCONATO 10% 10 ML SOL. INY.  AM</t>
  </si>
  <si>
    <t>P054</t>
  </si>
  <si>
    <t>CALCIO/VITAMINA D 500 MG/400 UI CM</t>
  </si>
  <si>
    <t>P055</t>
  </si>
  <si>
    <t>CALCITRIOL 0,5 MCG CP</t>
  </si>
  <si>
    <t>P056</t>
  </si>
  <si>
    <t>CAPECITABINA 150 MG CM REC</t>
  </si>
  <si>
    <t>P057</t>
  </si>
  <si>
    <t>CAPECITABINA 500 MG CM REC</t>
  </si>
  <si>
    <t>P058</t>
  </si>
  <si>
    <t>CAPTOPRIL 25 MG CM/CM REC</t>
  </si>
  <si>
    <t>P059</t>
  </si>
  <si>
    <t>CARBAMAZEPINA 200 MG CM/CM REC</t>
  </si>
  <si>
    <t>P060</t>
  </si>
  <si>
    <t>CARBOPLATINO 450 MG/45 MG SOL. INY. FAM</t>
  </si>
  <si>
    <t>P061</t>
  </si>
  <si>
    <t>CARVEDILOL 6,25 MG CM/CM REC.</t>
  </si>
  <si>
    <t>P062</t>
  </si>
  <si>
    <t>CEFADROXILO 500 MG CP/CM REC</t>
  </si>
  <si>
    <t>CM/CP</t>
  </si>
  <si>
    <t>P063</t>
  </si>
  <si>
    <t>CEFAZOLINA 1G POLVO/LIOF. P/SOL. INY. FAM</t>
  </si>
  <si>
    <t>P064</t>
  </si>
  <si>
    <t>CEFTAZ/AVIBACTAM 2/0,5 G SOL. INY. FAM</t>
  </si>
  <si>
    <t>P065</t>
  </si>
  <si>
    <t>CEFTAZIDIMA 1G POLVO/LIOF P/SOL. INY. FAM</t>
  </si>
  <si>
    <t>P066</t>
  </si>
  <si>
    <t>CEFTRIAXONA 1G POLVO SOL. INY. FAM</t>
  </si>
  <si>
    <t>P067</t>
  </si>
  <si>
    <t>CIANOCOBALAMINA 0,1MG/1ML SOL. INY. AM/FAM</t>
  </si>
  <si>
    <t>P068</t>
  </si>
  <si>
    <t>CICLOFOSFAMIDA 1000 MG POLVO/LIOF. P/SOL. INY. FAM</t>
  </si>
  <si>
    <t>P069</t>
  </si>
  <si>
    <t>CICLOFOSFAMIDA 50 MG GG</t>
  </si>
  <si>
    <t>GG</t>
  </si>
  <si>
    <t>P070</t>
  </si>
  <si>
    <t>CIPROFLOXACINO 200 MG/100 ML SOL. INY. FAM</t>
  </si>
  <si>
    <t>P071</t>
  </si>
  <si>
    <t>CIPROFLOXACINO 500 MG CM/CM REC</t>
  </si>
  <si>
    <t>P072</t>
  </si>
  <si>
    <t>CISPLATINO 50 MG/50 ML SOL. INY. FAM</t>
  </si>
  <si>
    <t>P073</t>
  </si>
  <si>
    <t>CITARABINA 1000 MG SOL. INY. FAM</t>
  </si>
  <si>
    <t>P074</t>
  </si>
  <si>
    <t>CLADRIBINA 10 MG/5 ML SOL. INY. FAM</t>
  </si>
  <si>
    <t>P075</t>
  </si>
  <si>
    <t>CLARITROMICINA 500 MG CM/CM REC</t>
  </si>
  <si>
    <t>P076</t>
  </si>
  <si>
    <t>CLINDAMICINA 300 MG CP</t>
  </si>
  <si>
    <t>P077</t>
  </si>
  <si>
    <t>CLINDAMICINA 600 MG/4 ML SOL. INY. AM</t>
  </si>
  <si>
    <t>P078</t>
  </si>
  <si>
    <t>CLOBETASOL 0,05% CREMA DERMICA 25 A 30 G TU/PO</t>
  </si>
  <si>
    <t>P079</t>
  </si>
  <si>
    <t>CLONAZEPAM 0,5MG CM (NO BUCODISP NI DISP)</t>
  </si>
  <si>
    <t>P080</t>
  </si>
  <si>
    <t>CLOPIDOGREL 75 MG CM REC</t>
  </si>
  <si>
    <t>P081</t>
  </si>
  <si>
    <t>CLORAMBUCILO 2 MG CM REC</t>
  </si>
  <si>
    <t>P082</t>
  </si>
  <si>
    <t>CLORANFENICOL 0,5% SOL. OFT. FC 5 A 10 ML</t>
  </si>
  <si>
    <t>P083</t>
  </si>
  <si>
    <t>CLORANFENICOL 1% UNG. OFT. 3 A 5 G TU/PO</t>
  </si>
  <si>
    <t>P084</t>
  </si>
  <si>
    <t>CLORFENAMINA 10 MG/1 ML SOL. INY. AM</t>
  </si>
  <si>
    <t>P085</t>
  </si>
  <si>
    <t>CLORFENAMINA 4 MG CM/CM REC</t>
  </si>
  <si>
    <t>P086</t>
  </si>
  <si>
    <t>CLORHEXIDINA COLUT 0,12% 150 ML FRA</t>
  </si>
  <si>
    <t>P087</t>
  </si>
  <si>
    <t>CLORPROMAZINA 25 MG/2 ML SOL. INY. AM</t>
  </si>
  <si>
    <t>P088</t>
  </si>
  <si>
    <t>CLORURO DE POTASIO EN AGUA PARA INYECTABLE 40 mEq / 100 ML</t>
  </si>
  <si>
    <t>P089</t>
  </si>
  <si>
    <t>CLORURO DE POTASIO EN DEXTROSA 5% CLORURO DE SODIO 0,45% 30 mEq / 1000 ML</t>
  </si>
  <si>
    <t>P090</t>
  </si>
  <si>
    <t>CLORURO DE POTASIO EN FISIOLOGICO 20 mEq / 1000 ML</t>
  </si>
  <si>
    <t>P091</t>
  </si>
  <si>
    <t>CLOXACILINA 500 MG POLVO/LIOF. P/SOL. INY. FAM</t>
  </si>
  <si>
    <t>P092</t>
  </si>
  <si>
    <t>COMPLEJO PROTROMBINA 500 UI LIOF. P/SOL. INY. FAM</t>
  </si>
  <si>
    <t>P093</t>
  </si>
  <si>
    <t>COTRIMOXAZOL 400/80 MG/5ML SOL. INY. AM</t>
  </si>
  <si>
    <t>P094</t>
  </si>
  <si>
    <t>COTRIMOXAZOL FORTE 800/160 MG CM</t>
  </si>
  <si>
    <t>P095</t>
  </si>
  <si>
    <t>CRIZOTINIB 250 MG CP</t>
  </si>
  <si>
    <t>P096</t>
  </si>
  <si>
    <t>DACARBAZINA 200 MG LIOF. P/SOL. INY. FAM</t>
  </si>
  <si>
    <t>P097</t>
  </si>
  <si>
    <t>DANTROLENO 20 MG LIOF. P/SOL. INY. FAM</t>
  </si>
  <si>
    <t>P098</t>
  </si>
  <si>
    <t>DASATINIB 100 MG CM REC</t>
  </si>
  <si>
    <t>P099</t>
  </si>
  <si>
    <t>DEGARELIX 120 MG LIOF. P/SOL. INY. FAM</t>
  </si>
  <si>
    <t>P100</t>
  </si>
  <si>
    <t>DEGARELIX 80 MG LIOF. P/SOL. INY. FAM</t>
  </si>
  <si>
    <t>P101</t>
  </si>
  <si>
    <t>DENOSUMAB 120 MG SOL. INY. FAM</t>
  </si>
  <si>
    <t>P102</t>
  </si>
  <si>
    <t>DEXAMETASONA 4 MG CM</t>
  </si>
  <si>
    <t>P103</t>
  </si>
  <si>
    <t>DEXAMETASONA 4 MG/1ML SOL. INY. AM</t>
  </si>
  <si>
    <t>P104</t>
  </si>
  <si>
    <t>DEXMEDETOMIDINA 100 MCG/ML SOL. INY. 2 A 4 ML AM/FAM</t>
  </si>
  <si>
    <t>P105</t>
  </si>
  <si>
    <t>DICLOFENACO COLESTIRAMINA 140 MG CP LP</t>
  </si>
  <si>
    <t>P106</t>
  </si>
  <si>
    <t>DOBUTAMINA 250 MG/5 ML SOL. INY. AM</t>
  </si>
  <si>
    <t>P107</t>
  </si>
  <si>
    <t>DOCETAXEL 120 MG SOL. INY. FAM</t>
  </si>
  <si>
    <t>P108</t>
  </si>
  <si>
    <t>DOCETAXEL 80 MG SOL. INY. FAM</t>
  </si>
  <si>
    <t>P109</t>
  </si>
  <si>
    <t>DOMPERIDONA 10 MG CM/CM REC</t>
  </si>
  <si>
    <t>P110</t>
  </si>
  <si>
    <t>DOPAMINA 200 MG/5 ML SOL INY. AM</t>
  </si>
  <si>
    <t>P111</t>
  </si>
  <si>
    <t>DOXICICLINA 100 MG CM/CP</t>
  </si>
  <si>
    <t>P112</t>
  </si>
  <si>
    <t>DOXORRUBICINA 50 MG/25 ML SOL. INY. FAM</t>
  </si>
  <si>
    <t>P113</t>
  </si>
  <si>
    <t>DOXORRUBICINA LIPOSOMAL PEGILADA 20 MG SOL. INY. FAM</t>
  </si>
  <si>
    <t>P114</t>
  </si>
  <si>
    <t>DROPERIDOL 5 MG/2 ML SOL. INY. AM</t>
  </si>
  <si>
    <t>P115</t>
  </si>
  <si>
    <t xml:space="preserve">DULOXETINA 30 MG CM REC/CP </t>
  </si>
  <si>
    <t>P116</t>
  </si>
  <si>
    <t>DULOXETINA 60 MG CM REC/CP</t>
  </si>
  <si>
    <t>P117</t>
  </si>
  <si>
    <t xml:space="preserve">EFEDRINA SULFATO 6% 1ML SOL. INY. AM </t>
  </si>
  <si>
    <t>P118</t>
  </si>
  <si>
    <t>ENALAPRIL 10 MG CM/CM REC</t>
  </si>
  <si>
    <t>P119</t>
  </si>
  <si>
    <t>ENEMA FOSFATO ADULTO FC 130 A 133 ML</t>
  </si>
  <si>
    <t>P120</t>
  </si>
  <si>
    <t>ENOXAPARINA 20 MG/0,4ML SOL.INY. JERP</t>
  </si>
  <si>
    <t>P121</t>
  </si>
  <si>
    <t>ENOXAPARINA 40 MG/0,4ML SOL.INY. JERP</t>
  </si>
  <si>
    <t>P122</t>
  </si>
  <si>
    <t>ENOXAPARINA 60 MG/0,6ML SOL.INY. JERP</t>
  </si>
  <si>
    <t>P123</t>
  </si>
  <si>
    <t>ENOXAPARINA 80 MG/0,8ML SOL.INY. JERP</t>
  </si>
  <si>
    <t>P124</t>
  </si>
  <si>
    <t>ENZALUTAMIDA 40 MG CP</t>
  </si>
  <si>
    <t>P125</t>
  </si>
  <si>
    <t>EPINEFRINA 1MG/1ML SOL. INY. AM</t>
  </si>
  <si>
    <t>P126</t>
  </si>
  <si>
    <t>ERITROPOYETINA ALFA-BETA HUMANA RECOMB 4000 UI SOL. INY. JER/FAM</t>
  </si>
  <si>
    <t>P127</t>
  </si>
  <si>
    <t>ERLOTINIB 150 MG CM REC</t>
  </si>
  <si>
    <t>P128</t>
  </si>
  <si>
    <t>ERTAPENEM 1 G POLVO/LIOF. P/SOL. INY. FAM</t>
  </si>
  <si>
    <t>P129</t>
  </si>
  <si>
    <t>ESCITALOPRAM 10 MG CM REC</t>
  </si>
  <si>
    <t>P130</t>
  </si>
  <si>
    <t>ESCOPOLAMINA N-BUTIL BROMUR 20 MG/ML SOL. INY. AM</t>
  </si>
  <si>
    <t>P131</t>
  </si>
  <si>
    <t>ESPIRONOLACTONA 25 MG CM</t>
  </si>
  <si>
    <t>P132</t>
  </si>
  <si>
    <t>ETOMIDATO 20 MG / 10 ML SOL. INY. AM</t>
  </si>
  <si>
    <t>P133</t>
  </si>
  <si>
    <t>ETOPOSIDO 100 MG/5 ML SOL. INY. FAM</t>
  </si>
  <si>
    <t>P134</t>
  </si>
  <si>
    <t>EXEMESTANO 25 MG CM REC</t>
  </si>
  <si>
    <t>P135</t>
  </si>
  <si>
    <t>FAMOTIDINA 40 MG CM/CM REC.</t>
  </si>
  <si>
    <t>P136</t>
  </si>
  <si>
    <t>FENILEFRINA 10 MG/1ML SOL. INY. AM</t>
  </si>
  <si>
    <t>P137</t>
  </si>
  <si>
    <t>FENTANILO 0,1 MG/ 2 ML SOL. INY. AM</t>
  </si>
  <si>
    <t>P138</t>
  </si>
  <si>
    <t>FENTANILO 0,5 MG/ 10 ML SOL. INY. AM</t>
  </si>
  <si>
    <t>P139</t>
  </si>
  <si>
    <t>FENTANILO 25 MCG/HORA PARCHE TRANSDERMICO</t>
  </si>
  <si>
    <t>P140</t>
  </si>
  <si>
    <t>FILGRASTIM 300 MG/0,5 ML SOL. INY. JERP</t>
  </si>
  <si>
    <t>P141</t>
  </si>
  <si>
    <t>FITOQUINONA 10 MG/1 ML SOL IV/ORAL AM</t>
  </si>
  <si>
    <t>P142</t>
  </si>
  <si>
    <t>FLUCLOXACILINA 500 MG CP/CM REC</t>
  </si>
  <si>
    <t>P143</t>
  </si>
  <si>
    <t>FLUCONAZOL 150 MG CP</t>
  </si>
  <si>
    <t>P144</t>
  </si>
  <si>
    <t>FLUCONAZOL 200 MG/100 ML SOL. INY. FAM</t>
  </si>
  <si>
    <t>P145</t>
  </si>
  <si>
    <t>FLUMAZENIL 0,5 MG/5 ML SOL. INY. AM</t>
  </si>
  <si>
    <t>P146</t>
  </si>
  <si>
    <t>FLUOROURACILO 1000MG/20 ML SOL. INY. FAM</t>
  </si>
  <si>
    <t>P147</t>
  </si>
  <si>
    <t xml:space="preserve">FOSFATO MONOPOT 15% 10 ML SOL. INY. AM </t>
  </si>
  <si>
    <t>P148</t>
  </si>
  <si>
    <t>FUMARATO FERROSO+VITAMINAS CM/CM REC/CP</t>
  </si>
  <si>
    <t>P149</t>
  </si>
  <si>
    <t>FUROSEMIDA 20 MG/1-2 ML SOL. INY. AM</t>
  </si>
  <si>
    <t>P150</t>
  </si>
  <si>
    <t>FUROSEMIDA 40 MG CM/CM REC</t>
  </si>
  <si>
    <t>P151</t>
  </si>
  <si>
    <t>GABAPENTINA 400 MG CP/CM REC.</t>
  </si>
  <si>
    <t>P152</t>
  </si>
  <si>
    <t>GEFITINIB 250 MG CM REC</t>
  </si>
  <si>
    <t>P153</t>
  </si>
  <si>
    <t>GEL ORAL CONCENTRADO 15 ML SO PARA ENJUAGUE BUCAL (GELCLAIR®)</t>
  </si>
  <si>
    <t>SO</t>
  </si>
  <si>
    <t>P154</t>
  </si>
  <si>
    <t>GEMCITABINA 1000 MG SOL. INY. FAM</t>
  </si>
  <si>
    <t>P155</t>
  </si>
  <si>
    <t>GENTAMICINA 80 MG/2ML SOL. INY. AM</t>
  </si>
  <si>
    <t>P156</t>
  </si>
  <si>
    <t>GLUCOSA 10% 1000 ML ENV. SEMIRRIGIDO</t>
  </si>
  <si>
    <t xml:space="preserve">MTZ </t>
  </si>
  <si>
    <t>P157</t>
  </si>
  <si>
    <t>GLUCOSA 10% 500 ML ENV. SEMIRRIGIDO</t>
  </si>
  <si>
    <t>P158</t>
  </si>
  <si>
    <t xml:space="preserve">GLUCOSA 30% 20 ML SOL. INY. I.V.  AM </t>
  </si>
  <si>
    <t>P159</t>
  </si>
  <si>
    <t>GLUCOSA 30% 500 ML ENV. SEMIRRIGIDO</t>
  </si>
  <si>
    <t>P160</t>
  </si>
  <si>
    <t>GLUCOSA 5 % 500 ML BOLSA</t>
  </si>
  <si>
    <t>P161</t>
  </si>
  <si>
    <t>GLUCOSA 5% 1000 ML BOLSA</t>
  </si>
  <si>
    <t>P162</t>
  </si>
  <si>
    <t>GLUCOSA 5% 250 ML ENV. SEMIRRIGIDO</t>
  </si>
  <si>
    <t>P163</t>
  </si>
  <si>
    <t>GLUCOSAL. ISOT 500 ML ENV. SEMIRRIGIDO</t>
  </si>
  <si>
    <t>P164</t>
  </si>
  <si>
    <t>GLUCOSAL. ISOT. 1 L ENV. SEMIRRIGIDO</t>
  </si>
  <si>
    <t>P165</t>
  </si>
  <si>
    <t>GOSERELINA 10,8 MG JERP C / IMPL. SUBCUT.</t>
  </si>
  <si>
    <t>P166</t>
  </si>
  <si>
    <t>HALOPERIDOL 1 MG CM/CM REC</t>
  </si>
  <si>
    <t>P167</t>
  </si>
  <si>
    <t>HALOPERIDOL 5 MG/1 ML SOL. INY. AM</t>
  </si>
  <si>
    <t>P168</t>
  </si>
  <si>
    <t>HEPARINA SODICA 25.000 U.I./5 ML SOL. INY. FAM</t>
  </si>
  <si>
    <t>P169</t>
  </si>
  <si>
    <t>HIDROCLOROTIAZIDA 50 MG CM/CM REC</t>
  </si>
  <si>
    <t>P170</t>
  </si>
  <si>
    <t>HIDROCORTISONA 1% CREMA  10 A 20 G TU/PO</t>
  </si>
  <si>
    <t>P171</t>
  </si>
  <si>
    <t>HIDROCORTISONA 100 MG LIOF. P/SOL. INY. FAM</t>
  </si>
  <si>
    <t>P172</t>
  </si>
  <si>
    <t>HIDROXICARBAMIDA 500 MG CP</t>
  </si>
  <si>
    <t>P173</t>
  </si>
  <si>
    <t>HIERRO 20MG/5 ML SOL. INY. I.V. AM</t>
  </si>
  <si>
    <t>P174</t>
  </si>
  <si>
    <t>IBUPROFENO 400 MG CM/CM REC</t>
  </si>
  <si>
    <t>P175</t>
  </si>
  <si>
    <t>IFOSFAMIDA 2 G POLVO/LIOF. P/ SOL. INY. FAM</t>
  </si>
  <si>
    <t>P176</t>
  </si>
  <si>
    <t>IMATINIB 100 MG CM REC</t>
  </si>
  <si>
    <t>P177</t>
  </si>
  <si>
    <t>IMATINIB 400 MG CM REC</t>
  </si>
  <si>
    <t>P178</t>
  </si>
  <si>
    <t>IMIPENEM-CILASTATINA 500/500 MG LIOF. P/SOL. INY. FAM</t>
  </si>
  <si>
    <t>P179</t>
  </si>
  <si>
    <t>IMIQUIMOD 5 % CREMA 5-10 G TU/PO</t>
  </si>
  <si>
    <t>P180</t>
  </si>
  <si>
    <t xml:space="preserve">INSUL GLARG 300U/ML SOL. INY. DISPOSITIVO PRELLENADO </t>
  </si>
  <si>
    <t>P181</t>
  </si>
  <si>
    <t xml:space="preserve">INSUL GLULI 100 UI/ML SOL. INY. DISPOSITIVO PRELLENADO </t>
  </si>
  <si>
    <t>P182</t>
  </si>
  <si>
    <t>INSULINA CRIS. HUMAN 100 UI/ML FA 10 ML</t>
  </si>
  <si>
    <t>P183</t>
  </si>
  <si>
    <t>INSULINA NPH HUMANA 100 UI/ML FA 10 ML</t>
  </si>
  <si>
    <t>P184</t>
  </si>
  <si>
    <t>IPRATROPIO 20 MCG/DO S/CFC FC 200-270 DO</t>
  </si>
  <si>
    <t>P185</t>
  </si>
  <si>
    <t xml:space="preserve">IPRATROPIO BROMURO 0,25 MG / ML FC SOL. P/NEB. </t>
  </si>
  <si>
    <t>P186</t>
  </si>
  <si>
    <t>IRINOTECAN 100 MG/5 ML SOL. INY. FAM</t>
  </si>
  <si>
    <t>P187</t>
  </si>
  <si>
    <t>KETAMINA 500 MG/10 ML SOL. INY. FAM</t>
  </si>
  <si>
    <t>P188</t>
  </si>
  <si>
    <t>KETOPROFENO 100 MG / 2 ML SOL. INY. AM</t>
  </si>
  <si>
    <t>P189</t>
  </si>
  <si>
    <t>KETOPROFENO 50 MG CM</t>
  </si>
  <si>
    <t>P190</t>
  </si>
  <si>
    <t>KETOROLACO 30 MG/ 1 ML SOL. INY. AM</t>
  </si>
  <si>
    <t>P191</t>
  </si>
  <si>
    <t>LABETALOL 100 MG/ 20 ML SOL. INY. AM</t>
  </si>
  <si>
    <t>P192</t>
  </si>
  <si>
    <t>LACTULOSA 65-66,7 G/100ML SOL. ORAL FC 100-200 ML</t>
  </si>
  <si>
    <t>P193</t>
  </si>
  <si>
    <t>LANATOSIDO-C 0,4 MG/ 2ML SOL. INY. AM</t>
  </si>
  <si>
    <t>P194</t>
  </si>
  <si>
    <t>LENALIDOMIDA 15 MG CP</t>
  </si>
  <si>
    <t>P195</t>
  </si>
  <si>
    <t>LENALIDOMIDA 25 MG CP</t>
  </si>
  <si>
    <t>P196</t>
  </si>
  <si>
    <t>LENVATINIB 10 MG CP</t>
  </si>
  <si>
    <t>P197</t>
  </si>
  <si>
    <t>LENVATINIB 4 MG CP</t>
  </si>
  <si>
    <t>P198</t>
  </si>
  <si>
    <t>LETROZOL 2,5 MG CM REC</t>
  </si>
  <si>
    <t>P199</t>
  </si>
  <si>
    <t>LEUCOVORINA 100 MG/10 ML SOL. INY. FAM</t>
  </si>
  <si>
    <t>P200</t>
  </si>
  <si>
    <t>LEVETIRACETAM 100 MG/ML SOL. INY. FAM</t>
  </si>
  <si>
    <t>P201</t>
  </si>
  <si>
    <t>LEVETIRACETAM 1000 MG COM REC</t>
  </si>
  <si>
    <t>P202</t>
  </si>
  <si>
    <t>LEVOCETIRIZINA 5 MG CM REC</t>
  </si>
  <si>
    <t>P203</t>
  </si>
  <si>
    <t>LEVOTIROXINA 100 MCG CM RANURADO</t>
  </si>
  <si>
    <t>P204</t>
  </si>
  <si>
    <t>LIDOCAINA 10% SOL. TOPICA FC 50 ML</t>
  </si>
  <si>
    <t>P205</t>
  </si>
  <si>
    <t>LIDOCAINA 2% 5ML SOL. INY. AM</t>
  </si>
  <si>
    <t>P206</t>
  </si>
  <si>
    <t>LIDOCAINA 2% C/EPINEF. 1:100000 SOL. INY. AM</t>
  </si>
  <si>
    <t>P207</t>
  </si>
  <si>
    <t>LIDOCAINA 4 % GEL 15 G TU/PO</t>
  </si>
  <si>
    <t>P208</t>
  </si>
  <si>
    <t>LIDOCAINA 5G/100G PARCHE</t>
  </si>
  <si>
    <t>P209</t>
  </si>
  <si>
    <t>LIDOCAINA/CLORHEXIDINA 2/0,5% GEL TOPICO JER 11 ML.</t>
  </si>
  <si>
    <t>P210</t>
  </si>
  <si>
    <t>LINEZOLID 600 MG/300 ML SOL. INY. FAM /BOL</t>
  </si>
  <si>
    <t>P211</t>
  </si>
  <si>
    <t>LIPEGFILGRASTIM / PEGFILGRASTIM 6 MG/0,6 ML SOL. INY. JERP</t>
  </si>
  <si>
    <t>P212</t>
  </si>
  <si>
    <t>LIPIDOS 20 % FC 500 ML EMULSION PARA PERF.</t>
  </si>
  <si>
    <t>P213</t>
  </si>
  <si>
    <t>LOPERAMIDA 2MG CM/CM REC</t>
  </si>
  <si>
    <t>P214</t>
  </si>
  <si>
    <t>LORAZEPAM 2 MG CM/CM REC</t>
  </si>
  <si>
    <t>P215</t>
  </si>
  <si>
    <t>LORAZEPAM 4 MG/2 ML SOL. INY. AM</t>
  </si>
  <si>
    <t>P216</t>
  </si>
  <si>
    <t>LUBRICANTE OCULAR GEL OFT.UNIDOSIS.</t>
  </si>
  <si>
    <t>P217</t>
  </si>
  <si>
    <t xml:space="preserve">MAGNESIO SULFATO 25% 5 ML SOL. INY. AM </t>
  </si>
  <si>
    <t>P218</t>
  </si>
  <si>
    <t xml:space="preserve">MANITOL 15% 500 ML BOLSA/ENV. SEMIRRIGIDO </t>
  </si>
  <si>
    <t>P219</t>
  </si>
  <si>
    <t>MEDIO DE CONTRASTE NO IONICO SOL. INY. 270-320 MG/ML FA 100 ML</t>
  </si>
  <si>
    <t>P220</t>
  </si>
  <si>
    <t>MEDIO DE CONTRASTE NO IONICO SOL. INY. 300-320 MG /ML FA 50 ML</t>
  </si>
  <si>
    <t>P221</t>
  </si>
  <si>
    <t>MEDIO DE CONTRASTE NO IONICO SOL. INY. 300-350 MG/ML JER 100 ML</t>
  </si>
  <si>
    <t>P222</t>
  </si>
  <si>
    <t>MELATONINA 3 MG CP</t>
  </si>
  <si>
    <t>P223</t>
  </si>
  <si>
    <t>MELFALAN 2 MG CM REC</t>
  </si>
  <si>
    <t>P224</t>
  </si>
  <si>
    <t>MEMANTINA 20 MG CM/CM REC</t>
  </si>
  <si>
    <t>P225</t>
  </si>
  <si>
    <t>MEROPENEM 500 MG POLVO/LIOF. P/SOL. INY. FAM</t>
  </si>
  <si>
    <t>P226</t>
  </si>
  <si>
    <t>MESALAZINA 1000 MG SUPOSITORIO</t>
  </si>
  <si>
    <t>SUP</t>
  </si>
  <si>
    <t>P227</t>
  </si>
  <si>
    <t>MESNA 400 MG/4 ML SOL. INY. AM</t>
  </si>
  <si>
    <t>P228</t>
  </si>
  <si>
    <t>METADONA 10 MG CM/CM REC</t>
  </si>
  <si>
    <t>P229</t>
  </si>
  <si>
    <t>METADONA 10 MG/2ML SOL. INY. IV-SC AM</t>
  </si>
  <si>
    <t>P230</t>
  </si>
  <si>
    <t>METAMIZOL 1 G/2ML AM SOL. INY. AM</t>
  </si>
  <si>
    <t>P231</t>
  </si>
  <si>
    <t>METAMIZOL 300 MG CM</t>
  </si>
  <si>
    <t>P232</t>
  </si>
  <si>
    <t>METILPREDNISOLONA 500 MG LIOF. P/SOL. INY. FAM</t>
  </si>
  <si>
    <t>P233</t>
  </si>
  <si>
    <t>METOCLOPRAMIDA 10 MG CM/CM REC</t>
  </si>
  <si>
    <t>P234</t>
  </si>
  <si>
    <t>METOCLOPRAMIDA 10 MG/2 ML SOL. INY. AM</t>
  </si>
  <si>
    <t>P235</t>
  </si>
  <si>
    <t>METOTREXATO 500 MG SOL. INY. FAM</t>
  </si>
  <si>
    <t>P236</t>
  </si>
  <si>
    <t>METRONIDAZOL 500 MG CM/CM REC</t>
  </si>
  <si>
    <t>P237</t>
  </si>
  <si>
    <t>METRONIDAZOL 500 MG OVULO/CP VAGINAL</t>
  </si>
  <si>
    <t>OV</t>
  </si>
  <si>
    <t>P238</t>
  </si>
  <si>
    <t>METRONIDAZOL 500MG/100ML SOL. INY. FAM</t>
  </si>
  <si>
    <t>P239</t>
  </si>
  <si>
    <t>MIDAZOLAM 5 MG/1 ML SOL. INY. AM</t>
  </si>
  <si>
    <t>P240</t>
  </si>
  <si>
    <t>MIDAZOLAM 50 MG/10ML SOL. INY. AM</t>
  </si>
  <si>
    <t>P241</t>
  </si>
  <si>
    <t>MIRTAZAPINA 30 MG CM REC</t>
  </si>
  <si>
    <t>P242</t>
  </si>
  <si>
    <t>MITOMICINA 20 MG POLVO/LIOF. P/SOL. INY. FAM</t>
  </si>
  <si>
    <t>P243</t>
  </si>
  <si>
    <t>MIVACURIO 10 MG/5ML SOL. INY. AM</t>
  </si>
  <si>
    <t>P244</t>
  </si>
  <si>
    <t>MORFINA 10 MG/1 ML SOL. INY. AM</t>
  </si>
  <si>
    <t>P245</t>
  </si>
  <si>
    <t>MORFINA 20 MG/1 ML SOL. INY. AM</t>
  </si>
  <si>
    <t>P246</t>
  </si>
  <si>
    <t>MORFINA SULFATO 2 % FC 20 ML GOTAS ORALES (1ML = 16 GOTAS)</t>
  </si>
  <si>
    <t>P247</t>
  </si>
  <si>
    <t>MULTIVITAMINICO PARA ADMINISTRACIÓN EV</t>
  </si>
  <si>
    <t>P248</t>
  </si>
  <si>
    <t>N ACETILCISTEINA 600 MG  SO 3 G POLVO PARA SOL. ORAL</t>
  </si>
  <si>
    <t>P249</t>
  </si>
  <si>
    <t>NALOXONA 0,4 MG/1 ML SOL. INY. AM</t>
  </si>
  <si>
    <t>P250</t>
  </si>
  <si>
    <t>NEOSTIGMINA 0,5 MG/1 ML SOL. INY. AM</t>
  </si>
  <si>
    <t>P251</t>
  </si>
  <si>
    <t>NETUPITANT/PALONOSETRON 300/0,5MG CAP</t>
  </si>
  <si>
    <t>P252</t>
  </si>
  <si>
    <t>NILOTINIB 150 MG CP</t>
  </si>
  <si>
    <t>P253</t>
  </si>
  <si>
    <t>NILOTINIB 200 MG CP</t>
  </si>
  <si>
    <t>P254</t>
  </si>
  <si>
    <t xml:space="preserve">NISTATINA 100.000 UI/ML FC 24 ML SUSPENSION P/GOTAS ORALES </t>
  </si>
  <si>
    <t>P255</t>
  </si>
  <si>
    <t>NITROFURANTOINA MACROC. 100MG CP/CM REC</t>
  </si>
  <si>
    <t>P256</t>
  </si>
  <si>
    <t>NITROGLICERINA 0,5 MG / 10 ML AM SOL. INY. AM</t>
  </si>
  <si>
    <t>P257</t>
  </si>
  <si>
    <t>NITROGLICERINA 50 MG/10 ML SOL. INY. FAM</t>
  </si>
  <si>
    <t>P258</t>
  </si>
  <si>
    <t>NIVOLUMAB 100 MG SOL. INY. FAM</t>
  </si>
  <si>
    <t>P259</t>
  </si>
  <si>
    <t>NIVOLUMAB 40 MG FA SOL. INY. FAM</t>
  </si>
  <si>
    <t>P260</t>
  </si>
  <si>
    <t xml:space="preserve">NOREPINEFRINA 4 MG/4 ML SOL. INY. AM </t>
  </si>
  <si>
    <t>P261</t>
  </si>
  <si>
    <t>NUTRICION PARENTERAL PRELLENADA 1477 ML / 1600 KCAL + bolsa fotoprotectora</t>
  </si>
  <si>
    <t>P262</t>
  </si>
  <si>
    <t>NUTRICION PARENTERAL PRELLENADA 1518 ML / 1350 KCAL + bolsa fotoprotectora</t>
  </si>
  <si>
    <t>P263</t>
  </si>
  <si>
    <t>NUTRICION PARENTERAL PRELLENADA 1904 ML / 1300 KCAL + bolsa fotoprotectora</t>
  </si>
  <si>
    <t>P264</t>
  </si>
  <si>
    <t>NUTRICION PARENTERAL PRELLENADA 1970 ML / 2200 KCAL + bolsa fotoprotectora</t>
  </si>
  <si>
    <t>P265</t>
  </si>
  <si>
    <t>NUTRICION PARENTERAL PRELLENADA 2025 ML / 1800 KCAL + bolsa fotoprotectora</t>
  </si>
  <si>
    <t>P266</t>
  </si>
  <si>
    <t>NUTRICION PARENTERAL PRELLENADA 986 ML / 1100 KCAL + bolsa fotoprotectora</t>
  </si>
  <si>
    <t>P267</t>
  </si>
  <si>
    <t>NUTRICIÓN PARENTERAL RECETARIO MAGISTRAL 1000 - 3000 ML</t>
  </si>
  <si>
    <t>P268</t>
  </si>
  <si>
    <t>OCTREOTIDA 0,1 MG/ML SOL. INY. AM</t>
  </si>
  <si>
    <t>P269</t>
  </si>
  <si>
    <t>OCTREOTIDA 20MG MICROESF. SUSP. INY. FAM</t>
  </si>
  <si>
    <t>P270</t>
  </si>
  <si>
    <t>OLANZAPINA 5 MG CM/CM REC</t>
  </si>
  <si>
    <t>P271</t>
  </si>
  <si>
    <t xml:space="preserve">OLIGOELEMENTOS 2 ML SOL. INY. AM </t>
  </si>
  <si>
    <t>P272</t>
  </si>
  <si>
    <t>OMEPRAZOL 20MG CP C/MICR.C/REC/ENT</t>
  </si>
  <si>
    <t>P273</t>
  </si>
  <si>
    <t>OMEPRAZOL 40 MG POLVO/LIOF. P/SOL. INY. FAM</t>
  </si>
  <si>
    <t>P274</t>
  </si>
  <si>
    <t>ONDANSETRON 8 MG CM BUCODISPERSABLES</t>
  </si>
  <si>
    <t>P275</t>
  </si>
  <si>
    <t>ONDANSETRON 8 MG CM REC</t>
  </si>
  <si>
    <t>P276</t>
  </si>
  <si>
    <t xml:space="preserve">ONDANSETRON 8 MG/4ML SOL. INY. AM </t>
  </si>
  <si>
    <t>P277</t>
  </si>
  <si>
    <t>OSIMERTINIB 80 MG CM REC</t>
  </si>
  <si>
    <t>P278</t>
  </si>
  <si>
    <t>OXALIPLATINO 100 MG SOL. INY. FAM</t>
  </si>
  <si>
    <t>P279</t>
  </si>
  <si>
    <t>OXALIPLATINO 50 MG SOL. INY. FAM</t>
  </si>
  <si>
    <t>P280</t>
  </si>
  <si>
    <t>PACLITAXEL 100 MG SOL. INY. FAM</t>
  </si>
  <si>
    <t>P281</t>
  </si>
  <si>
    <t>PACLITAXEL 300 MG SOL. INY. FAM</t>
  </si>
  <si>
    <t>P282</t>
  </si>
  <si>
    <t>PANCREATINA 25.000 UI CP C/ GRANULOS REC ENTERICO</t>
  </si>
  <si>
    <t>P283</t>
  </si>
  <si>
    <t>PAPAVERINA 40 MG/ML SOL. INY. AM 2 ML</t>
  </si>
  <si>
    <t>P284</t>
  </si>
  <si>
    <t>PARACETAMOL 1 G/100 ML SOL. INY. FAM</t>
  </si>
  <si>
    <t>P285</t>
  </si>
  <si>
    <t>PARACETAMOL 500 MG CM/CM REC</t>
  </si>
  <si>
    <t>P286</t>
  </si>
  <si>
    <t>PARGEVERINA 5 MG/1ML SOL. INY. AM</t>
  </si>
  <si>
    <t>P287</t>
  </si>
  <si>
    <t>PAZOPANIB 200 MG CM REC</t>
  </si>
  <si>
    <t>P288</t>
  </si>
  <si>
    <t>PAZOPANIB 400 MG CM REC</t>
  </si>
  <si>
    <t>P289</t>
  </si>
  <si>
    <t>PEMBROLIZUMAB 100 MG/ 4 ML SOL. INY. FAM</t>
  </si>
  <si>
    <t>P290</t>
  </si>
  <si>
    <t>PEMETREXED 500 MG SOL. INY. FAM</t>
  </si>
  <si>
    <t>P291</t>
  </si>
  <si>
    <t>PERTUZUMAB 420 MG/ 14 ML SOL. INY. FAM</t>
  </si>
  <si>
    <t>P292</t>
  </si>
  <si>
    <t>PICOSULFATO DE SODIO 10 MG SO POLVO PARA SOLUCION ORAL</t>
  </si>
  <si>
    <t>P293</t>
  </si>
  <si>
    <t>PICOSULFATO DE SODIO 7,5 MG / 1 ML FC GOTAS ORALES</t>
  </si>
  <si>
    <t>P294</t>
  </si>
  <si>
    <t>PIPERACILINA/TAZOBACTAM 4,5 G POLVO P/SOL. INY. FAM</t>
  </si>
  <si>
    <t>P295</t>
  </si>
  <si>
    <t>PIRIDOXINA 100 MG/1 ML SOL. INY. AM/FAM</t>
  </si>
  <si>
    <t>P296</t>
  </si>
  <si>
    <t> 100002535</t>
  </si>
  <si>
    <t>POLIESTIRENO SULFONATO CALCICO FC 400-500 G O SO 15-20 G POLVO PARA SUSPENSION ORAL</t>
  </si>
  <si>
    <t>FC / SO</t>
  </si>
  <si>
    <t>P297</t>
  </si>
  <si>
    <t>POLIETILENGLICOL (MACROGOL 3350)17 G SO POLVO PARA SOLUCION ORAL</t>
  </si>
  <si>
    <t>P298</t>
  </si>
  <si>
    <t xml:space="preserve">POLIVITAMINICO CM/CP BLISTER </t>
  </si>
  <si>
    <t>P299</t>
  </si>
  <si>
    <t>POTASIO CLORURO 10% 10 ML SOL. INY. AM</t>
  </si>
  <si>
    <t>P300</t>
  </si>
  <si>
    <t>POTASIO GLUCONATO ELIXIR 31,2% FC 200ML</t>
  </si>
  <si>
    <t>P301</t>
  </si>
  <si>
    <t>PREDNISONA 20 MG CM/CM REC</t>
  </si>
  <si>
    <t>P302</t>
  </si>
  <si>
    <t>PREDNISONA 5 MG CM/CM REC</t>
  </si>
  <si>
    <t>P303</t>
  </si>
  <si>
    <t>PREGABALINA 150 MG CM/CM REC/CP</t>
  </si>
  <si>
    <t>P304</t>
  </si>
  <si>
    <t xml:space="preserve">PROPOFOL 1% / 50 ML JER. EMULSION INYECTABLE </t>
  </si>
  <si>
    <t>P305</t>
  </si>
  <si>
    <t>PROPOFOL 10 MG/ML (1%)  20 ML EMU. INY. AM</t>
  </si>
  <si>
    <t>P306</t>
  </si>
  <si>
    <t xml:space="preserve">PROPOFOL 2 % / 50 ML JER. EMULSION INYECTABLE </t>
  </si>
  <si>
    <t>P307</t>
  </si>
  <si>
    <t>PROPOFOL 20 MG/ML (2%) EMU. INY. AM 50 ML</t>
  </si>
  <si>
    <t>P308</t>
  </si>
  <si>
    <t>PROPRANOLOL 1 MG/ML SOL. INY. AM</t>
  </si>
  <si>
    <t>P309</t>
  </si>
  <si>
    <t>PROTAMINA 50 MG/5 ML SOL INY. FAM/AM</t>
  </si>
  <si>
    <t>P310</t>
  </si>
  <si>
    <t>QUETIAPINA 100 MG CM REC.</t>
  </si>
  <si>
    <t>P311</t>
  </si>
  <si>
    <t>QUETIAPINA 25 MG CM REC.</t>
  </si>
  <si>
    <t>P312</t>
  </si>
  <si>
    <t>REMIFENTANILO 1 MG LIOF. P/SOL. INY. IV FAM</t>
  </si>
  <si>
    <t>P313</t>
  </si>
  <si>
    <t>RINGER LACTATO 500 ML BOLSA</t>
  </si>
  <si>
    <t>P314</t>
  </si>
  <si>
    <t>RISPERIDONA 1 MG CM/CM REC.</t>
  </si>
  <si>
    <t>P315</t>
  </si>
  <si>
    <t>RISPERIDONA 1 MG/ML SOL. ORAL FC 20 A 30ML</t>
  </si>
  <si>
    <t>P316</t>
  </si>
  <si>
    <t>RITUXIMAB 100 MG/10 ML SOL. INY. FAM</t>
  </si>
  <si>
    <t>P317</t>
  </si>
  <si>
    <t>RITUXIMAB 500 MG/ 50 ML SOL. INY. FAM</t>
  </si>
  <si>
    <t>P318</t>
  </si>
  <si>
    <t>RIVAROXABAN 15 MG CM REC</t>
  </si>
  <si>
    <t>P319</t>
  </si>
  <si>
    <t>ROCURONIO 50 MG/5 ML SOL. INY. FAM</t>
  </si>
  <si>
    <t>P320</t>
  </si>
  <si>
    <t>SALBUTAMOL 100 UG/DO S/CFC FRA 200 A 250 DO</t>
  </si>
  <si>
    <t>P321</t>
  </si>
  <si>
    <t>SALBUTAMOL 5 MG/ML SOL. NEB. FRA 20 ML</t>
  </si>
  <si>
    <t>P322</t>
  </si>
  <si>
    <t>SERTRALINA 50 MG CM/CM REC</t>
  </si>
  <si>
    <t>P323</t>
  </si>
  <si>
    <t>SEVOFLURANO LIQ. P/INH. FC 250 ML</t>
  </si>
  <si>
    <t>P324</t>
  </si>
  <si>
    <t>SIMETICONA 60 MG CP</t>
  </si>
  <si>
    <t>P325</t>
  </si>
  <si>
    <t>SODIO BICARBONATO 2/3 M 250 ML ENV. SEMIRRIGIDO</t>
  </si>
  <si>
    <t>P326</t>
  </si>
  <si>
    <t xml:space="preserve">SODIO CLORURO  0,9% 1000 ML BOLSA </t>
  </si>
  <si>
    <t>P327</t>
  </si>
  <si>
    <t xml:space="preserve">SODIO CLORURO 0,9% 100 ML BOLSA </t>
  </si>
  <si>
    <t>P328</t>
  </si>
  <si>
    <t xml:space="preserve">SODIO CLORURO 0,9% 20 ML SOL. INY. IV AM </t>
  </si>
  <si>
    <t>P329</t>
  </si>
  <si>
    <t xml:space="preserve">SODIO CLORURO 0,9% 250 ML BOLSA </t>
  </si>
  <si>
    <t>P330</t>
  </si>
  <si>
    <t xml:space="preserve">SODIO CLORURO 0,9% 500 ML BOLSA </t>
  </si>
  <si>
    <t>P331</t>
  </si>
  <si>
    <t xml:space="preserve">SODIO CLORURO 10 % 10 ML SOL. INY. IV AM </t>
  </si>
  <si>
    <t>P332</t>
  </si>
  <si>
    <t xml:space="preserve">SORAFENIB 200 MG CM </t>
  </si>
  <si>
    <t>P333</t>
  </si>
  <si>
    <t>SUCRALFATO SUSPENSIÓN 10 % FC 200 ML</t>
  </si>
  <si>
    <t>P334</t>
  </si>
  <si>
    <t>SUERO FISIOLOGICO 0,9 % 3000 ML BOLSA</t>
  </si>
  <si>
    <t>P335</t>
  </si>
  <si>
    <t>SUGAMMADEX 200 MG/ 2ML SOL. INY. FAM</t>
  </si>
  <si>
    <t>P336</t>
  </si>
  <si>
    <t>SUNITINIB 25 MG CP</t>
  </si>
  <si>
    <t>P337</t>
  </si>
  <si>
    <t>SUNITINIB 50 MG CP</t>
  </si>
  <si>
    <t>P338</t>
  </si>
  <si>
    <t>SUXAMETONIO 100 MG SOL. INY. AM</t>
  </si>
  <si>
    <t>P339</t>
  </si>
  <si>
    <t>TALIDOMIDA 100 MG CM REC</t>
  </si>
  <si>
    <t>P340</t>
  </si>
  <si>
    <t>TAMOXIFENO 20 MG CM REC</t>
  </si>
  <si>
    <t>P341</t>
  </si>
  <si>
    <t>TAPENTADOL 100 MG CM LIB. PROLONGADA</t>
  </si>
  <si>
    <t>CM LP</t>
  </si>
  <si>
    <t>P342</t>
  </si>
  <si>
    <t>TAPENTADOL 50 MG CM LIB. PROLONGADA</t>
  </si>
  <si>
    <t>P343</t>
  </si>
  <si>
    <t>TEMOZOLOMIDA 100 MG CP</t>
  </si>
  <si>
    <t>P344</t>
  </si>
  <si>
    <t>TEMOZOLOMIDA 140 MG CP</t>
  </si>
  <si>
    <t>P345</t>
  </si>
  <si>
    <t>TEMOZOLOMIDA 180 MG CP</t>
  </si>
  <si>
    <t>P346</t>
  </si>
  <si>
    <t>TEMOZOLOMIDA 20 MG CP</t>
  </si>
  <si>
    <t>P347</t>
  </si>
  <si>
    <t>TEMOZOLOMIDA 250 MG CP</t>
  </si>
  <si>
    <t>P348</t>
  </si>
  <si>
    <t>TESTOSTERONA 1000 MG/ 4 ML  SOL. INY. FAM</t>
  </si>
  <si>
    <t>P349</t>
  </si>
  <si>
    <t>TIAMINA 30 MG/1 ML SOL. INY. AM</t>
  </si>
  <si>
    <t>P350</t>
  </si>
  <si>
    <t>TIGECICLINA 50 MG LIOFILIZ. FAM</t>
  </si>
  <si>
    <t>P351</t>
  </si>
  <si>
    <t>TIROTROPINA ALFA 0,9 MG/ML (KIT 2 DOSIS)</t>
  </si>
  <si>
    <t>P352</t>
  </si>
  <si>
    <t>TOPOTECAN 4MG LIOF. P/ SOL. INY. FAM</t>
  </si>
  <si>
    <t>P353</t>
  </si>
  <si>
    <t>TOXINA BOTULINICA 500 UI POLVO P/SOL. INY. FAM</t>
  </si>
  <si>
    <t>P354</t>
  </si>
  <si>
    <t>TRAMADOL 100 MG CM REC/CP LIBER.PROLONG</t>
  </si>
  <si>
    <t>P355</t>
  </si>
  <si>
    <t>TRAMADOL 100 MG/2 ML SOL. INY. AM</t>
  </si>
  <si>
    <t>P356</t>
  </si>
  <si>
    <t>TRAMADOL 100 MG/ML SOL. ORAL FC 10 ML (1ML = 40 GOTAS)</t>
  </si>
  <si>
    <t>P357</t>
  </si>
  <si>
    <t>TRASTUZUMAB EMTANSINA 100 MG LIOF. P/SOL. INY. FAM</t>
  </si>
  <si>
    <t>P358</t>
  </si>
  <si>
    <t>TRASTUZUMAB EMTANSINA 160 MG LIOF. P/SOL. INY. FAM</t>
  </si>
  <si>
    <t>P359</t>
  </si>
  <si>
    <t>TRAUMEEL S SOL. INY. AM</t>
  </si>
  <si>
    <t>P360</t>
  </si>
  <si>
    <t>TRAZODONA 100 MG CM/CM REC</t>
  </si>
  <si>
    <t>P361</t>
  </si>
  <si>
    <t>TRIPTORELINA 11,25MG LIOF. P/SUSP. INY. FAM</t>
  </si>
  <si>
    <t>P362</t>
  </si>
  <si>
    <t>TRIPTORELINA 3,75 MG LIOF. P/SUSP. INY. FAM</t>
  </si>
  <si>
    <t>P363</t>
  </si>
  <si>
    <t>VACUNA BCG 30 MG LIOF. P/SOL. INY. FAM CEPA DANISH 1331</t>
  </si>
  <si>
    <t>P364</t>
  </si>
  <si>
    <t>VANCOMICINA 1 G POLVO/LIOF. P/SOL. INY.FAM</t>
  </si>
  <si>
    <t>P365</t>
  </si>
  <si>
    <t xml:space="preserve">VASELINA ESTERIL FC 100 ML </t>
  </si>
  <si>
    <t>P366</t>
  </si>
  <si>
    <t xml:space="preserve">VASELINA LIQUIDA ESTERIL 10 ML AM </t>
  </si>
  <si>
    <t>P367</t>
  </si>
  <si>
    <t>VENLAFAXINA 75 MG CM/CP LIB PROL</t>
  </si>
  <si>
    <t>P368</t>
  </si>
  <si>
    <t> 100001603</t>
  </si>
  <si>
    <t>VINBLASTINA 10 MG LIOF. O SOL. INY. FAM</t>
  </si>
  <si>
    <t>P369</t>
  </si>
  <si>
    <t>VINCRISTINA 1MG/ML SOL. INY. FAM</t>
  </si>
  <si>
    <t>P370</t>
  </si>
  <si>
    <t>VINORELBINE 50 MG/ 5 ML SOL. INY. FAM</t>
  </si>
  <si>
    <t>TOTAL</t>
  </si>
  <si>
    <t>ALCOHOL ABSOLUTO FAM 10 ML</t>
  </si>
  <si>
    <t>CETUXIMAB 100 MG FA SOLUCION INYECTABLE</t>
  </si>
  <si>
    <t>DARATUMUMAB 1800 MG/15 ML  SC SOL. INY. FAM</t>
  </si>
  <si>
    <t>DACTINOMICINA 0,5 MG FA LIOFILIZADO PARA SOLUCION INYECTABLE</t>
  </si>
  <si>
    <t>STCOK</t>
  </si>
  <si>
    <t>GANCICLOVIR 500MG LIOF. P/SOL. INY. FAM</t>
  </si>
  <si>
    <t>LOMUSTINA 40 MG CP</t>
  </si>
  <si>
    <t>PEGINTERFERON 180 MCG / 0,5 ML JER SOLUCIÓN INYECTABLE</t>
  </si>
  <si>
    <t>POMALIDOMIDA 4 MG CP</t>
  </si>
  <si>
    <t>VORICONAZOL CM 200 MG</t>
  </si>
  <si>
    <t>VORICONAZOL 200MG LIOF. P/SOL. INY. FAM</t>
  </si>
  <si>
    <t>EVEROLIMUS 10 MG CM LEY RICARTE SOTO</t>
  </si>
  <si>
    <t>IMATINIB 400 MG CM/CP REC LEY RICARTE SOTO</t>
  </si>
  <si>
    <t>FULVESTRANT 250 MG/5 ML SOL INY. JERP</t>
  </si>
  <si>
    <t>SUNITINIB 25 MG CP LEY RICARTE SOTO</t>
  </si>
  <si>
    <t>SUNITINIB 50 MG CP LEY RICARTE SOTO</t>
  </si>
  <si>
    <t>SUNITINIB 12,5 MG CP LEY RICARTE SOTO</t>
  </si>
  <si>
    <t>TRASTUZUMAB 600 MG FA SOLUCION INYECTABLE LEY RICARTE SOTO</t>
  </si>
  <si>
    <t>PALBOCICLIB 100 MG CP</t>
  </si>
  <si>
    <t>PALBOCICLIB 125 MG CP</t>
  </si>
  <si>
    <t>PALBOCICLIB 75 MG CP</t>
  </si>
  <si>
    <t>PONATINIB 45 MG CM</t>
  </si>
  <si>
    <t>TABLA 1</t>
  </si>
  <si>
    <t>Fármacos</t>
  </si>
  <si>
    <t>Subunidad</t>
  </si>
  <si>
    <t>$ Valor arsenal</t>
  </si>
  <si>
    <t>%</t>
  </si>
  <si>
    <t>Fármacos sin stock</t>
  </si>
  <si>
    <t>F. CENTRAL</t>
  </si>
  <si>
    <t>F. ONCO</t>
  </si>
  <si>
    <t>ARSENAL FARMACOLOGICO INSTITUTO NACIONAL DEL CANCER</t>
  </si>
  <si>
    <t>FARMACIA</t>
  </si>
  <si>
    <t>VIGENCIA AÑO 2025</t>
  </si>
  <si>
    <t>COMITÉ DE FARMACIA INC</t>
  </si>
  <si>
    <t>STOCK BODEGA         MAYO 2025</t>
  </si>
  <si>
    <t>PPP</t>
  </si>
  <si>
    <t>* falta everolimus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</si>
</sst>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8"/>
      <color theme="1"/>
      <name val="Calibri"/>
      <family val="2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42" fontId="7" fillId="0" borderId="1" xfId="1" applyFont="1" applyBorder="1" applyAlignment="1">
      <alignment horizontal="left" vertical="center"/>
    </xf>
    <xf numFmtId="42" fontId="7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42" fontId="7" fillId="3" borderId="1" xfId="1" applyFont="1" applyFill="1" applyBorder="1" applyAlignment="1">
      <alignment horizontal="left" vertical="center"/>
    </xf>
    <xf numFmtId="42" fontId="7" fillId="3" borderId="1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42" fontId="8" fillId="0" borderId="1" xfId="1" applyFont="1" applyBorder="1" applyAlignment="1">
      <alignment horizontal="left" vertical="center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vertical="top"/>
    </xf>
    <xf numFmtId="0" fontId="12" fillId="0" borderId="2" xfId="0" applyFont="1" applyBorder="1" applyAlignment="1">
      <alignment vertical="top"/>
    </xf>
    <xf numFmtId="0" fontId="9" fillId="0" borderId="2" xfId="0" applyFont="1" applyBorder="1"/>
    <xf numFmtId="0" fontId="2" fillId="3" borderId="0" xfId="0" applyFont="1" applyFill="1"/>
    <xf numFmtId="0" fontId="15" fillId="2" borderId="1" xfId="0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1" xfId="0" applyBorder="1" applyAlignment="1">
      <alignment horizontal="center"/>
    </xf>
    <xf numFmtId="42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1" xfId="0" applyBorder="1"/>
    <xf numFmtId="42" fontId="0" fillId="0" borderId="1" xfId="1" applyFont="1" applyBorder="1" applyAlignment="1">
      <alignment horizont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42" fontId="0" fillId="4" borderId="1" xfId="0" applyNumberFormat="1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6" fillId="0" borderId="0" xfId="0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textRotation="90" wrapText="1"/>
    </xf>
    <xf numFmtId="42" fontId="7" fillId="0" borderId="1" xfId="1" applyFont="1" applyFill="1" applyBorder="1" applyAlignment="1">
      <alignment horizontal="left" vertical="center"/>
    </xf>
    <xf numFmtId="42" fontId="18" fillId="0" borderId="1" xfId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19EC-C5B5-4780-89DB-ECFFA2A77934}">
  <sheetPr>
    <pageSetUpPr fitToPage="1"/>
  </sheetPr>
  <dimension ref="A1:M446"/>
  <sheetViews>
    <sheetView zoomScale="80" zoomScaleNormal="80" workbookViewId="0">
      <selection activeCell="M17" sqref="M17"/>
    </sheetView>
  </sheetViews>
  <sheetFormatPr baseColWidth="10" defaultRowHeight="14.5" x14ac:dyDescent="0.35"/>
  <cols>
    <col min="1" max="1" width="5.1796875" customWidth="1"/>
    <col min="2" max="3" width="12.7265625" style="3" customWidth="1"/>
    <col min="4" max="4" width="43.81640625" style="3" customWidth="1"/>
    <col min="5" max="5" width="6.54296875" style="3" customWidth="1"/>
    <col min="6" max="6" width="4.453125" bestFit="1" customWidth="1"/>
    <col min="7" max="7" width="10.453125" hidden="1" customWidth="1"/>
    <col min="8" max="8" width="11.81640625" bestFit="1" customWidth="1"/>
    <col min="9" max="9" width="14.54296875" bestFit="1" customWidth="1"/>
    <col min="10" max="10" width="17.26953125" customWidth="1"/>
    <col min="13" max="13" width="13.81640625" customWidth="1"/>
  </cols>
  <sheetData>
    <row r="1" spans="1:10" ht="15.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35">
      <c r="A2" s="2"/>
    </row>
    <row r="3" spans="1:10" s="6" customFormat="1" ht="58.5" customHeight="1" x14ac:dyDescent="0.35">
      <c r="A3" s="4" t="s">
        <v>1</v>
      </c>
      <c r="B3" s="5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/>
    </row>
    <row r="4" spans="1:10" s="13" customFormat="1" x14ac:dyDescent="0.35">
      <c r="A4" s="7" t="s">
        <v>10</v>
      </c>
      <c r="B4" s="8">
        <v>101047</v>
      </c>
      <c r="C4" s="8">
        <v>100004700</v>
      </c>
      <c r="D4" s="9" t="s">
        <v>11</v>
      </c>
      <c r="E4" s="9" t="s">
        <v>12</v>
      </c>
      <c r="F4" s="10" t="s">
        <v>13</v>
      </c>
      <c r="G4" s="10">
        <v>22080</v>
      </c>
      <c r="H4" s="11">
        <v>845</v>
      </c>
      <c r="I4" s="12">
        <f t="shared" ref="I4:I67" si="0">G4*H4</f>
        <v>18657600</v>
      </c>
      <c r="J4"/>
    </row>
    <row r="5" spans="1:10" s="13" customFormat="1" x14ac:dyDescent="0.35">
      <c r="A5" s="7" t="s">
        <v>14</v>
      </c>
      <c r="B5" s="8">
        <v>102038</v>
      </c>
      <c r="C5" s="8">
        <v>100000009</v>
      </c>
      <c r="D5" s="9" t="s">
        <v>15</v>
      </c>
      <c r="E5" s="9" t="s">
        <v>12</v>
      </c>
      <c r="F5" s="10" t="s">
        <v>16</v>
      </c>
      <c r="G5" s="10">
        <v>747</v>
      </c>
      <c r="H5" s="11">
        <v>81</v>
      </c>
      <c r="I5" s="12">
        <f t="shared" si="0"/>
        <v>60507</v>
      </c>
      <c r="J5"/>
    </row>
    <row r="6" spans="1:10" s="13" customFormat="1" x14ac:dyDescent="0.35">
      <c r="A6" s="7" t="s">
        <v>17</v>
      </c>
      <c r="B6" s="8">
        <v>103001</v>
      </c>
      <c r="C6" s="8">
        <v>100000013</v>
      </c>
      <c r="D6" s="9" t="s">
        <v>18</v>
      </c>
      <c r="E6" s="9" t="s">
        <v>12</v>
      </c>
      <c r="F6" s="10" t="s">
        <v>16</v>
      </c>
      <c r="G6" s="10">
        <v>16145</v>
      </c>
      <c r="H6" s="11">
        <v>67</v>
      </c>
      <c r="I6" s="12">
        <f t="shared" si="0"/>
        <v>1081715</v>
      </c>
      <c r="J6"/>
    </row>
    <row r="7" spans="1:10" s="13" customFormat="1" x14ac:dyDescent="0.35">
      <c r="A7" s="7" t="s">
        <v>19</v>
      </c>
      <c r="B7" s="8">
        <v>103039</v>
      </c>
      <c r="C7" s="8" t="s">
        <v>20</v>
      </c>
      <c r="D7" s="9" t="s">
        <v>21</v>
      </c>
      <c r="E7" s="9" t="s">
        <v>22</v>
      </c>
      <c r="F7" s="10" t="s">
        <v>16</v>
      </c>
      <c r="G7" s="10">
        <v>26</v>
      </c>
      <c r="H7" s="11">
        <v>1398</v>
      </c>
      <c r="I7" s="12">
        <f t="shared" si="0"/>
        <v>36348</v>
      </c>
      <c r="J7"/>
    </row>
    <row r="8" spans="1:10" s="13" customFormat="1" x14ac:dyDescent="0.35">
      <c r="A8" s="7" t="s">
        <v>23</v>
      </c>
      <c r="B8" s="8">
        <v>102037</v>
      </c>
      <c r="C8" s="8">
        <v>100000003</v>
      </c>
      <c r="D8" s="9" t="s">
        <v>24</v>
      </c>
      <c r="E8" s="9" t="s">
        <v>12</v>
      </c>
      <c r="F8" s="10" t="s">
        <v>16</v>
      </c>
      <c r="G8" s="10">
        <v>8380</v>
      </c>
      <c r="H8" s="11">
        <v>8</v>
      </c>
      <c r="I8" s="12">
        <f t="shared" si="0"/>
        <v>67040</v>
      </c>
      <c r="J8"/>
    </row>
    <row r="9" spans="1:10" s="13" customFormat="1" x14ac:dyDescent="0.35">
      <c r="A9" s="7" t="s">
        <v>25</v>
      </c>
      <c r="B9" s="8">
        <v>104001</v>
      </c>
      <c r="C9" s="8">
        <v>100000021</v>
      </c>
      <c r="D9" s="9" t="s">
        <v>26</v>
      </c>
      <c r="E9" s="9" t="s">
        <v>12</v>
      </c>
      <c r="F9" s="10" t="s">
        <v>16</v>
      </c>
      <c r="G9" s="10">
        <v>12035</v>
      </c>
      <c r="H9" s="11">
        <v>22</v>
      </c>
      <c r="I9" s="12">
        <f t="shared" si="0"/>
        <v>264770</v>
      </c>
      <c r="J9"/>
    </row>
    <row r="10" spans="1:10" s="13" customFormat="1" x14ac:dyDescent="0.35">
      <c r="A10" s="7" t="s">
        <v>27</v>
      </c>
      <c r="B10" s="8">
        <v>104055</v>
      </c>
      <c r="C10" s="8">
        <v>100000022</v>
      </c>
      <c r="D10" s="9" t="s">
        <v>28</v>
      </c>
      <c r="E10" s="9" t="s">
        <v>12</v>
      </c>
      <c r="F10" s="10" t="s">
        <v>16</v>
      </c>
      <c r="G10" s="10">
        <v>4613</v>
      </c>
      <c r="H10" s="11">
        <v>17</v>
      </c>
      <c r="I10" s="12">
        <f t="shared" si="0"/>
        <v>78421</v>
      </c>
      <c r="J10"/>
    </row>
    <row r="11" spans="1:10" s="13" customFormat="1" x14ac:dyDescent="0.35">
      <c r="A11" s="7" t="s">
        <v>29</v>
      </c>
      <c r="B11" s="8">
        <v>106019</v>
      </c>
      <c r="C11" s="8">
        <v>100002000</v>
      </c>
      <c r="D11" s="9" t="s">
        <v>30</v>
      </c>
      <c r="E11" s="9" t="s">
        <v>31</v>
      </c>
      <c r="F11" s="10" t="s">
        <v>16</v>
      </c>
      <c r="G11" s="10">
        <v>518</v>
      </c>
      <c r="H11" s="11">
        <v>583</v>
      </c>
      <c r="I11" s="12">
        <f t="shared" si="0"/>
        <v>301994</v>
      </c>
      <c r="J11"/>
    </row>
    <row r="12" spans="1:10" s="13" customFormat="1" x14ac:dyDescent="0.35">
      <c r="A12" s="7" t="s">
        <v>32</v>
      </c>
      <c r="B12" s="8">
        <v>101030</v>
      </c>
      <c r="C12" s="8">
        <v>100000028</v>
      </c>
      <c r="D12" s="9" t="s">
        <v>33</v>
      </c>
      <c r="E12" s="9" t="s">
        <v>12</v>
      </c>
      <c r="F12" s="10" t="s">
        <v>16</v>
      </c>
      <c r="G12" s="10">
        <v>601</v>
      </c>
      <c r="H12" s="11">
        <v>899</v>
      </c>
      <c r="I12" s="12">
        <f t="shared" si="0"/>
        <v>540299</v>
      </c>
      <c r="J12"/>
    </row>
    <row r="13" spans="1:10" s="13" customFormat="1" x14ac:dyDescent="0.35">
      <c r="A13" s="7" t="s">
        <v>34</v>
      </c>
      <c r="B13" s="8">
        <v>209052</v>
      </c>
      <c r="C13" s="8">
        <v>100000036</v>
      </c>
      <c r="D13" s="9" t="s">
        <v>35</v>
      </c>
      <c r="E13" s="9" t="s">
        <v>36</v>
      </c>
      <c r="F13" s="10" t="s">
        <v>13</v>
      </c>
      <c r="G13" s="10">
        <v>179</v>
      </c>
      <c r="H13" s="11">
        <v>7878</v>
      </c>
      <c r="I13" s="12">
        <f t="shared" si="0"/>
        <v>1410162</v>
      </c>
      <c r="J13"/>
    </row>
    <row r="14" spans="1:10" s="13" customFormat="1" x14ac:dyDescent="0.35">
      <c r="A14" s="7" t="s">
        <v>37</v>
      </c>
      <c r="B14" s="8">
        <v>101035</v>
      </c>
      <c r="C14" s="8">
        <v>100000038</v>
      </c>
      <c r="D14" s="9" t="s">
        <v>38</v>
      </c>
      <c r="E14" s="9" t="s">
        <v>39</v>
      </c>
      <c r="F14" s="10" t="s">
        <v>16</v>
      </c>
      <c r="G14" s="10">
        <v>21</v>
      </c>
      <c r="H14" s="11">
        <v>1488</v>
      </c>
      <c r="I14" s="12">
        <f t="shared" si="0"/>
        <v>31248</v>
      </c>
      <c r="J14"/>
    </row>
    <row r="15" spans="1:10" s="13" customFormat="1" x14ac:dyDescent="0.35">
      <c r="A15" s="7" t="s">
        <v>40</v>
      </c>
      <c r="B15" s="8">
        <v>101058</v>
      </c>
      <c r="C15" s="8">
        <v>100004982</v>
      </c>
      <c r="D15" s="9" t="s">
        <v>41</v>
      </c>
      <c r="E15" s="9" t="s">
        <v>12</v>
      </c>
      <c r="F15" s="10" t="s">
        <v>13</v>
      </c>
      <c r="G15" s="10">
        <v>84</v>
      </c>
      <c r="H15" s="11">
        <v>45026</v>
      </c>
      <c r="I15" s="12">
        <f t="shared" si="0"/>
        <v>3782184</v>
      </c>
      <c r="J15"/>
    </row>
    <row r="16" spans="1:10" s="13" customFormat="1" x14ac:dyDescent="0.35">
      <c r="A16" s="7" t="s">
        <v>42</v>
      </c>
      <c r="B16" s="8">
        <v>108017</v>
      </c>
      <c r="C16" s="8">
        <v>100000044</v>
      </c>
      <c r="D16" s="9" t="s">
        <v>43</v>
      </c>
      <c r="E16" s="9" t="s">
        <v>44</v>
      </c>
      <c r="F16" s="10" t="s">
        <v>16</v>
      </c>
      <c r="G16" s="10">
        <v>45</v>
      </c>
      <c r="H16" s="11">
        <v>643</v>
      </c>
      <c r="I16" s="12">
        <f t="shared" si="0"/>
        <v>28935</v>
      </c>
      <c r="J16"/>
    </row>
    <row r="17" spans="1:10" s="13" customFormat="1" x14ac:dyDescent="0.35">
      <c r="A17" s="7" t="s">
        <v>45</v>
      </c>
      <c r="B17" s="8">
        <v>106001</v>
      </c>
      <c r="C17" s="8">
        <v>100000046</v>
      </c>
      <c r="D17" s="9" t="s">
        <v>46</v>
      </c>
      <c r="E17" s="9" t="s">
        <v>31</v>
      </c>
      <c r="F17" s="10" t="s">
        <v>16</v>
      </c>
      <c r="G17" s="10">
        <v>1780</v>
      </c>
      <c r="H17" s="11">
        <v>238</v>
      </c>
      <c r="I17" s="12">
        <f t="shared" si="0"/>
        <v>423640</v>
      </c>
      <c r="J17"/>
    </row>
    <row r="18" spans="1:10" s="13" customFormat="1" x14ac:dyDescent="0.35">
      <c r="A18" s="7" t="s">
        <v>47</v>
      </c>
      <c r="B18" s="8">
        <v>106073</v>
      </c>
      <c r="C18" s="8">
        <v>100000085</v>
      </c>
      <c r="D18" s="9" t="s">
        <v>48</v>
      </c>
      <c r="E18" s="9" t="s">
        <v>36</v>
      </c>
      <c r="F18" s="10" t="s">
        <v>16</v>
      </c>
      <c r="G18" s="10">
        <v>186</v>
      </c>
      <c r="H18" s="11">
        <v>21950</v>
      </c>
      <c r="I18" s="12">
        <f t="shared" si="0"/>
        <v>4082700</v>
      </c>
      <c r="J18"/>
    </row>
    <row r="19" spans="1:10" s="13" customFormat="1" x14ac:dyDescent="0.35">
      <c r="A19" s="7" t="s">
        <v>49</v>
      </c>
      <c r="B19" s="8">
        <v>101098</v>
      </c>
      <c r="C19" s="8">
        <v>100005325</v>
      </c>
      <c r="D19" s="9" t="s">
        <v>50</v>
      </c>
      <c r="E19" s="9" t="s">
        <v>51</v>
      </c>
      <c r="F19" s="10" t="s">
        <v>13</v>
      </c>
      <c r="G19" s="10">
        <v>1344</v>
      </c>
      <c r="H19" s="11">
        <v>13483</v>
      </c>
      <c r="I19" s="12">
        <f t="shared" si="0"/>
        <v>18121152</v>
      </c>
      <c r="J19"/>
    </row>
    <row r="20" spans="1:10" s="13" customFormat="1" x14ac:dyDescent="0.35">
      <c r="A20" s="7" t="s">
        <v>52</v>
      </c>
      <c r="B20" s="8">
        <v>109007</v>
      </c>
      <c r="C20" s="8">
        <v>100000100</v>
      </c>
      <c r="D20" s="9" t="s">
        <v>53</v>
      </c>
      <c r="E20" s="9" t="s">
        <v>12</v>
      </c>
      <c r="F20" s="10" t="s">
        <v>16</v>
      </c>
      <c r="G20" s="10">
        <v>1295</v>
      </c>
      <c r="H20" s="11">
        <v>20</v>
      </c>
      <c r="I20" s="12">
        <f t="shared" si="0"/>
        <v>25900</v>
      </c>
      <c r="J20"/>
    </row>
    <row r="21" spans="1:10" s="13" customFormat="1" x14ac:dyDescent="0.35">
      <c r="A21" s="7" t="s">
        <v>54</v>
      </c>
      <c r="B21" s="8">
        <v>109043</v>
      </c>
      <c r="C21" s="8">
        <v>100000101</v>
      </c>
      <c r="D21" s="9" t="s">
        <v>55</v>
      </c>
      <c r="E21" s="9" t="s">
        <v>12</v>
      </c>
      <c r="F21" s="10" t="s">
        <v>16</v>
      </c>
      <c r="G21" s="10">
        <v>2297</v>
      </c>
      <c r="H21" s="11">
        <v>34</v>
      </c>
      <c r="I21" s="12">
        <f t="shared" si="0"/>
        <v>78098</v>
      </c>
    </row>
    <row r="22" spans="1:10" s="13" customFormat="1" x14ac:dyDescent="0.35">
      <c r="A22" s="7" t="s">
        <v>56</v>
      </c>
      <c r="B22" s="8">
        <v>102028</v>
      </c>
      <c r="C22" s="8">
        <v>100000103</v>
      </c>
      <c r="D22" s="9" t="s">
        <v>57</v>
      </c>
      <c r="E22" s="9" t="s">
        <v>12</v>
      </c>
      <c r="F22" s="10" t="s">
        <v>16</v>
      </c>
      <c r="G22" s="10">
        <v>15341</v>
      </c>
      <c r="H22" s="11">
        <v>15</v>
      </c>
      <c r="I22" s="12">
        <f t="shared" si="0"/>
        <v>230115</v>
      </c>
    </row>
    <row r="23" spans="1:10" s="13" customFormat="1" x14ac:dyDescent="0.35">
      <c r="A23" s="7" t="s">
        <v>58</v>
      </c>
      <c r="B23" s="8">
        <v>103002</v>
      </c>
      <c r="C23" s="8">
        <v>100000113</v>
      </c>
      <c r="D23" s="9" t="s">
        <v>59</v>
      </c>
      <c r="E23" s="9" t="s">
        <v>31</v>
      </c>
      <c r="F23" s="10" t="s">
        <v>16</v>
      </c>
      <c r="G23" s="10">
        <v>317</v>
      </c>
      <c r="H23" s="11">
        <v>250</v>
      </c>
      <c r="I23" s="12">
        <f t="shared" si="0"/>
        <v>79250</v>
      </c>
    </row>
    <row r="24" spans="1:10" s="13" customFormat="1" x14ac:dyDescent="0.35">
      <c r="A24" s="7" t="s">
        <v>60</v>
      </c>
      <c r="B24" s="8">
        <v>108001</v>
      </c>
      <c r="C24" s="8">
        <v>100000114</v>
      </c>
      <c r="D24" s="9" t="s">
        <v>61</v>
      </c>
      <c r="E24" s="9" t="s">
        <v>62</v>
      </c>
      <c r="F24" s="10" t="s">
        <v>16</v>
      </c>
      <c r="G24" s="10">
        <v>23</v>
      </c>
      <c r="H24" s="11">
        <v>4820</v>
      </c>
      <c r="I24" s="12">
        <f t="shared" si="0"/>
        <v>110860</v>
      </c>
    </row>
    <row r="25" spans="1:10" s="13" customFormat="1" x14ac:dyDescent="0.35">
      <c r="A25" s="7" t="s">
        <v>63</v>
      </c>
      <c r="B25" s="8">
        <v>106003</v>
      </c>
      <c r="C25" s="8">
        <v>100000118</v>
      </c>
      <c r="D25" s="9" t="s">
        <v>64</v>
      </c>
      <c r="E25" s="9" t="s">
        <v>31</v>
      </c>
      <c r="F25" s="10" t="s">
        <v>16</v>
      </c>
      <c r="G25" s="10">
        <v>725</v>
      </c>
      <c r="H25" s="11">
        <v>363</v>
      </c>
      <c r="I25" s="12">
        <f t="shared" si="0"/>
        <v>263175</v>
      </c>
    </row>
    <row r="26" spans="1:10" s="13" customFormat="1" x14ac:dyDescent="0.35">
      <c r="A26" s="7" t="s">
        <v>65</v>
      </c>
      <c r="B26" s="8">
        <v>104003</v>
      </c>
      <c r="C26" s="8">
        <v>100000119</v>
      </c>
      <c r="D26" s="9" t="s">
        <v>66</v>
      </c>
      <c r="E26" s="9" t="s">
        <v>12</v>
      </c>
      <c r="F26" s="10" t="s">
        <v>16</v>
      </c>
      <c r="G26" s="10">
        <v>1713</v>
      </c>
      <c r="H26" s="11">
        <v>83</v>
      </c>
      <c r="I26" s="12">
        <f t="shared" si="0"/>
        <v>142179</v>
      </c>
    </row>
    <row r="27" spans="1:10" s="13" customFormat="1" x14ac:dyDescent="0.35">
      <c r="A27" s="7" t="s">
        <v>67</v>
      </c>
      <c r="B27" s="8">
        <v>104004</v>
      </c>
      <c r="C27" s="8">
        <v>100000120</v>
      </c>
      <c r="D27" s="9" t="s">
        <v>68</v>
      </c>
      <c r="E27" s="9" t="s">
        <v>12</v>
      </c>
      <c r="F27" s="10" t="s">
        <v>16</v>
      </c>
      <c r="G27" s="10">
        <v>6001</v>
      </c>
      <c r="H27" s="11">
        <v>29</v>
      </c>
      <c r="I27" s="12">
        <f t="shared" si="0"/>
        <v>174029</v>
      </c>
    </row>
    <row r="28" spans="1:10" s="13" customFormat="1" x14ac:dyDescent="0.35">
      <c r="A28" s="7" t="s">
        <v>69</v>
      </c>
      <c r="B28" s="8">
        <v>103047</v>
      </c>
      <c r="C28" s="8">
        <v>100000126</v>
      </c>
      <c r="D28" s="9" t="s">
        <v>70</v>
      </c>
      <c r="E28" s="9" t="s">
        <v>12</v>
      </c>
      <c r="F28" s="10" t="s">
        <v>16</v>
      </c>
      <c r="G28" s="10">
        <v>2812</v>
      </c>
      <c r="H28" s="11">
        <v>162</v>
      </c>
      <c r="I28" s="12">
        <f t="shared" si="0"/>
        <v>455544</v>
      </c>
    </row>
    <row r="29" spans="1:10" s="13" customFormat="1" x14ac:dyDescent="0.35">
      <c r="A29" s="7" t="s">
        <v>71</v>
      </c>
      <c r="B29" s="8">
        <v>103036</v>
      </c>
      <c r="C29" s="8">
        <v>100000122</v>
      </c>
      <c r="D29" s="9" t="s">
        <v>72</v>
      </c>
      <c r="E29" s="9" t="s">
        <v>51</v>
      </c>
      <c r="F29" s="10" t="s">
        <v>16</v>
      </c>
      <c r="G29" s="10">
        <v>1243</v>
      </c>
      <c r="H29" s="11">
        <v>46</v>
      </c>
      <c r="I29" s="12">
        <f t="shared" si="0"/>
        <v>57178</v>
      </c>
    </row>
    <row r="30" spans="1:10" s="13" customFormat="1" x14ac:dyDescent="0.35">
      <c r="A30" s="7" t="s">
        <v>73</v>
      </c>
      <c r="B30" s="8">
        <v>103037</v>
      </c>
      <c r="C30" s="8">
        <v>100002167</v>
      </c>
      <c r="D30" s="9" t="s">
        <v>74</v>
      </c>
      <c r="E30" s="9" t="s">
        <v>36</v>
      </c>
      <c r="F30" s="10" t="s">
        <v>16</v>
      </c>
      <c r="G30" s="10">
        <v>100</v>
      </c>
      <c r="H30" s="11">
        <v>476</v>
      </c>
      <c r="I30" s="12">
        <f t="shared" si="0"/>
        <v>47600</v>
      </c>
    </row>
    <row r="31" spans="1:10" s="13" customFormat="1" x14ac:dyDescent="0.35">
      <c r="A31" s="7" t="s">
        <v>75</v>
      </c>
      <c r="B31" s="8">
        <v>102175</v>
      </c>
      <c r="C31" s="8">
        <v>100001363</v>
      </c>
      <c r="D31" s="9" t="s">
        <v>76</v>
      </c>
      <c r="E31" s="9" t="s">
        <v>36</v>
      </c>
      <c r="F31" s="10" t="s">
        <v>16</v>
      </c>
      <c r="G31" s="10">
        <v>310</v>
      </c>
      <c r="H31" s="11">
        <v>672</v>
      </c>
      <c r="I31" s="12">
        <f t="shared" si="0"/>
        <v>208320</v>
      </c>
    </row>
    <row r="32" spans="1:10" s="13" customFormat="1" x14ac:dyDescent="0.35">
      <c r="A32" s="7" t="s">
        <v>77</v>
      </c>
      <c r="B32" s="8">
        <v>209092</v>
      </c>
      <c r="C32" s="8">
        <v>100002022</v>
      </c>
      <c r="D32" s="9" t="s">
        <v>78</v>
      </c>
      <c r="E32" s="9" t="s">
        <v>12</v>
      </c>
      <c r="F32" s="10" t="s">
        <v>13</v>
      </c>
      <c r="G32" s="10">
        <v>25710</v>
      </c>
      <c r="H32" s="11">
        <v>153</v>
      </c>
      <c r="I32" s="12">
        <f t="shared" si="0"/>
        <v>3933630</v>
      </c>
    </row>
    <row r="33" spans="1:9" s="19" customFormat="1" x14ac:dyDescent="0.35">
      <c r="A33" s="7" t="s">
        <v>79</v>
      </c>
      <c r="B33" s="14">
        <v>102062</v>
      </c>
      <c r="C33" s="14">
        <v>100003405</v>
      </c>
      <c r="D33" s="15" t="s">
        <v>80</v>
      </c>
      <c r="E33" s="15" t="s">
        <v>36</v>
      </c>
      <c r="F33" s="10" t="s">
        <v>16</v>
      </c>
      <c r="G33" s="16">
        <v>3</v>
      </c>
      <c r="H33" s="17">
        <v>65331</v>
      </c>
      <c r="I33" s="18">
        <f t="shared" si="0"/>
        <v>195993</v>
      </c>
    </row>
    <row r="34" spans="1:9" s="13" customFormat="1" x14ac:dyDescent="0.35">
      <c r="A34" s="7" t="s">
        <v>81</v>
      </c>
      <c r="B34" s="8">
        <v>104006</v>
      </c>
      <c r="C34" s="8">
        <v>100000165</v>
      </c>
      <c r="D34" s="9" t="s">
        <v>82</v>
      </c>
      <c r="E34" s="9" t="s">
        <v>12</v>
      </c>
      <c r="F34" s="10" t="s">
        <v>16</v>
      </c>
      <c r="G34" s="10">
        <v>755</v>
      </c>
      <c r="H34" s="11">
        <v>11</v>
      </c>
      <c r="I34" s="12">
        <f t="shared" si="0"/>
        <v>8305</v>
      </c>
    </row>
    <row r="35" spans="1:9" s="13" customFormat="1" x14ac:dyDescent="0.35">
      <c r="A35" s="7" t="s">
        <v>83</v>
      </c>
      <c r="B35" s="8">
        <v>102067</v>
      </c>
      <c r="C35" s="8">
        <v>100002074</v>
      </c>
      <c r="D35" s="9" t="s">
        <v>84</v>
      </c>
      <c r="E35" s="9" t="s">
        <v>12</v>
      </c>
      <c r="F35" s="10" t="s">
        <v>16</v>
      </c>
      <c r="G35" s="10">
        <v>3003</v>
      </c>
      <c r="H35" s="11">
        <v>23</v>
      </c>
      <c r="I35" s="12">
        <f t="shared" si="0"/>
        <v>69069</v>
      </c>
    </row>
    <row r="36" spans="1:9" s="13" customFormat="1" x14ac:dyDescent="0.35">
      <c r="A36" s="7" t="s">
        <v>85</v>
      </c>
      <c r="B36" s="8">
        <v>106054</v>
      </c>
      <c r="C36" s="8">
        <v>100000170</v>
      </c>
      <c r="D36" s="9" t="s">
        <v>86</v>
      </c>
      <c r="E36" s="9" t="s">
        <v>31</v>
      </c>
      <c r="F36" s="10" t="s">
        <v>16</v>
      </c>
      <c r="G36" s="10">
        <v>516</v>
      </c>
      <c r="H36" s="11">
        <v>169</v>
      </c>
      <c r="I36" s="12">
        <f t="shared" si="0"/>
        <v>87204</v>
      </c>
    </row>
    <row r="37" spans="1:9" s="13" customFormat="1" x14ac:dyDescent="0.35">
      <c r="A37" s="7" t="s">
        <v>87</v>
      </c>
      <c r="B37" s="8">
        <v>104005</v>
      </c>
      <c r="C37" s="8">
        <v>100000172</v>
      </c>
      <c r="D37" s="9" t="s">
        <v>88</v>
      </c>
      <c r="E37" s="9" t="s">
        <v>12</v>
      </c>
      <c r="F37" s="10" t="s">
        <v>16</v>
      </c>
      <c r="G37" s="10">
        <v>4727</v>
      </c>
      <c r="H37" s="11">
        <v>37</v>
      </c>
      <c r="I37" s="12">
        <f t="shared" si="0"/>
        <v>174899</v>
      </c>
    </row>
    <row r="38" spans="1:9" s="13" customFormat="1" x14ac:dyDescent="0.35">
      <c r="A38" s="7" t="s">
        <v>89</v>
      </c>
      <c r="B38" s="8">
        <v>101097</v>
      </c>
      <c r="C38" s="8">
        <v>100003907</v>
      </c>
      <c r="D38" s="9" t="s">
        <v>90</v>
      </c>
      <c r="E38" s="9" t="s">
        <v>36</v>
      </c>
      <c r="F38" s="10" t="s">
        <v>13</v>
      </c>
      <c r="G38" s="10">
        <v>2</v>
      </c>
      <c r="H38" s="11">
        <v>22064</v>
      </c>
      <c r="I38" s="12">
        <f t="shared" si="0"/>
        <v>44128</v>
      </c>
    </row>
    <row r="39" spans="1:9" s="19" customFormat="1" x14ac:dyDescent="0.35">
      <c r="A39" s="7" t="s">
        <v>91</v>
      </c>
      <c r="B39" s="14">
        <v>201032</v>
      </c>
      <c r="C39" s="14">
        <v>100005737</v>
      </c>
      <c r="D39" s="15" t="s">
        <v>92</v>
      </c>
      <c r="E39" s="15" t="s">
        <v>36</v>
      </c>
      <c r="F39" s="10" t="s">
        <v>16</v>
      </c>
      <c r="G39" s="16">
        <v>0</v>
      </c>
      <c r="H39" s="17">
        <v>5593</v>
      </c>
      <c r="I39" s="18">
        <f t="shared" si="0"/>
        <v>0</v>
      </c>
    </row>
    <row r="40" spans="1:9" s="13" customFormat="1" x14ac:dyDescent="0.35">
      <c r="A40" s="7" t="s">
        <v>93</v>
      </c>
      <c r="B40" s="8">
        <v>106076</v>
      </c>
      <c r="C40" s="8" t="s">
        <v>20</v>
      </c>
      <c r="D40" s="9" t="s">
        <v>94</v>
      </c>
      <c r="E40" s="9" t="s">
        <v>31</v>
      </c>
      <c r="F40" s="10" t="s">
        <v>16</v>
      </c>
      <c r="G40" s="10">
        <v>52</v>
      </c>
      <c r="H40" s="11">
        <v>29750</v>
      </c>
      <c r="I40" s="12">
        <f t="shared" si="0"/>
        <v>1547000</v>
      </c>
    </row>
    <row r="41" spans="1:9" s="13" customFormat="1" x14ac:dyDescent="0.35">
      <c r="A41" s="7" t="s">
        <v>95</v>
      </c>
      <c r="B41" s="8">
        <v>106068</v>
      </c>
      <c r="C41" s="8" t="s">
        <v>20</v>
      </c>
      <c r="D41" s="9" t="s">
        <v>96</v>
      </c>
      <c r="E41" s="9" t="s">
        <v>31</v>
      </c>
      <c r="F41" s="10" t="s">
        <v>16</v>
      </c>
      <c r="G41" s="10">
        <v>19</v>
      </c>
      <c r="H41" s="11">
        <v>2440</v>
      </c>
      <c r="I41" s="12">
        <f t="shared" si="0"/>
        <v>46360</v>
      </c>
    </row>
    <row r="42" spans="1:9" s="13" customFormat="1" x14ac:dyDescent="0.35">
      <c r="A42" s="7" t="s">
        <v>97</v>
      </c>
      <c r="B42" s="8">
        <v>101072</v>
      </c>
      <c r="C42" s="8">
        <v>100005268</v>
      </c>
      <c r="D42" s="9" t="s">
        <v>98</v>
      </c>
      <c r="E42" s="9" t="s">
        <v>36</v>
      </c>
      <c r="F42" s="10" t="s">
        <v>13</v>
      </c>
      <c r="G42" s="10">
        <v>138</v>
      </c>
      <c r="H42" s="11">
        <v>128520</v>
      </c>
      <c r="I42" s="12">
        <f t="shared" si="0"/>
        <v>17735760</v>
      </c>
    </row>
    <row r="43" spans="1:9" s="13" customFormat="1" x14ac:dyDescent="0.35">
      <c r="A43" s="7" t="s">
        <v>99</v>
      </c>
      <c r="B43" s="8">
        <v>106004</v>
      </c>
      <c r="C43" s="8">
        <v>100000194</v>
      </c>
      <c r="D43" s="9" t="s">
        <v>100</v>
      </c>
      <c r="E43" s="9" t="s">
        <v>31</v>
      </c>
      <c r="F43" s="10" t="s">
        <v>16</v>
      </c>
      <c r="G43" s="10">
        <v>410</v>
      </c>
      <c r="H43" s="11">
        <v>80</v>
      </c>
      <c r="I43" s="12">
        <f t="shared" si="0"/>
        <v>32800</v>
      </c>
    </row>
    <row r="44" spans="1:9" s="13" customFormat="1" x14ac:dyDescent="0.35">
      <c r="A44" s="7" t="s">
        <v>101</v>
      </c>
      <c r="B44" s="8">
        <v>102179</v>
      </c>
      <c r="C44" s="8">
        <v>100000197</v>
      </c>
      <c r="D44" s="9" t="s">
        <v>102</v>
      </c>
      <c r="E44" s="9" t="s">
        <v>36</v>
      </c>
      <c r="F44" s="10" t="s">
        <v>16</v>
      </c>
      <c r="G44" s="10">
        <v>42</v>
      </c>
      <c r="H44" s="11">
        <v>11305</v>
      </c>
      <c r="I44" s="12">
        <f t="shared" si="0"/>
        <v>474810</v>
      </c>
    </row>
    <row r="45" spans="1:9" s="13" customFormat="1" x14ac:dyDescent="0.35">
      <c r="A45" s="7" t="s">
        <v>103</v>
      </c>
      <c r="B45" s="8">
        <v>101045</v>
      </c>
      <c r="C45" s="8">
        <v>100004156</v>
      </c>
      <c r="D45" s="9" t="s">
        <v>104</v>
      </c>
      <c r="E45" s="9" t="s">
        <v>12</v>
      </c>
      <c r="F45" s="10" t="s">
        <v>13</v>
      </c>
      <c r="G45" s="10">
        <v>1992</v>
      </c>
      <c r="H45" s="11">
        <v>988</v>
      </c>
      <c r="I45" s="12">
        <f t="shared" si="0"/>
        <v>1968096</v>
      </c>
    </row>
    <row r="46" spans="1:9" s="13" customFormat="1" x14ac:dyDescent="0.35">
      <c r="A46" s="7" t="s">
        <v>105</v>
      </c>
      <c r="B46" s="8">
        <v>101022</v>
      </c>
      <c r="C46" s="8">
        <v>100003892</v>
      </c>
      <c r="D46" s="9" t="s">
        <v>106</v>
      </c>
      <c r="E46" s="9" t="s">
        <v>12</v>
      </c>
      <c r="F46" s="10" t="s">
        <v>13</v>
      </c>
      <c r="G46" s="10">
        <v>1819</v>
      </c>
      <c r="H46" s="11">
        <v>194</v>
      </c>
      <c r="I46" s="12">
        <f t="shared" si="0"/>
        <v>352886</v>
      </c>
    </row>
    <row r="47" spans="1:9" s="13" customFormat="1" x14ac:dyDescent="0.35">
      <c r="A47" s="7" t="s">
        <v>107</v>
      </c>
      <c r="B47" s="8">
        <v>102119</v>
      </c>
      <c r="C47" s="8">
        <v>100001299</v>
      </c>
      <c r="D47" s="9" t="s">
        <v>108</v>
      </c>
      <c r="E47" s="9" t="s">
        <v>31</v>
      </c>
      <c r="F47" s="10" t="s">
        <v>16</v>
      </c>
      <c r="G47" s="10">
        <v>19</v>
      </c>
      <c r="H47" s="11">
        <v>833</v>
      </c>
      <c r="I47" s="12">
        <f t="shared" si="0"/>
        <v>15827</v>
      </c>
    </row>
    <row r="48" spans="1:9" s="13" customFormat="1" x14ac:dyDescent="0.35">
      <c r="A48" s="7" t="s">
        <v>109</v>
      </c>
      <c r="B48" s="8">
        <v>209003</v>
      </c>
      <c r="C48" s="8">
        <v>100002092</v>
      </c>
      <c r="D48" s="9" t="s">
        <v>110</v>
      </c>
      <c r="E48" s="9" t="s">
        <v>36</v>
      </c>
      <c r="F48" s="10" t="s">
        <v>13</v>
      </c>
      <c r="G48" s="10">
        <v>284</v>
      </c>
      <c r="H48" s="11">
        <v>29869</v>
      </c>
      <c r="I48" s="12">
        <f t="shared" si="0"/>
        <v>8482796</v>
      </c>
    </row>
    <row r="49" spans="1:9" s="13" customFormat="1" x14ac:dyDescent="0.35">
      <c r="A49" s="7" t="s">
        <v>111</v>
      </c>
      <c r="B49" s="8">
        <v>101039</v>
      </c>
      <c r="C49" s="8">
        <v>100003428</v>
      </c>
      <c r="D49" s="9" t="s">
        <v>112</v>
      </c>
      <c r="E49" s="9" t="s">
        <v>36</v>
      </c>
      <c r="F49" s="10" t="s">
        <v>13</v>
      </c>
      <c r="G49" s="10">
        <v>171</v>
      </c>
      <c r="H49" s="11">
        <v>10520</v>
      </c>
      <c r="I49" s="12">
        <f t="shared" si="0"/>
        <v>1798920</v>
      </c>
    </row>
    <row r="50" spans="1:9" s="13" customFormat="1" x14ac:dyDescent="0.35">
      <c r="A50" s="7" t="s">
        <v>113</v>
      </c>
      <c r="B50" s="8">
        <v>107002</v>
      </c>
      <c r="C50" s="8">
        <v>100000236</v>
      </c>
      <c r="D50" s="9" t="s">
        <v>114</v>
      </c>
      <c r="E50" s="9" t="s">
        <v>62</v>
      </c>
      <c r="F50" s="10" t="s">
        <v>16</v>
      </c>
      <c r="G50" s="10">
        <v>72</v>
      </c>
      <c r="H50" s="11">
        <v>660</v>
      </c>
      <c r="I50" s="12">
        <f t="shared" si="0"/>
        <v>47520</v>
      </c>
    </row>
    <row r="51" spans="1:9" s="13" customFormat="1" x14ac:dyDescent="0.35">
      <c r="A51" s="7" t="s">
        <v>115</v>
      </c>
      <c r="B51" s="8">
        <v>106006</v>
      </c>
      <c r="C51" s="8">
        <v>100000241</v>
      </c>
      <c r="D51" s="9" t="s">
        <v>116</v>
      </c>
      <c r="E51" s="9" t="s">
        <v>31</v>
      </c>
      <c r="F51" s="10" t="s">
        <v>16</v>
      </c>
      <c r="G51" s="10">
        <v>657</v>
      </c>
      <c r="H51" s="11">
        <v>393</v>
      </c>
      <c r="I51" s="12">
        <f t="shared" si="0"/>
        <v>258201</v>
      </c>
    </row>
    <row r="52" spans="1:9" s="13" customFormat="1" x14ac:dyDescent="0.35">
      <c r="A52" s="7" t="s">
        <v>117</v>
      </c>
      <c r="B52" s="8">
        <v>106007</v>
      </c>
      <c r="C52" s="8">
        <v>100000243</v>
      </c>
      <c r="D52" s="9" t="s">
        <v>118</v>
      </c>
      <c r="E52" s="9" t="s">
        <v>31</v>
      </c>
      <c r="F52" s="10" t="s">
        <v>16</v>
      </c>
      <c r="G52" s="10">
        <v>243</v>
      </c>
      <c r="H52" s="11">
        <v>1035</v>
      </c>
      <c r="I52" s="12">
        <f t="shared" si="0"/>
        <v>251505</v>
      </c>
    </row>
    <row r="53" spans="1:9" s="13" customFormat="1" x14ac:dyDescent="0.35">
      <c r="A53" s="7" t="s">
        <v>119</v>
      </c>
      <c r="B53" s="8">
        <v>102146</v>
      </c>
      <c r="C53" s="8">
        <v>100005282</v>
      </c>
      <c r="D53" s="9" t="s">
        <v>120</v>
      </c>
      <c r="E53" s="9" t="s">
        <v>121</v>
      </c>
      <c r="F53" s="10" t="s">
        <v>16</v>
      </c>
      <c r="G53" s="10">
        <v>163</v>
      </c>
      <c r="H53" s="11">
        <v>5950</v>
      </c>
      <c r="I53" s="12">
        <f t="shared" si="0"/>
        <v>969850</v>
      </c>
    </row>
    <row r="54" spans="1:9" s="13" customFormat="1" x14ac:dyDescent="0.35">
      <c r="A54" s="7" t="s">
        <v>122</v>
      </c>
      <c r="B54" s="8">
        <v>102027</v>
      </c>
      <c r="C54" s="8">
        <v>100000244</v>
      </c>
      <c r="D54" s="9" t="s">
        <v>123</v>
      </c>
      <c r="E54" s="9" t="s">
        <v>121</v>
      </c>
      <c r="F54" s="10" t="s">
        <v>16</v>
      </c>
      <c r="G54" s="10">
        <v>1257</v>
      </c>
      <c r="H54" s="11">
        <v>3808</v>
      </c>
      <c r="I54" s="12">
        <f t="shared" si="0"/>
        <v>4786656</v>
      </c>
    </row>
    <row r="55" spans="1:9" s="13" customFormat="1" x14ac:dyDescent="0.35">
      <c r="A55" s="7" t="s">
        <v>124</v>
      </c>
      <c r="B55" s="8">
        <v>201043</v>
      </c>
      <c r="C55" s="8" t="s">
        <v>20</v>
      </c>
      <c r="D55" s="9" t="s">
        <v>125</v>
      </c>
      <c r="E55" s="9" t="s">
        <v>36</v>
      </c>
      <c r="F55" s="10" t="s">
        <v>13</v>
      </c>
      <c r="G55" s="10">
        <v>21</v>
      </c>
      <c r="H55" s="11">
        <v>1231650</v>
      </c>
      <c r="I55" s="12">
        <f t="shared" si="0"/>
        <v>25864650</v>
      </c>
    </row>
    <row r="56" spans="1:9" s="13" customFormat="1" x14ac:dyDescent="0.35">
      <c r="A56" s="7" t="s">
        <v>126</v>
      </c>
      <c r="B56" s="8">
        <v>106008</v>
      </c>
      <c r="C56" s="8">
        <v>100000279</v>
      </c>
      <c r="D56" s="9" t="s">
        <v>127</v>
      </c>
      <c r="E56" s="9" t="s">
        <v>31</v>
      </c>
      <c r="F56" s="10" t="s">
        <v>16</v>
      </c>
      <c r="G56" s="10">
        <v>315</v>
      </c>
      <c r="H56" s="11">
        <v>238</v>
      </c>
      <c r="I56" s="12">
        <f t="shared" si="0"/>
        <v>74970</v>
      </c>
    </row>
    <row r="57" spans="1:9" s="13" customFormat="1" x14ac:dyDescent="0.35">
      <c r="A57" s="7" t="s">
        <v>128</v>
      </c>
      <c r="B57" s="8">
        <v>101033</v>
      </c>
      <c r="C57" s="8">
        <v>100001902</v>
      </c>
      <c r="D57" s="9" t="s">
        <v>129</v>
      </c>
      <c r="E57" s="9" t="s">
        <v>12</v>
      </c>
      <c r="F57" s="10" t="s">
        <v>16</v>
      </c>
      <c r="G57" s="10">
        <v>129032</v>
      </c>
      <c r="H57" s="11">
        <v>18</v>
      </c>
      <c r="I57" s="12">
        <f t="shared" si="0"/>
        <v>2322576</v>
      </c>
    </row>
    <row r="58" spans="1:9" s="13" customFormat="1" x14ac:dyDescent="0.35">
      <c r="A58" s="7" t="s">
        <v>130</v>
      </c>
      <c r="B58" s="8">
        <v>102133</v>
      </c>
      <c r="C58" s="8">
        <v>100000281</v>
      </c>
      <c r="D58" s="9" t="s">
        <v>131</v>
      </c>
      <c r="E58" s="9" t="s">
        <v>51</v>
      </c>
      <c r="F58" s="10" t="s">
        <v>16</v>
      </c>
      <c r="G58" s="10">
        <v>1844</v>
      </c>
      <c r="H58" s="11">
        <v>151</v>
      </c>
      <c r="I58" s="12">
        <f t="shared" si="0"/>
        <v>278444</v>
      </c>
    </row>
    <row r="59" spans="1:9" s="13" customFormat="1" x14ac:dyDescent="0.35">
      <c r="A59" s="7" t="s">
        <v>132</v>
      </c>
      <c r="B59" s="8">
        <v>209105</v>
      </c>
      <c r="C59" s="8">
        <v>100003422</v>
      </c>
      <c r="D59" s="9" t="s">
        <v>133</v>
      </c>
      <c r="E59" s="9" t="s">
        <v>12</v>
      </c>
      <c r="F59" s="10" t="s">
        <v>13</v>
      </c>
      <c r="G59" s="10">
        <v>6373</v>
      </c>
      <c r="H59" s="11">
        <v>593</v>
      </c>
      <c r="I59" s="12">
        <f t="shared" si="0"/>
        <v>3779189</v>
      </c>
    </row>
    <row r="60" spans="1:9" s="13" customFormat="1" x14ac:dyDescent="0.35">
      <c r="A60" s="7" t="s">
        <v>134</v>
      </c>
      <c r="B60" s="8">
        <v>209117</v>
      </c>
      <c r="C60" s="8">
        <v>100002025</v>
      </c>
      <c r="D60" s="9" t="s">
        <v>135</v>
      </c>
      <c r="E60" s="9" t="s">
        <v>12</v>
      </c>
      <c r="F60" s="10" t="s">
        <v>13</v>
      </c>
      <c r="G60" s="10">
        <v>4690</v>
      </c>
      <c r="H60" s="11">
        <v>671</v>
      </c>
      <c r="I60" s="12">
        <f t="shared" si="0"/>
        <v>3146990</v>
      </c>
    </row>
    <row r="61" spans="1:9" s="13" customFormat="1" x14ac:dyDescent="0.35">
      <c r="A61" s="7" t="s">
        <v>136</v>
      </c>
      <c r="B61" s="8">
        <v>104047</v>
      </c>
      <c r="C61" s="8">
        <v>100000306</v>
      </c>
      <c r="D61" s="9" t="s">
        <v>137</v>
      </c>
      <c r="E61" s="9" t="s">
        <v>12</v>
      </c>
      <c r="F61" s="10" t="s">
        <v>16</v>
      </c>
      <c r="G61" s="10">
        <v>505</v>
      </c>
      <c r="H61" s="11">
        <v>36</v>
      </c>
      <c r="I61" s="12">
        <f t="shared" si="0"/>
        <v>18180</v>
      </c>
    </row>
    <row r="62" spans="1:9" s="13" customFormat="1" x14ac:dyDescent="0.35">
      <c r="A62" s="7" t="s">
        <v>138</v>
      </c>
      <c r="B62" s="8">
        <v>104007</v>
      </c>
      <c r="C62" s="8">
        <v>100000309</v>
      </c>
      <c r="D62" s="9" t="s">
        <v>139</v>
      </c>
      <c r="E62" s="9" t="s">
        <v>12</v>
      </c>
      <c r="F62" s="10" t="s">
        <v>16</v>
      </c>
      <c r="G62" s="10">
        <v>1591</v>
      </c>
      <c r="H62" s="11">
        <v>34</v>
      </c>
      <c r="I62" s="12">
        <f t="shared" si="0"/>
        <v>54094</v>
      </c>
    </row>
    <row r="63" spans="1:9" s="13" customFormat="1" x14ac:dyDescent="0.35">
      <c r="A63" s="7" t="s">
        <v>140</v>
      </c>
      <c r="B63" s="8">
        <v>209007</v>
      </c>
      <c r="C63" s="8">
        <v>100002347</v>
      </c>
      <c r="D63" s="9" t="s">
        <v>141</v>
      </c>
      <c r="E63" s="9" t="s">
        <v>36</v>
      </c>
      <c r="F63" s="10" t="s">
        <v>13</v>
      </c>
      <c r="G63" s="10">
        <v>546</v>
      </c>
      <c r="H63" s="11">
        <v>23205</v>
      </c>
      <c r="I63" s="12">
        <f t="shared" si="0"/>
        <v>12669930</v>
      </c>
    </row>
    <row r="64" spans="1:9" s="13" customFormat="1" x14ac:dyDescent="0.35">
      <c r="A64" s="7" t="s">
        <v>142</v>
      </c>
      <c r="B64" s="8">
        <v>102148</v>
      </c>
      <c r="C64" s="8">
        <v>100002004</v>
      </c>
      <c r="D64" s="9" t="s">
        <v>143</v>
      </c>
      <c r="E64" s="9" t="s">
        <v>12</v>
      </c>
      <c r="F64" s="10" t="s">
        <v>16</v>
      </c>
      <c r="G64" s="10">
        <v>1460</v>
      </c>
      <c r="H64" s="11">
        <v>19</v>
      </c>
      <c r="I64" s="12">
        <f t="shared" si="0"/>
        <v>27740</v>
      </c>
    </row>
    <row r="65" spans="1:9" s="13" customFormat="1" x14ac:dyDescent="0.35">
      <c r="A65" s="7" t="s">
        <v>144</v>
      </c>
      <c r="B65" s="8">
        <v>102060</v>
      </c>
      <c r="C65" s="8">
        <v>100000352</v>
      </c>
      <c r="D65" s="9" t="s">
        <v>145</v>
      </c>
      <c r="E65" s="9" t="s">
        <v>146</v>
      </c>
      <c r="F65" s="10" t="s">
        <v>16</v>
      </c>
      <c r="G65" s="10">
        <v>5323</v>
      </c>
      <c r="H65" s="11">
        <v>121</v>
      </c>
      <c r="I65" s="12">
        <f t="shared" si="0"/>
        <v>644083</v>
      </c>
    </row>
    <row r="66" spans="1:9" s="13" customFormat="1" x14ac:dyDescent="0.35">
      <c r="A66" s="7" t="s">
        <v>147</v>
      </c>
      <c r="B66" s="8">
        <v>103005</v>
      </c>
      <c r="C66" s="8">
        <v>100000353</v>
      </c>
      <c r="D66" s="9" t="s">
        <v>148</v>
      </c>
      <c r="E66" s="9" t="s">
        <v>36</v>
      </c>
      <c r="F66" s="10" t="s">
        <v>16</v>
      </c>
      <c r="G66" s="10">
        <v>1619</v>
      </c>
      <c r="H66" s="11">
        <v>363</v>
      </c>
      <c r="I66" s="12">
        <f t="shared" si="0"/>
        <v>587697</v>
      </c>
    </row>
    <row r="67" spans="1:9" s="13" customFormat="1" x14ac:dyDescent="0.35">
      <c r="A67" s="7" t="s">
        <v>149</v>
      </c>
      <c r="B67" s="8">
        <v>101093</v>
      </c>
      <c r="C67" s="8">
        <v>100005535</v>
      </c>
      <c r="D67" s="9" t="s">
        <v>150</v>
      </c>
      <c r="E67" s="9" t="s">
        <v>36</v>
      </c>
      <c r="F67" s="10" t="s">
        <v>16</v>
      </c>
      <c r="G67" s="10">
        <v>37</v>
      </c>
      <c r="H67" s="11">
        <v>98854</v>
      </c>
      <c r="I67" s="12">
        <f t="shared" si="0"/>
        <v>3657598</v>
      </c>
    </row>
    <row r="68" spans="1:9" s="13" customFormat="1" x14ac:dyDescent="0.35">
      <c r="A68" s="7" t="s">
        <v>151</v>
      </c>
      <c r="B68" s="8">
        <v>103006</v>
      </c>
      <c r="C68" s="8">
        <v>100000357</v>
      </c>
      <c r="D68" s="9" t="s">
        <v>152</v>
      </c>
      <c r="E68" s="9" t="s">
        <v>36</v>
      </c>
      <c r="F68" s="10" t="s">
        <v>16</v>
      </c>
      <c r="G68" s="10">
        <v>87</v>
      </c>
      <c r="H68" s="11">
        <v>690</v>
      </c>
      <c r="I68" s="12">
        <f t="shared" ref="I68:I131" si="1">G68*H68</f>
        <v>60030</v>
      </c>
    </row>
    <row r="69" spans="1:9" s="13" customFormat="1" x14ac:dyDescent="0.35">
      <c r="A69" s="7" t="s">
        <v>153</v>
      </c>
      <c r="B69" s="8">
        <v>103007</v>
      </c>
      <c r="C69" s="8">
        <v>100000358</v>
      </c>
      <c r="D69" s="9" t="s">
        <v>154</v>
      </c>
      <c r="E69" s="9" t="s">
        <v>36</v>
      </c>
      <c r="F69" s="10" t="s">
        <v>16</v>
      </c>
      <c r="G69" s="10">
        <v>744</v>
      </c>
      <c r="H69" s="11">
        <v>267</v>
      </c>
      <c r="I69" s="12">
        <f t="shared" si="1"/>
        <v>198648</v>
      </c>
    </row>
    <row r="70" spans="1:9" s="13" customFormat="1" x14ac:dyDescent="0.35">
      <c r="A70" s="7" t="s">
        <v>155</v>
      </c>
      <c r="B70" s="8">
        <v>106009</v>
      </c>
      <c r="C70" s="8">
        <v>100000368</v>
      </c>
      <c r="D70" s="9" t="s">
        <v>156</v>
      </c>
      <c r="E70" s="9" t="s">
        <v>31</v>
      </c>
      <c r="F70" s="10" t="s">
        <v>16</v>
      </c>
      <c r="G70" s="10">
        <v>95</v>
      </c>
      <c r="H70" s="11">
        <v>580</v>
      </c>
      <c r="I70" s="12">
        <f t="shared" si="1"/>
        <v>55100</v>
      </c>
    </row>
    <row r="71" spans="1:9" s="13" customFormat="1" x14ac:dyDescent="0.35">
      <c r="A71" s="7" t="s">
        <v>157</v>
      </c>
      <c r="B71" s="8">
        <v>209008</v>
      </c>
      <c r="C71" s="8">
        <v>100000371</v>
      </c>
      <c r="D71" s="9" t="s">
        <v>158</v>
      </c>
      <c r="E71" s="9" t="s">
        <v>36</v>
      </c>
      <c r="F71" s="10" t="s">
        <v>13</v>
      </c>
      <c r="G71" s="10">
        <v>71</v>
      </c>
      <c r="H71" s="11">
        <v>12244</v>
      </c>
      <c r="I71" s="12">
        <f t="shared" si="1"/>
        <v>869324</v>
      </c>
    </row>
    <row r="72" spans="1:9" s="13" customFormat="1" x14ac:dyDescent="0.35">
      <c r="A72" s="7" t="s">
        <v>159</v>
      </c>
      <c r="B72" s="8">
        <v>209010</v>
      </c>
      <c r="C72" s="8">
        <v>100000370</v>
      </c>
      <c r="D72" s="9" t="s">
        <v>160</v>
      </c>
      <c r="E72" s="9" t="s">
        <v>161</v>
      </c>
      <c r="F72" s="10" t="s">
        <v>13</v>
      </c>
      <c r="G72" s="10">
        <v>108</v>
      </c>
      <c r="H72" s="11">
        <v>447</v>
      </c>
      <c r="I72" s="12">
        <f t="shared" si="1"/>
        <v>48276</v>
      </c>
    </row>
    <row r="73" spans="1:9" s="13" customFormat="1" x14ac:dyDescent="0.35">
      <c r="A73" s="7" t="s">
        <v>162</v>
      </c>
      <c r="B73" s="8">
        <v>103033</v>
      </c>
      <c r="C73" s="8">
        <v>100000379</v>
      </c>
      <c r="D73" s="9" t="s">
        <v>163</v>
      </c>
      <c r="E73" s="9" t="s">
        <v>36</v>
      </c>
      <c r="F73" s="10" t="s">
        <v>16</v>
      </c>
      <c r="G73" s="10">
        <v>158</v>
      </c>
      <c r="H73" s="11">
        <v>1180</v>
      </c>
      <c r="I73" s="12">
        <f t="shared" si="1"/>
        <v>186440</v>
      </c>
    </row>
    <row r="74" spans="1:9" s="13" customFormat="1" x14ac:dyDescent="0.35">
      <c r="A74" s="7" t="s">
        <v>164</v>
      </c>
      <c r="B74" s="8">
        <v>103008</v>
      </c>
      <c r="C74" s="8">
        <v>100000378</v>
      </c>
      <c r="D74" s="9" t="s">
        <v>165</v>
      </c>
      <c r="E74" s="9" t="s">
        <v>12</v>
      </c>
      <c r="F74" s="10" t="s">
        <v>16</v>
      </c>
      <c r="G74" s="10">
        <v>3482</v>
      </c>
      <c r="H74" s="11">
        <v>39</v>
      </c>
      <c r="I74" s="12">
        <f t="shared" si="1"/>
        <v>135798</v>
      </c>
    </row>
    <row r="75" spans="1:9" s="13" customFormat="1" x14ac:dyDescent="0.35">
      <c r="A75" s="7" t="s">
        <v>166</v>
      </c>
      <c r="B75" s="8">
        <v>209014</v>
      </c>
      <c r="C75" s="8">
        <v>100000381</v>
      </c>
      <c r="D75" s="9" t="s">
        <v>167</v>
      </c>
      <c r="E75" s="9" t="s">
        <v>36</v>
      </c>
      <c r="F75" s="10" t="s">
        <v>13</v>
      </c>
      <c r="G75" s="10">
        <v>171</v>
      </c>
      <c r="H75" s="11">
        <v>11983</v>
      </c>
      <c r="I75" s="12">
        <f t="shared" si="1"/>
        <v>2049093</v>
      </c>
    </row>
    <row r="76" spans="1:9" s="13" customFormat="1" x14ac:dyDescent="0.35">
      <c r="A76" s="7" t="s">
        <v>168</v>
      </c>
      <c r="B76" s="8">
        <v>209119</v>
      </c>
      <c r="C76" s="8">
        <v>100002349</v>
      </c>
      <c r="D76" s="9" t="s">
        <v>169</v>
      </c>
      <c r="E76" s="9" t="s">
        <v>36</v>
      </c>
      <c r="F76" s="10" t="s">
        <v>13</v>
      </c>
      <c r="G76" s="10">
        <v>11</v>
      </c>
      <c r="H76" s="11">
        <v>17180</v>
      </c>
      <c r="I76" s="12">
        <f t="shared" si="1"/>
        <v>188980</v>
      </c>
    </row>
    <row r="77" spans="1:9" s="13" customFormat="1" x14ac:dyDescent="0.35">
      <c r="A77" s="7" t="s">
        <v>170</v>
      </c>
      <c r="B77" s="8">
        <v>201039</v>
      </c>
      <c r="C77" s="8" t="s">
        <v>20</v>
      </c>
      <c r="D77" s="9" t="s">
        <v>171</v>
      </c>
      <c r="E77" s="9" t="s">
        <v>36</v>
      </c>
      <c r="F77" s="10" t="s">
        <v>13</v>
      </c>
      <c r="G77" s="10">
        <v>0</v>
      </c>
      <c r="H77" s="11">
        <v>530588</v>
      </c>
      <c r="I77" s="12">
        <f t="shared" si="1"/>
        <v>0</v>
      </c>
    </row>
    <row r="78" spans="1:9" s="13" customFormat="1" x14ac:dyDescent="0.35">
      <c r="A78" s="7" t="s">
        <v>172</v>
      </c>
      <c r="B78" s="8">
        <v>103045</v>
      </c>
      <c r="C78" s="8">
        <v>100000386</v>
      </c>
      <c r="D78" s="9" t="s">
        <v>173</v>
      </c>
      <c r="E78" s="9" t="s">
        <v>12</v>
      </c>
      <c r="F78" s="10" t="s">
        <v>16</v>
      </c>
      <c r="G78" s="10">
        <v>127</v>
      </c>
      <c r="H78" s="11">
        <v>196</v>
      </c>
      <c r="I78" s="12">
        <f t="shared" si="1"/>
        <v>24892</v>
      </c>
    </row>
    <row r="79" spans="1:9" s="13" customFormat="1" x14ac:dyDescent="0.35">
      <c r="A79" s="7" t="s">
        <v>174</v>
      </c>
      <c r="B79" s="8">
        <v>101031</v>
      </c>
      <c r="C79" s="8">
        <v>100000389</v>
      </c>
      <c r="D79" s="9" t="s">
        <v>175</v>
      </c>
      <c r="E79" s="9" t="s">
        <v>51</v>
      </c>
      <c r="F79" s="10" t="s">
        <v>16</v>
      </c>
      <c r="G79" s="10">
        <v>663</v>
      </c>
      <c r="H79" s="11">
        <v>774</v>
      </c>
      <c r="I79" s="12">
        <f t="shared" si="1"/>
        <v>513162</v>
      </c>
    </row>
    <row r="80" spans="1:9" s="13" customFormat="1" x14ac:dyDescent="0.35">
      <c r="A80" s="7" t="s">
        <v>176</v>
      </c>
      <c r="B80" s="8">
        <v>103009</v>
      </c>
      <c r="C80" s="8">
        <v>100000388</v>
      </c>
      <c r="D80" s="9" t="s">
        <v>177</v>
      </c>
      <c r="E80" s="9" t="s">
        <v>31</v>
      </c>
      <c r="F80" s="10" t="s">
        <v>16</v>
      </c>
      <c r="G80" s="10">
        <v>597</v>
      </c>
      <c r="H80" s="11">
        <v>571</v>
      </c>
      <c r="I80" s="12">
        <f t="shared" si="1"/>
        <v>340887</v>
      </c>
    </row>
    <row r="81" spans="1:9" s="13" customFormat="1" x14ac:dyDescent="0.35">
      <c r="A81" s="7" t="s">
        <v>178</v>
      </c>
      <c r="B81" s="8">
        <v>102186</v>
      </c>
      <c r="C81" s="8">
        <v>100006806</v>
      </c>
      <c r="D81" s="9" t="s">
        <v>179</v>
      </c>
      <c r="E81" s="9" t="s">
        <v>22</v>
      </c>
      <c r="F81" s="10" t="s">
        <v>16</v>
      </c>
      <c r="G81" s="10">
        <v>41</v>
      </c>
      <c r="H81" s="11">
        <v>666</v>
      </c>
      <c r="I81" s="12">
        <f t="shared" si="1"/>
        <v>27306</v>
      </c>
    </row>
    <row r="82" spans="1:9" s="13" customFormat="1" x14ac:dyDescent="0.35">
      <c r="A82" s="7" t="s">
        <v>180</v>
      </c>
      <c r="B82" s="8">
        <v>102083</v>
      </c>
      <c r="C82" s="8">
        <v>100003290</v>
      </c>
      <c r="D82" s="9" t="s">
        <v>181</v>
      </c>
      <c r="E82" s="9" t="s">
        <v>12</v>
      </c>
      <c r="F82" s="10" t="s">
        <v>16</v>
      </c>
      <c r="G82" s="10">
        <v>6615</v>
      </c>
      <c r="H82" s="11">
        <v>18</v>
      </c>
      <c r="I82" s="12">
        <f t="shared" si="1"/>
        <v>119070</v>
      </c>
    </row>
    <row r="83" spans="1:9" s="13" customFormat="1" x14ac:dyDescent="0.35">
      <c r="A83" s="7" t="s">
        <v>182</v>
      </c>
      <c r="B83" s="8">
        <v>102066</v>
      </c>
      <c r="C83" s="8">
        <v>100000397</v>
      </c>
      <c r="D83" s="9" t="s">
        <v>183</v>
      </c>
      <c r="E83" s="9" t="s">
        <v>12</v>
      </c>
      <c r="F83" s="10" t="s">
        <v>16</v>
      </c>
      <c r="G83" s="10">
        <v>78</v>
      </c>
      <c r="H83" s="11">
        <v>51</v>
      </c>
      <c r="I83" s="12">
        <f t="shared" si="1"/>
        <v>3978</v>
      </c>
    </row>
    <row r="84" spans="1:9" s="13" customFormat="1" x14ac:dyDescent="0.35">
      <c r="A84" s="7" t="s">
        <v>184</v>
      </c>
      <c r="B84" s="8">
        <v>209085</v>
      </c>
      <c r="C84" s="8">
        <v>100000398</v>
      </c>
      <c r="D84" s="9" t="s">
        <v>185</v>
      </c>
      <c r="E84" s="9" t="s">
        <v>12</v>
      </c>
      <c r="F84" s="10" t="s">
        <v>13</v>
      </c>
      <c r="G84" s="10">
        <v>440</v>
      </c>
      <c r="H84" s="11">
        <v>1187</v>
      </c>
      <c r="I84" s="12">
        <f t="shared" si="1"/>
        <v>522280</v>
      </c>
    </row>
    <row r="85" spans="1:9" s="13" customFormat="1" x14ac:dyDescent="0.35">
      <c r="A85" s="7" t="s">
        <v>186</v>
      </c>
      <c r="B85" s="8">
        <v>103011</v>
      </c>
      <c r="C85" s="8">
        <v>100002324</v>
      </c>
      <c r="D85" s="9" t="s">
        <v>187</v>
      </c>
      <c r="E85" s="9" t="s">
        <v>62</v>
      </c>
      <c r="F85" s="10" t="s">
        <v>16</v>
      </c>
      <c r="G85" s="10">
        <v>28</v>
      </c>
      <c r="H85" s="11">
        <v>512</v>
      </c>
      <c r="I85" s="12">
        <f t="shared" si="1"/>
        <v>14336</v>
      </c>
    </row>
    <row r="86" spans="1:9" s="13" customFormat="1" x14ac:dyDescent="0.35">
      <c r="A86" s="7" t="s">
        <v>188</v>
      </c>
      <c r="B86" s="8">
        <v>103013</v>
      </c>
      <c r="C86" s="8">
        <v>100001903</v>
      </c>
      <c r="D86" s="9" t="s">
        <v>189</v>
      </c>
      <c r="E86" s="9" t="s">
        <v>22</v>
      </c>
      <c r="F86" s="10" t="s">
        <v>16</v>
      </c>
      <c r="G86" s="10">
        <v>38</v>
      </c>
      <c r="H86" s="11">
        <v>343</v>
      </c>
      <c r="I86" s="12">
        <f t="shared" si="1"/>
        <v>13034</v>
      </c>
    </row>
    <row r="87" spans="1:9" s="13" customFormat="1" x14ac:dyDescent="0.35">
      <c r="A87" s="7" t="s">
        <v>190</v>
      </c>
      <c r="B87" s="8">
        <v>106011</v>
      </c>
      <c r="C87" s="8">
        <v>100000403</v>
      </c>
      <c r="D87" s="9" t="s">
        <v>191</v>
      </c>
      <c r="E87" s="9" t="s">
        <v>31</v>
      </c>
      <c r="F87" s="10" t="s">
        <v>16</v>
      </c>
      <c r="G87" s="10">
        <v>1829</v>
      </c>
      <c r="H87" s="11">
        <v>81</v>
      </c>
      <c r="I87" s="12">
        <f t="shared" si="1"/>
        <v>148149</v>
      </c>
    </row>
    <row r="88" spans="1:9" s="13" customFormat="1" x14ac:dyDescent="0.35">
      <c r="A88" s="7" t="s">
        <v>192</v>
      </c>
      <c r="B88" s="8">
        <v>104009</v>
      </c>
      <c r="C88" s="8">
        <v>100000404</v>
      </c>
      <c r="D88" s="9" t="s">
        <v>193</v>
      </c>
      <c r="E88" s="9" t="s">
        <v>12</v>
      </c>
      <c r="F88" s="10" t="s">
        <v>16</v>
      </c>
      <c r="G88" s="10">
        <v>6517</v>
      </c>
      <c r="H88" s="11">
        <v>7</v>
      </c>
      <c r="I88" s="12">
        <f t="shared" si="1"/>
        <v>45619</v>
      </c>
    </row>
    <row r="89" spans="1:9" s="13" customFormat="1" x14ac:dyDescent="0.35">
      <c r="A89" s="7" t="s">
        <v>194</v>
      </c>
      <c r="B89" s="8">
        <v>102207</v>
      </c>
      <c r="C89" s="8">
        <v>100002007</v>
      </c>
      <c r="D89" s="9" t="s">
        <v>195</v>
      </c>
      <c r="E89" s="9" t="s">
        <v>62</v>
      </c>
      <c r="F89" s="10" t="s">
        <v>16</v>
      </c>
      <c r="G89" s="10">
        <v>259</v>
      </c>
      <c r="H89" s="11">
        <v>0</v>
      </c>
      <c r="I89" s="12">
        <f t="shared" si="1"/>
        <v>0</v>
      </c>
    </row>
    <row r="90" spans="1:9" s="13" customFormat="1" x14ac:dyDescent="0.35">
      <c r="A90" s="7" t="s">
        <v>196</v>
      </c>
      <c r="B90" s="8">
        <v>106048</v>
      </c>
      <c r="C90" s="8">
        <v>100000410</v>
      </c>
      <c r="D90" s="9" t="s">
        <v>197</v>
      </c>
      <c r="E90" s="9" t="s">
        <v>31</v>
      </c>
      <c r="F90" s="10" t="s">
        <v>16</v>
      </c>
      <c r="G90" s="10">
        <v>0</v>
      </c>
      <c r="H90" s="11">
        <v>107</v>
      </c>
      <c r="I90" s="12">
        <f t="shared" si="1"/>
        <v>0</v>
      </c>
    </row>
    <row r="91" spans="1:9" s="13" customFormat="1" x14ac:dyDescent="0.35">
      <c r="A91" s="7" t="s">
        <v>198</v>
      </c>
      <c r="B91" s="8">
        <v>422004</v>
      </c>
      <c r="C91" s="8" t="s">
        <v>20</v>
      </c>
      <c r="D91" s="9" t="s">
        <v>199</v>
      </c>
      <c r="E91" s="9" t="s">
        <v>44</v>
      </c>
      <c r="F91" s="10" t="s">
        <v>16</v>
      </c>
      <c r="G91" s="10">
        <v>97</v>
      </c>
      <c r="H91" s="11">
        <v>732</v>
      </c>
      <c r="I91" s="12">
        <f t="shared" si="1"/>
        <v>71004</v>
      </c>
    </row>
    <row r="92" spans="1:9" s="13" customFormat="1" ht="21" x14ac:dyDescent="0.35">
      <c r="A92" s="7" t="s">
        <v>200</v>
      </c>
      <c r="B92" s="8">
        <v>422005</v>
      </c>
      <c r="C92" s="8" t="s">
        <v>20</v>
      </c>
      <c r="D92" s="9" t="s">
        <v>201</v>
      </c>
      <c r="E92" s="9" t="s">
        <v>44</v>
      </c>
      <c r="F92" s="10" t="s">
        <v>16</v>
      </c>
      <c r="G92" s="10">
        <v>0</v>
      </c>
      <c r="H92" s="11">
        <v>1666</v>
      </c>
      <c r="I92" s="12">
        <f t="shared" si="1"/>
        <v>0</v>
      </c>
    </row>
    <row r="93" spans="1:9" s="13" customFormat="1" x14ac:dyDescent="0.35">
      <c r="A93" s="7" t="s">
        <v>202</v>
      </c>
      <c r="B93" s="8">
        <v>102167</v>
      </c>
      <c r="C93" s="8" t="s">
        <v>20</v>
      </c>
      <c r="D93" s="9" t="s">
        <v>203</v>
      </c>
      <c r="E93" s="9" t="s">
        <v>44</v>
      </c>
      <c r="F93" s="10" t="s">
        <v>16</v>
      </c>
      <c r="G93" s="10">
        <v>140</v>
      </c>
      <c r="H93" s="11">
        <v>3771</v>
      </c>
      <c r="I93" s="12">
        <f t="shared" si="1"/>
        <v>527940</v>
      </c>
    </row>
    <row r="94" spans="1:9" s="13" customFormat="1" x14ac:dyDescent="0.35">
      <c r="A94" s="7" t="s">
        <v>204</v>
      </c>
      <c r="B94" s="8">
        <v>103015</v>
      </c>
      <c r="C94" s="8">
        <v>100000419</v>
      </c>
      <c r="D94" s="9" t="s">
        <v>205</v>
      </c>
      <c r="E94" s="9" t="s">
        <v>36</v>
      </c>
      <c r="F94" s="10" t="s">
        <v>16</v>
      </c>
      <c r="G94" s="10">
        <v>1356</v>
      </c>
      <c r="H94" s="11">
        <v>225</v>
      </c>
      <c r="I94" s="12">
        <f t="shared" si="1"/>
        <v>305100</v>
      </c>
    </row>
    <row r="95" spans="1:9" s="13" customFormat="1" x14ac:dyDescent="0.35">
      <c r="A95" s="7" t="s">
        <v>206</v>
      </c>
      <c r="B95" s="8">
        <v>102125</v>
      </c>
      <c r="C95" s="8">
        <v>100004356</v>
      </c>
      <c r="D95" s="9" t="s">
        <v>207</v>
      </c>
      <c r="E95" s="9" t="s">
        <v>36</v>
      </c>
      <c r="F95" s="10" t="s">
        <v>16</v>
      </c>
      <c r="G95" s="10">
        <v>8</v>
      </c>
      <c r="H95" s="11">
        <v>187611</v>
      </c>
      <c r="I95" s="12">
        <f t="shared" si="1"/>
        <v>1500888</v>
      </c>
    </row>
    <row r="96" spans="1:9" s="13" customFormat="1" x14ac:dyDescent="0.35">
      <c r="A96" s="7" t="s">
        <v>208</v>
      </c>
      <c r="B96" s="8">
        <v>103049</v>
      </c>
      <c r="C96" s="8">
        <v>100001367</v>
      </c>
      <c r="D96" s="9" t="s">
        <v>209</v>
      </c>
      <c r="E96" s="9" t="s">
        <v>31</v>
      </c>
      <c r="F96" s="10" t="s">
        <v>16</v>
      </c>
      <c r="G96" s="10">
        <v>169</v>
      </c>
      <c r="H96" s="11">
        <v>655</v>
      </c>
      <c r="I96" s="12">
        <f t="shared" si="1"/>
        <v>110695</v>
      </c>
    </row>
    <row r="97" spans="1:9" s="13" customFormat="1" x14ac:dyDescent="0.35">
      <c r="A97" s="7" t="s">
        <v>210</v>
      </c>
      <c r="B97" s="8">
        <v>103016</v>
      </c>
      <c r="C97" s="8">
        <v>100001368</v>
      </c>
      <c r="D97" s="9" t="s">
        <v>211</v>
      </c>
      <c r="E97" s="9" t="s">
        <v>12</v>
      </c>
      <c r="F97" s="10" t="s">
        <v>16</v>
      </c>
      <c r="G97" s="10">
        <v>4823</v>
      </c>
      <c r="H97" s="11">
        <v>157</v>
      </c>
      <c r="I97" s="12">
        <f t="shared" si="1"/>
        <v>757211</v>
      </c>
    </row>
    <row r="98" spans="1:9" s="19" customFormat="1" x14ac:dyDescent="0.35">
      <c r="A98" s="7" t="s">
        <v>212</v>
      </c>
      <c r="B98" s="14">
        <v>101065</v>
      </c>
      <c r="C98" s="14">
        <v>100004643</v>
      </c>
      <c r="D98" s="15" t="s">
        <v>213</v>
      </c>
      <c r="E98" s="15" t="s">
        <v>51</v>
      </c>
      <c r="F98" s="10" t="s">
        <v>13</v>
      </c>
      <c r="G98" s="16">
        <v>180</v>
      </c>
      <c r="H98" s="17">
        <v>48616</v>
      </c>
      <c r="I98" s="18">
        <f t="shared" si="1"/>
        <v>8750880</v>
      </c>
    </row>
    <row r="99" spans="1:9" s="13" customFormat="1" x14ac:dyDescent="0.35">
      <c r="A99" s="7" t="s">
        <v>214</v>
      </c>
      <c r="B99" s="8">
        <v>209064</v>
      </c>
      <c r="C99" s="8">
        <v>100002208</v>
      </c>
      <c r="D99" s="9" t="s">
        <v>215</v>
      </c>
      <c r="E99" s="9" t="s">
        <v>36</v>
      </c>
      <c r="F99" s="10" t="s">
        <v>13</v>
      </c>
      <c r="G99" s="10">
        <v>174</v>
      </c>
      <c r="H99" s="11">
        <v>11624</v>
      </c>
      <c r="I99" s="12">
        <f t="shared" si="1"/>
        <v>2022576</v>
      </c>
    </row>
    <row r="100" spans="1:9" s="13" customFormat="1" x14ac:dyDescent="0.35">
      <c r="A100" s="7" t="s">
        <v>216</v>
      </c>
      <c r="B100" s="8">
        <v>101016</v>
      </c>
      <c r="C100" s="8">
        <v>100000486</v>
      </c>
      <c r="D100" s="9" t="s">
        <v>217</v>
      </c>
      <c r="E100" s="9" t="s">
        <v>36</v>
      </c>
      <c r="F100" s="10" t="s">
        <v>16</v>
      </c>
      <c r="G100" s="10">
        <v>30</v>
      </c>
      <c r="H100" s="11">
        <v>221578</v>
      </c>
      <c r="I100" s="12">
        <f t="shared" si="1"/>
        <v>6647340</v>
      </c>
    </row>
    <row r="101" spans="1:9" s="13" customFormat="1" x14ac:dyDescent="0.35">
      <c r="A101" s="7" t="s">
        <v>218</v>
      </c>
      <c r="B101" s="8">
        <v>101034</v>
      </c>
      <c r="C101" s="8">
        <v>100002037</v>
      </c>
      <c r="D101" s="9" t="s">
        <v>219</v>
      </c>
      <c r="E101" s="9" t="s">
        <v>12</v>
      </c>
      <c r="F101" s="10" t="s">
        <v>13</v>
      </c>
      <c r="G101" s="10">
        <v>1350</v>
      </c>
      <c r="H101" s="11">
        <v>17472</v>
      </c>
      <c r="I101" s="12">
        <f t="shared" si="1"/>
        <v>23587200</v>
      </c>
    </row>
    <row r="102" spans="1:9" s="13" customFormat="1" x14ac:dyDescent="0.35">
      <c r="A102" s="7" t="s">
        <v>220</v>
      </c>
      <c r="B102" s="8">
        <v>101103</v>
      </c>
      <c r="C102" s="8">
        <v>100004001</v>
      </c>
      <c r="D102" s="9" t="s">
        <v>221</v>
      </c>
      <c r="E102" s="9" t="s">
        <v>36</v>
      </c>
      <c r="F102" s="10" t="s">
        <v>13</v>
      </c>
      <c r="G102" s="10">
        <v>117</v>
      </c>
      <c r="H102" s="11">
        <v>181526</v>
      </c>
      <c r="I102" s="12">
        <f t="shared" si="1"/>
        <v>21238542</v>
      </c>
    </row>
    <row r="103" spans="1:9" s="13" customFormat="1" x14ac:dyDescent="0.35">
      <c r="A103" s="7" t="s">
        <v>222</v>
      </c>
      <c r="B103" s="8">
        <v>101104</v>
      </c>
      <c r="C103" s="8">
        <v>100004000</v>
      </c>
      <c r="D103" s="9" t="s">
        <v>223</v>
      </c>
      <c r="E103" s="9" t="s">
        <v>36</v>
      </c>
      <c r="F103" s="10" t="s">
        <v>13</v>
      </c>
      <c r="G103" s="10">
        <v>0</v>
      </c>
      <c r="H103" s="11">
        <v>192236</v>
      </c>
      <c r="I103" s="12">
        <f t="shared" si="1"/>
        <v>0</v>
      </c>
    </row>
    <row r="104" spans="1:9" s="13" customFormat="1" x14ac:dyDescent="0.35">
      <c r="A104" s="7" t="s">
        <v>224</v>
      </c>
      <c r="B104" s="8">
        <v>101044</v>
      </c>
      <c r="C104" s="8" t="s">
        <v>20</v>
      </c>
      <c r="D104" s="9" t="s">
        <v>225</v>
      </c>
      <c r="E104" s="9" t="s">
        <v>36</v>
      </c>
      <c r="F104" s="10" t="s">
        <v>13</v>
      </c>
      <c r="G104" s="10">
        <v>23</v>
      </c>
      <c r="H104" s="11">
        <v>305604</v>
      </c>
      <c r="I104" s="12">
        <f t="shared" si="1"/>
        <v>7028892</v>
      </c>
    </row>
    <row r="105" spans="1:9" s="13" customFormat="1" x14ac:dyDescent="0.35">
      <c r="A105" s="7" t="s">
        <v>226</v>
      </c>
      <c r="B105" s="8">
        <v>104054</v>
      </c>
      <c r="C105" s="8">
        <v>100002088</v>
      </c>
      <c r="D105" s="9" t="s">
        <v>227</v>
      </c>
      <c r="E105" s="9" t="s">
        <v>12</v>
      </c>
      <c r="F105" s="10" t="s">
        <v>13</v>
      </c>
      <c r="G105" s="10">
        <v>11184</v>
      </c>
      <c r="H105" s="11">
        <v>464</v>
      </c>
      <c r="I105" s="12">
        <f t="shared" si="1"/>
        <v>5189376</v>
      </c>
    </row>
    <row r="106" spans="1:9" s="13" customFormat="1" x14ac:dyDescent="0.35">
      <c r="A106" s="7" t="s">
        <v>228</v>
      </c>
      <c r="B106" s="8">
        <v>106058</v>
      </c>
      <c r="C106" s="8">
        <v>100000498</v>
      </c>
      <c r="D106" s="9" t="s">
        <v>229</v>
      </c>
      <c r="E106" s="9" t="s">
        <v>31</v>
      </c>
      <c r="F106" s="10" t="s">
        <v>16</v>
      </c>
      <c r="G106" s="10">
        <v>3448</v>
      </c>
      <c r="H106" s="11">
        <v>115</v>
      </c>
      <c r="I106" s="12">
        <f t="shared" si="1"/>
        <v>396520</v>
      </c>
    </row>
    <row r="107" spans="1:9" s="13" customFormat="1" x14ac:dyDescent="0.35">
      <c r="A107" s="7" t="s">
        <v>230</v>
      </c>
      <c r="B107" s="8">
        <v>109050</v>
      </c>
      <c r="C107" s="8">
        <v>100003404</v>
      </c>
      <c r="D107" s="9" t="s">
        <v>231</v>
      </c>
      <c r="E107" s="9" t="s">
        <v>31</v>
      </c>
      <c r="F107" s="10" t="s">
        <v>16</v>
      </c>
      <c r="G107" s="10">
        <v>226</v>
      </c>
      <c r="H107" s="11">
        <v>1404</v>
      </c>
      <c r="I107" s="12">
        <f t="shared" si="1"/>
        <v>317304</v>
      </c>
    </row>
    <row r="108" spans="1:9" s="13" customFormat="1" x14ac:dyDescent="0.35">
      <c r="A108" s="7" t="s">
        <v>232</v>
      </c>
      <c r="B108" s="8">
        <v>102049</v>
      </c>
      <c r="C108" s="8" t="s">
        <v>20</v>
      </c>
      <c r="D108" s="9" t="s">
        <v>233</v>
      </c>
      <c r="E108" s="9" t="s">
        <v>51</v>
      </c>
      <c r="F108" s="10" t="s">
        <v>16</v>
      </c>
      <c r="G108" s="10">
        <v>375</v>
      </c>
      <c r="H108" s="11">
        <v>334</v>
      </c>
      <c r="I108" s="12">
        <f t="shared" si="1"/>
        <v>125250</v>
      </c>
    </row>
    <row r="109" spans="1:9" s="13" customFormat="1" x14ac:dyDescent="0.35">
      <c r="A109" s="7" t="s">
        <v>234</v>
      </c>
      <c r="B109" s="8">
        <v>106012</v>
      </c>
      <c r="C109" s="8">
        <v>100000519</v>
      </c>
      <c r="D109" s="9" t="s">
        <v>235</v>
      </c>
      <c r="E109" s="9" t="s">
        <v>31</v>
      </c>
      <c r="F109" s="10" t="s">
        <v>16</v>
      </c>
      <c r="G109" s="10">
        <v>51</v>
      </c>
      <c r="H109" s="11">
        <v>827</v>
      </c>
      <c r="I109" s="12">
        <f t="shared" si="1"/>
        <v>42177</v>
      </c>
    </row>
    <row r="110" spans="1:9" s="13" customFormat="1" x14ac:dyDescent="0.35">
      <c r="A110" s="7" t="s">
        <v>236</v>
      </c>
      <c r="B110" s="8">
        <v>209146</v>
      </c>
      <c r="C110" s="8" t="s">
        <v>20</v>
      </c>
      <c r="D110" s="9" t="s">
        <v>237</v>
      </c>
      <c r="E110" s="9" t="s">
        <v>36</v>
      </c>
      <c r="F110" s="10" t="s">
        <v>13</v>
      </c>
      <c r="G110" s="10">
        <v>31</v>
      </c>
      <c r="H110" s="11">
        <v>99960</v>
      </c>
      <c r="I110" s="12">
        <f t="shared" si="1"/>
        <v>3098760</v>
      </c>
    </row>
    <row r="111" spans="1:9" s="13" customFormat="1" x14ac:dyDescent="0.35">
      <c r="A111" s="7" t="s">
        <v>238</v>
      </c>
      <c r="B111" s="8">
        <v>209045</v>
      </c>
      <c r="C111" s="8">
        <v>100002220</v>
      </c>
      <c r="D111" s="9" t="s">
        <v>239</v>
      </c>
      <c r="E111" s="9" t="s">
        <v>36</v>
      </c>
      <c r="F111" s="10" t="s">
        <v>13</v>
      </c>
      <c r="G111" s="10">
        <v>69</v>
      </c>
      <c r="H111" s="11">
        <v>59405</v>
      </c>
      <c r="I111" s="12">
        <f t="shared" si="1"/>
        <v>4098945</v>
      </c>
    </row>
    <row r="112" spans="1:9" s="13" customFormat="1" x14ac:dyDescent="0.35">
      <c r="A112" s="7" t="s">
        <v>240</v>
      </c>
      <c r="B112" s="8">
        <v>422002</v>
      </c>
      <c r="C112" s="8">
        <v>100000524</v>
      </c>
      <c r="D112" s="9" t="s">
        <v>241</v>
      </c>
      <c r="E112" s="9" t="s">
        <v>12</v>
      </c>
      <c r="F112" s="10" t="s">
        <v>16</v>
      </c>
      <c r="G112" s="10">
        <v>25878</v>
      </c>
      <c r="H112" s="11">
        <v>11</v>
      </c>
      <c r="I112" s="12">
        <f t="shared" si="1"/>
        <v>284658</v>
      </c>
    </row>
    <row r="113" spans="1:9" s="13" customFormat="1" x14ac:dyDescent="0.35">
      <c r="A113" s="7" t="s">
        <v>242</v>
      </c>
      <c r="B113" s="8">
        <v>106013</v>
      </c>
      <c r="C113" s="8">
        <v>100000527</v>
      </c>
      <c r="D113" s="9" t="s">
        <v>243</v>
      </c>
      <c r="E113" s="9" t="s">
        <v>31</v>
      </c>
      <c r="F113" s="10" t="s">
        <v>16</v>
      </c>
      <c r="G113" s="10">
        <v>228</v>
      </c>
      <c r="H113" s="11">
        <v>405</v>
      </c>
      <c r="I113" s="12">
        <f t="shared" si="1"/>
        <v>92340</v>
      </c>
    </row>
    <row r="114" spans="1:9" s="13" customFormat="1" x14ac:dyDescent="0.35">
      <c r="A114" s="7" t="s">
        <v>244</v>
      </c>
      <c r="B114" s="8">
        <v>102182</v>
      </c>
      <c r="C114" s="8">
        <v>100001960</v>
      </c>
      <c r="D114" s="9" t="s">
        <v>245</v>
      </c>
      <c r="E114" s="9" t="s">
        <v>146</v>
      </c>
      <c r="F114" s="10" t="s">
        <v>16</v>
      </c>
      <c r="G114" s="10">
        <v>430</v>
      </c>
      <c r="H114" s="11">
        <v>179</v>
      </c>
      <c r="I114" s="12">
        <f t="shared" si="1"/>
        <v>76970</v>
      </c>
    </row>
    <row r="115" spans="1:9" s="13" customFormat="1" x14ac:dyDescent="0.35">
      <c r="A115" s="7" t="s">
        <v>246</v>
      </c>
      <c r="B115" s="8">
        <v>209123</v>
      </c>
      <c r="C115" s="8">
        <v>100002040</v>
      </c>
      <c r="D115" s="9" t="s">
        <v>247</v>
      </c>
      <c r="E115" s="9" t="s">
        <v>36</v>
      </c>
      <c r="F115" s="10" t="s">
        <v>13</v>
      </c>
      <c r="G115" s="10">
        <v>555</v>
      </c>
      <c r="H115" s="11">
        <v>9996</v>
      </c>
      <c r="I115" s="12">
        <f t="shared" si="1"/>
        <v>5547780</v>
      </c>
    </row>
    <row r="116" spans="1:9" s="13" customFormat="1" x14ac:dyDescent="0.35">
      <c r="A116" s="7" t="s">
        <v>248</v>
      </c>
      <c r="B116" s="8">
        <v>209151</v>
      </c>
      <c r="C116" s="8">
        <v>100004355</v>
      </c>
      <c r="D116" s="9" t="s">
        <v>249</v>
      </c>
      <c r="E116" s="9" t="s">
        <v>36</v>
      </c>
      <c r="F116" s="10" t="s">
        <v>13</v>
      </c>
      <c r="G116" s="10">
        <v>80</v>
      </c>
      <c r="H116" s="11">
        <v>102222</v>
      </c>
      <c r="I116" s="12">
        <f t="shared" si="1"/>
        <v>8177760</v>
      </c>
    </row>
    <row r="117" spans="1:9" s="13" customFormat="1" x14ac:dyDescent="0.35">
      <c r="A117" s="7" t="s">
        <v>250</v>
      </c>
      <c r="B117" s="8">
        <v>106014</v>
      </c>
      <c r="C117" s="8">
        <v>100000529</v>
      </c>
      <c r="D117" s="9" t="s">
        <v>251</v>
      </c>
      <c r="E117" s="9" t="s">
        <v>31</v>
      </c>
      <c r="F117" s="10" t="s">
        <v>16</v>
      </c>
      <c r="G117" s="10">
        <v>571</v>
      </c>
      <c r="H117" s="11">
        <v>414</v>
      </c>
      <c r="I117" s="12">
        <f t="shared" si="1"/>
        <v>236394</v>
      </c>
    </row>
    <row r="118" spans="1:9" s="13" customFormat="1" x14ac:dyDescent="0.35">
      <c r="A118" s="7" t="s">
        <v>252</v>
      </c>
      <c r="B118" s="8">
        <v>101060</v>
      </c>
      <c r="C118" s="8">
        <v>100004005</v>
      </c>
      <c r="D118" s="9" t="s">
        <v>253</v>
      </c>
      <c r="E118" s="9" t="s">
        <v>146</v>
      </c>
      <c r="F118" s="10" t="s">
        <v>16</v>
      </c>
      <c r="G118" s="10">
        <v>8682</v>
      </c>
      <c r="H118" s="11">
        <v>67</v>
      </c>
      <c r="I118" s="12">
        <f t="shared" si="1"/>
        <v>581694</v>
      </c>
    </row>
    <row r="119" spans="1:9" s="13" customFormat="1" x14ac:dyDescent="0.35">
      <c r="A119" s="7" t="s">
        <v>254</v>
      </c>
      <c r="B119" s="8">
        <v>102156</v>
      </c>
      <c r="C119" s="8">
        <v>100004006</v>
      </c>
      <c r="D119" s="9" t="s">
        <v>255</v>
      </c>
      <c r="E119" s="9" t="s">
        <v>146</v>
      </c>
      <c r="F119" s="10" t="s">
        <v>16</v>
      </c>
      <c r="G119" s="10">
        <v>2723</v>
      </c>
      <c r="H119" s="11">
        <v>74</v>
      </c>
      <c r="I119" s="12">
        <f t="shared" si="1"/>
        <v>201502</v>
      </c>
    </row>
    <row r="120" spans="1:9" s="13" customFormat="1" x14ac:dyDescent="0.35">
      <c r="A120" s="7" t="s">
        <v>256</v>
      </c>
      <c r="B120" s="8">
        <v>106015</v>
      </c>
      <c r="C120" s="8">
        <v>100000535</v>
      </c>
      <c r="D120" s="9" t="s">
        <v>257</v>
      </c>
      <c r="E120" s="9" t="s">
        <v>31</v>
      </c>
      <c r="F120" s="10" t="s">
        <v>16</v>
      </c>
      <c r="G120" s="10">
        <v>1289</v>
      </c>
      <c r="H120" s="11">
        <v>239</v>
      </c>
      <c r="I120" s="12">
        <f t="shared" si="1"/>
        <v>308071</v>
      </c>
    </row>
    <row r="121" spans="1:9" s="13" customFormat="1" x14ac:dyDescent="0.35">
      <c r="A121" s="7" t="s">
        <v>258</v>
      </c>
      <c r="B121" s="8">
        <v>104011</v>
      </c>
      <c r="C121" s="8">
        <v>100000547</v>
      </c>
      <c r="D121" s="9" t="s">
        <v>259</v>
      </c>
      <c r="E121" s="9" t="s">
        <v>12</v>
      </c>
      <c r="F121" s="10" t="s">
        <v>16</v>
      </c>
      <c r="G121" s="10">
        <v>1138</v>
      </c>
      <c r="H121" s="11">
        <v>5</v>
      </c>
      <c r="I121" s="12">
        <f t="shared" si="1"/>
        <v>5690</v>
      </c>
    </row>
    <row r="122" spans="1:9" s="13" customFormat="1" x14ac:dyDescent="0.35">
      <c r="A122" s="7" t="s">
        <v>260</v>
      </c>
      <c r="B122" s="8">
        <v>105002</v>
      </c>
      <c r="C122" s="8">
        <v>100000548</v>
      </c>
      <c r="D122" s="9" t="s">
        <v>261</v>
      </c>
      <c r="E122" s="9" t="s">
        <v>62</v>
      </c>
      <c r="F122" s="10" t="s">
        <v>16</v>
      </c>
      <c r="G122" s="10">
        <v>102</v>
      </c>
      <c r="H122" s="11">
        <v>1131</v>
      </c>
      <c r="I122" s="12">
        <f t="shared" si="1"/>
        <v>115362</v>
      </c>
    </row>
    <row r="123" spans="1:9" s="13" customFormat="1" x14ac:dyDescent="0.35">
      <c r="A123" s="7" t="s">
        <v>262</v>
      </c>
      <c r="B123" s="8">
        <v>106022</v>
      </c>
      <c r="C123" s="8">
        <v>100000484</v>
      </c>
      <c r="D123" s="9" t="s">
        <v>263</v>
      </c>
      <c r="E123" s="9" t="s">
        <v>39</v>
      </c>
      <c r="F123" s="10" t="s">
        <v>16</v>
      </c>
      <c r="G123" s="10">
        <v>43</v>
      </c>
      <c r="H123" s="11">
        <v>2380</v>
      </c>
      <c r="I123" s="12">
        <f t="shared" si="1"/>
        <v>102340</v>
      </c>
    </row>
    <row r="124" spans="1:9" s="13" customFormat="1" x14ac:dyDescent="0.35">
      <c r="A124" s="7" t="s">
        <v>264</v>
      </c>
      <c r="B124" s="8">
        <v>106023</v>
      </c>
      <c r="C124" s="8">
        <v>100000551</v>
      </c>
      <c r="D124" s="9" t="s">
        <v>265</v>
      </c>
      <c r="E124" s="9" t="s">
        <v>39</v>
      </c>
      <c r="F124" s="10" t="s">
        <v>16</v>
      </c>
      <c r="G124" s="10">
        <v>4887</v>
      </c>
      <c r="H124" s="11">
        <v>2023</v>
      </c>
      <c r="I124" s="12">
        <f t="shared" si="1"/>
        <v>9886401</v>
      </c>
    </row>
    <row r="125" spans="1:9" s="13" customFormat="1" x14ac:dyDescent="0.35">
      <c r="A125" s="7" t="s">
        <v>266</v>
      </c>
      <c r="B125" s="8">
        <v>102035</v>
      </c>
      <c r="C125" s="8">
        <v>100000552</v>
      </c>
      <c r="D125" s="9" t="s">
        <v>267</v>
      </c>
      <c r="E125" s="9" t="s">
        <v>39</v>
      </c>
      <c r="F125" s="10" t="s">
        <v>16</v>
      </c>
      <c r="G125" s="10">
        <v>1300</v>
      </c>
      <c r="H125" s="11">
        <v>2737</v>
      </c>
      <c r="I125" s="12">
        <f t="shared" si="1"/>
        <v>3558100</v>
      </c>
    </row>
    <row r="126" spans="1:9" s="13" customFormat="1" x14ac:dyDescent="0.35">
      <c r="A126" s="7" t="s">
        <v>268</v>
      </c>
      <c r="B126" s="8">
        <v>106085</v>
      </c>
      <c r="C126" s="8">
        <v>100000553</v>
      </c>
      <c r="D126" s="9" t="s">
        <v>269</v>
      </c>
      <c r="E126" s="9" t="s">
        <v>39</v>
      </c>
      <c r="F126" s="10" t="s">
        <v>16</v>
      </c>
      <c r="G126" s="10">
        <v>173</v>
      </c>
      <c r="H126" s="11">
        <v>4046</v>
      </c>
      <c r="I126" s="12">
        <f t="shared" si="1"/>
        <v>699958</v>
      </c>
    </row>
    <row r="127" spans="1:9" s="13" customFormat="1" x14ac:dyDescent="0.35">
      <c r="A127" s="7" t="s">
        <v>270</v>
      </c>
      <c r="B127" s="8">
        <v>101049</v>
      </c>
      <c r="C127" s="8">
        <v>100004644</v>
      </c>
      <c r="D127" s="9" t="s">
        <v>271</v>
      </c>
      <c r="E127" s="9" t="s">
        <v>51</v>
      </c>
      <c r="F127" s="10" t="s">
        <v>13</v>
      </c>
      <c r="G127" s="10">
        <v>1440</v>
      </c>
      <c r="H127" s="11">
        <v>8854</v>
      </c>
      <c r="I127" s="12">
        <f t="shared" si="1"/>
        <v>12749760</v>
      </c>
    </row>
    <row r="128" spans="1:9" s="13" customFormat="1" x14ac:dyDescent="0.35">
      <c r="A128" s="7" t="s">
        <v>272</v>
      </c>
      <c r="B128" s="8">
        <v>106016</v>
      </c>
      <c r="C128" s="8">
        <v>100000559</v>
      </c>
      <c r="D128" s="9" t="s">
        <v>273</v>
      </c>
      <c r="E128" s="9" t="s">
        <v>31</v>
      </c>
      <c r="F128" s="10" t="s">
        <v>16</v>
      </c>
      <c r="G128" s="10">
        <v>479</v>
      </c>
      <c r="H128" s="11">
        <v>238</v>
      </c>
      <c r="I128" s="12">
        <f t="shared" si="1"/>
        <v>114002</v>
      </c>
    </row>
    <row r="129" spans="1:9" s="13" customFormat="1" ht="21" x14ac:dyDescent="0.35">
      <c r="A129" s="7" t="s">
        <v>274</v>
      </c>
      <c r="B129" s="8">
        <v>102124</v>
      </c>
      <c r="C129" s="8">
        <v>100001916</v>
      </c>
      <c r="D129" s="9" t="s">
        <v>275</v>
      </c>
      <c r="E129" s="9" t="s">
        <v>36</v>
      </c>
      <c r="F129" s="10" t="s">
        <v>16</v>
      </c>
      <c r="G129" s="10">
        <v>855</v>
      </c>
      <c r="H129" s="11">
        <v>1348</v>
      </c>
      <c r="I129" s="12">
        <f t="shared" si="1"/>
        <v>1152540</v>
      </c>
    </row>
    <row r="130" spans="1:9" s="13" customFormat="1" x14ac:dyDescent="0.35">
      <c r="A130" s="7" t="s">
        <v>276</v>
      </c>
      <c r="B130" s="8">
        <v>101020</v>
      </c>
      <c r="C130" s="8">
        <v>100004647</v>
      </c>
      <c r="D130" s="9" t="s">
        <v>277</v>
      </c>
      <c r="E130" s="9" t="s">
        <v>12</v>
      </c>
      <c r="F130" s="10" t="s">
        <v>13</v>
      </c>
      <c r="G130" s="10">
        <v>240</v>
      </c>
      <c r="H130" s="11">
        <v>8531</v>
      </c>
      <c r="I130" s="12">
        <f t="shared" si="1"/>
        <v>2047440</v>
      </c>
    </row>
    <row r="131" spans="1:9" s="13" customFormat="1" x14ac:dyDescent="0.35">
      <c r="A131" s="7" t="s">
        <v>278</v>
      </c>
      <c r="B131" s="8">
        <v>103044</v>
      </c>
      <c r="C131" s="8">
        <v>100000582</v>
      </c>
      <c r="D131" s="9" t="s">
        <v>279</v>
      </c>
      <c r="E131" s="9" t="s">
        <v>36</v>
      </c>
      <c r="F131" s="10" t="s">
        <v>16</v>
      </c>
      <c r="G131" s="10">
        <v>43</v>
      </c>
      <c r="H131" s="11">
        <v>26073</v>
      </c>
      <c r="I131" s="12">
        <f t="shared" si="1"/>
        <v>1121139</v>
      </c>
    </row>
    <row r="132" spans="1:9" s="13" customFormat="1" x14ac:dyDescent="0.35">
      <c r="A132" s="7" t="s">
        <v>280</v>
      </c>
      <c r="B132" s="8">
        <v>102153</v>
      </c>
      <c r="C132" s="8">
        <v>100003210</v>
      </c>
      <c r="D132" s="9" t="s">
        <v>281</v>
      </c>
      <c r="E132" s="9" t="s">
        <v>12</v>
      </c>
      <c r="F132" s="10" t="s">
        <v>16</v>
      </c>
      <c r="G132" s="10">
        <v>7655</v>
      </c>
      <c r="H132" s="11">
        <v>25</v>
      </c>
      <c r="I132" s="12">
        <f t="shared" ref="I132:I195" si="2">G132*H132</f>
        <v>191375</v>
      </c>
    </row>
    <row r="133" spans="1:9" s="13" customFormat="1" x14ac:dyDescent="0.35">
      <c r="A133" s="7" t="s">
        <v>282</v>
      </c>
      <c r="B133" s="8">
        <v>106072</v>
      </c>
      <c r="C133" s="8">
        <v>100000585</v>
      </c>
      <c r="D133" s="9" t="s">
        <v>283</v>
      </c>
      <c r="E133" s="9" t="s">
        <v>31</v>
      </c>
      <c r="F133" s="10" t="s">
        <v>16</v>
      </c>
      <c r="G133" s="10">
        <v>1366</v>
      </c>
      <c r="H133" s="11">
        <v>220</v>
      </c>
      <c r="I133" s="12">
        <f t="shared" si="2"/>
        <v>300520</v>
      </c>
    </row>
    <row r="134" spans="1:9" s="13" customFormat="1" x14ac:dyDescent="0.35">
      <c r="A134" s="7" t="s">
        <v>284</v>
      </c>
      <c r="B134" s="8">
        <v>104045</v>
      </c>
      <c r="C134" s="8">
        <v>100000587</v>
      </c>
      <c r="D134" s="9" t="s">
        <v>285</v>
      </c>
      <c r="E134" s="9" t="s">
        <v>12</v>
      </c>
      <c r="F134" s="10" t="s">
        <v>16</v>
      </c>
      <c r="G134" s="10">
        <v>6881</v>
      </c>
      <c r="H134" s="11">
        <v>20</v>
      </c>
      <c r="I134" s="12">
        <f t="shared" si="2"/>
        <v>137620</v>
      </c>
    </row>
    <row r="135" spans="1:9" s="13" customFormat="1" x14ac:dyDescent="0.35">
      <c r="A135" s="7" t="s">
        <v>286</v>
      </c>
      <c r="B135" s="8">
        <v>101006</v>
      </c>
      <c r="C135" s="8">
        <v>100000600</v>
      </c>
      <c r="D135" s="9" t="s">
        <v>287</v>
      </c>
      <c r="E135" s="9" t="s">
        <v>31</v>
      </c>
      <c r="F135" s="10" t="s">
        <v>16</v>
      </c>
      <c r="G135" s="10">
        <v>56</v>
      </c>
      <c r="H135" s="11">
        <v>2261</v>
      </c>
      <c r="I135" s="12">
        <f t="shared" si="2"/>
        <v>126616</v>
      </c>
    </row>
    <row r="136" spans="1:9" s="13" customFormat="1" x14ac:dyDescent="0.35">
      <c r="A136" s="7" t="s">
        <v>288</v>
      </c>
      <c r="B136" s="8">
        <v>209019</v>
      </c>
      <c r="C136" s="8">
        <v>100000602</v>
      </c>
      <c r="D136" s="9" t="s">
        <v>289</v>
      </c>
      <c r="E136" s="9" t="s">
        <v>36</v>
      </c>
      <c r="F136" s="10" t="s">
        <v>13</v>
      </c>
      <c r="G136" s="10">
        <v>334</v>
      </c>
      <c r="H136" s="11">
        <v>6283</v>
      </c>
      <c r="I136" s="12">
        <f t="shared" si="2"/>
        <v>2098522</v>
      </c>
    </row>
    <row r="137" spans="1:9" s="13" customFormat="1" x14ac:dyDescent="0.35">
      <c r="A137" s="7" t="s">
        <v>290</v>
      </c>
      <c r="B137" s="8">
        <v>209058</v>
      </c>
      <c r="C137" s="8">
        <v>100000604</v>
      </c>
      <c r="D137" s="9" t="s">
        <v>291</v>
      </c>
      <c r="E137" s="9" t="s">
        <v>12</v>
      </c>
      <c r="F137" s="10" t="s">
        <v>13</v>
      </c>
      <c r="G137" s="10">
        <v>9150</v>
      </c>
      <c r="H137" s="11">
        <v>583</v>
      </c>
      <c r="I137" s="12">
        <f t="shared" si="2"/>
        <v>5334450</v>
      </c>
    </row>
    <row r="138" spans="1:9" s="13" customFormat="1" x14ac:dyDescent="0.35">
      <c r="A138" s="7" t="s">
        <v>292</v>
      </c>
      <c r="B138" s="8">
        <v>102144</v>
      </c>
      <c r="C138" s="8">
        <v>100000618</v>
      </c>
      <c r="D138" s="9" t="s">
        <v>293</v>
      </c>
      <c r="E138" s="9" t="s">
        <v>12</v>
      </c>
      <c r="F138" s="10" t="s">
        <v>16</v>
      </c>
      <c r="G138" s="10">
        <v>1236</v>
      </c>
      <c r="H138" s="11">
        <v>18</v>
      </c>
      <c r="I138" s="12">
        <f t="shared" si="2"/>
        <v>22248</v>
      </c>
    </row>
    <row r="139" spans="1:9" s="13" customFormat="1" x14ac:dyDescent="0.35">
      <c r="A139" s="7" t="s">
        <v>294</v>
      </c>
      <c r="B139" s="8">
        <v>106066</v>
      </c>
      <c r="C139" s="8">
        <v>100002229</v>
      </c>
      <c r="D139" s="9" t="s">
        <v>295</v>
      </c>
      <c r="E139" s="9" t="s">
        <v>31</v>
      </c>
      <c r="F139" s="10" t="s">
        <v>16</v>
      </c>
      <c r="G139" s="10">
        <v>99</v>
      </c>
      <c r="H139" s="11">
        <v>3832</v>
      </c>
      <c r="I139" s="12">
        <f t="shared" si="2"/>
        <v>379368</v>
      </c>
    </row>
    <row r="140" spans="1:9" s="13" customFormat="1" x14ac:dyDescent="0.35">
      <c r="A140" s="7" t="s">
        <v>296</v>
      </c>
      <c r="B140" s="8">
        <v>102007</v>
      </c>
      <c r="C140" s="8">
        <v>100000628</v>
      </c>
      <c r="D140" s="9" t="s">
        <v>297</v>
      </c>
      <c r="E140" s="9" t="s">
        <v>31</v>
      </c>
      <c r="F140" s="10" t="s">
        <v>16</v>
      </c>
      <c r="G140" s="10">
        <v>1176</v>
      </c>
      <c r="H140" s="11">
        <v>203</v>
      </c>
      <c r="I140" s="12">
        <f t="shared" si="2"/>
        <v>238728</v>
      </c>
    </row>
    <row r="141" spans="1:9" s="13" customFormat="1" x14ac:dyDescent="0.35">
      <c r="A141" s="7" t="s">
        <v>298</v>
      </c>
      <c r="B141" s="8">
        <v>102034</v>
      </c>
      <c r="C141" s="8">
        <v>100000629</v>
      </c>
      <c r="D141" s="9" t="s">
        <v>299</v>
      </c>
      <c r="E141" s="9" t="s">
        <v>31</v>
      </c>
      <c r="F141" s="10" t="s">
        <v>16</v>
      </c>
      <c r="G141" s="10">
        <v>2341</v>
      </c>
      <c r="H141" s="11">
        <v>226</v>
      </c>
      <c r="I141" s="12">
        <f t="shared" si="2"/>
        <v>529066</v>
      </c>
    </row>
    <row r="142" spans="1:9" s="13" customFormat="1" x14ac:dyDescent="0.35">
      <c r="A142" s="7" t="s">
        <v>300</v>
      </c>
      <c r="B142" s="8">
        <v>102033</v>
      </c>
      <c r="C142" s="8">
        <v>100002164</v>
      </c>
      <c r="D142" s="9" t="s">
        <v>301</v>
      </c>
      <c r="E142" s="9" t="s">
        <v>121</v>
      </c>
      <c r="F142" s="10" t="s">
        <v>16</v>
      </c>
      <c r="G142" s="10">
        <v>352</v>
      </c>
      <c r="H142" s="11">
        <v>3296</v>
      </c>
      <c r="I142" s="12">
        <f t="shared" si="2"/>
        <v>1160192</v>
      </c>
    </row>
    <row r="143" spans="1:9" s="13" customFormat="1" x14ac:dyDescent="0.35">
      <c r="A143" s="7" t="s">
        <v>302</v>
      </c>
      <c r="B143" s="8">
        <v>209039</v>
      </c>
      <c r="C143" s="8">
        <v>100000635</v>
      </c>
      <c r="D143" s="9" t="s">
        <v>303</v>
      </c>
      <c r="E143" s="9" t="s">
        <v>39</v>
      </c>
      <c r="F143" s="10" t="s">
        <v>13</v>
      </c>
      <c r="G143" s="10">
        <v>955</v>
      </c>
      <c r="H143" s="11">
        <v>34773</v>
      </c>
      <c r="I143" s="12">
        <f t="shared" si="2"/>
        <v>33208215</v>
      </c>
    </row>
    <row r="144" spans="1:9" s="13" customFormat="1" x14ac:dyDescent="0.35">
      <c r="A144" s="7" t="s">
        <v>304</v>
      </c>
      <c r="B144" s="8">
        <v>102093</v>
      </c>
      <c r="C144" s="8">
        <v>100002903</v>
      </c>
      <c r="D144" s="9" t="s">
        <v>305</v>
      </c>
      <c r="E144" s="9" t="s">
        <v>31</v>
      </c>
      <c r="F144" s="10" t="s">
        <v>16</v>
      </c>
      <c r="G144" s="10">
        <v>8</v>
      </c>
      <c r="H144" s="11">
        <v>4305</v>
      </c>
      <c r="I144" s="12">
        <f t="shared" si="2"/>
        <v>34440</v>
      </c>
    </row>
    <row r="145" spans="1:9" s="13" customFormat="1" x14ac:dyDescent="0.35">
      <c r="A145" s="7" t="s">
        <v>306</v>
      </c>
      <c r="B145" s="8">
        <v>102069</v>
      </c>
      <c r="C145" s="8">
        <v>100000642</v>
      </c>
      <c r="D145" s="9" t="s">
        <v>307</v>
      </c>
      <c r="E145" s="9" t="s">
        <v>146</v>
      </c>
      <c r="F145" s="10" t="s">
        <v>16</v>
      </c>
      <c r="G145" s="10">
        <v>716</v>
      </c>
      <c r="H145" s="11">
        <v>101</v>
      </c>
      <c r="I145" s="12">
        <f t="shared" si="2"/>
        <v>72316</v>
      </c>
    </row>
    <row r="146" spans="1:9" s="13" customFormat="1" x14ac:dyDescent="0.35">
      <c r="A146" s="7" t="s">
        <v>308</v>
      </c>
      <c r="B146" s="8">
        <v>103018</v>
      </c>
      <c r="C146" s="8">
        <v>100000644</v>
      </c>
      <c r="D146" s="9" t="s">
        <v>309</v>
      </c>
      <c r="E146" s="9" t="s">
        <v>51</v>
      </c>
      <c r="F146" s="10" t="s">
        <v>16</v>
      </c>
      <c r="G146" s="10">
        <v>329</v>
      </c>
      <c r="H146" s="11">
        <v>107</v>
      </c>
      <c r="I146" s="12">
        <f t="shared" si="2"/>
        <v>35203</v>
      </c>
    </row>
    <row r="147" spans="1:9" s="13" customFormat="1" x14ac:dyDescent="0.35">
      <c r="A147" s="7" t="s">
        <v>310</v>
      </c>
      <c r="B147" s="8">
        <v>103019</v>
      </c>
      <c r="C147" s="8">
        <v>100000645</v>
      </c>
      <c r="D147" s="9" t="s">
        <v>311</v>
      </c>
      <c r="E147" s="9" t="s">
        <v>36</v>
      </c>
      <c r="F147" s="10" t="s">
        <v>16</v>
      </c>
      <c r="G147" s="10">
        <v>301</v>
      </c>
      <c r="H147" s="11">
        <v>1050</v>
      </c>
      <c r="I147" s="12">
        <f t="shared" si="2"/>
        <v>316050</v>
      </c>
    </row>
    <row r="148" spans="1:9" s="13" customFormat="1" x14ac:dyDescent="0.35">
      <c r="A148" s="7" t="s">
        <v>312</v>
      </c>
      <c r="B148" s="8">
        <v>102008</v>
      </c>
      <c r="C148" s="8">
        <v>100000649</v>
      </c>
      <c r="D148" s="9" t="s">
        <v>313</v>
      </c>
      <c r="E148" s="9" t="s">
        <v>31</v>
      </c>
      <c r="F148" s="10" t="s">
        <v>16</v>
      </c>
      <c r="G148" s="10">
        <v>23</v>
      </c>
      <c r="H148" s="11">
        <v>655</v>
      </c>
      <c r="I148" s="12">
        <f t="shared" si="2"/>
        <v>15065</v>
      </c>
    </row>
    <row r="149" spans="1:9" s="13" customFormat="1" x14ac:dyDescent="0.35">
      <c r="A149" s="7" t="s">
        <v>314</v>
      </c>
      <c r="B149" s="8">
        <v>101027</v>
      </c>
      <c r="C149" s="8">
        <v>100003448</v>
      </c>
      <c r="D149" s="9" t="s">
        <v>315</v>
      </c>
      <c r="E149" s="9" t="s">
        <v>36</v>
      </c>
      <c r="F149" s="10" t="s">
        <v>13</v>
      </c>
      <c r="G149" s="10">
        <v>1038</v>
      </c>
      <c r="H149" s="11">
        <v>4046</v>
      </c>
      <c r="I149" s="12">
        <f t="shared" si="2"/>
        <v>4199748</v>
      </c>
    </row>
    <row r="150" spans="1:9" s="13" customFormat="1" x14ac:dyDescent="0.35">
      <c r="A150" s="7" t="s">
        <v>316</v>
      </c>
      <c r="B150" s="8">
        <v>106021</v>
      </c>
      <c r="C150" s="8">
        <v>100000669</v>
      </c>
      <c r="D150" s="9" t="s">
        <v>317</v>
      </c>
      <c r="E150" s="9" t="s">
        <v>31</v>
      </c>
      <c r="F150" s="10" t="s">
        <v>16</v>
      </c>
      <c r="G150" s="10">
        <v>279</v>
      </c>
      <c r="H150" s="11">
        <v>500</v>
      </c>
      <c r="I150" s="12">
        <f t="shared" si="2"/>
        <v>139500</v>
      </c>
    </row>
    <row r="151" spans="1:9" s="13" customFormat="1" x14ac:dyDescent="0.35">
      <c r="A151" s="7" t="s">
        <v>318</v>
      </c>
      <c r="B151" s="8">
        <v>104014</v>
      </c>
      <c r="C151" s="8">
        <v>100000688</v>
      </c>
      <c r="D151" s="9" t="s">
        <v>319</v>
      </c>
      <c r="E151" s="9" t="s">
        <v>146</v>
      </c>
      <c r="F151" s="10" t="s">
        <v>16</v>
      </c>
      <c r="G151" s="10">
        <v>11900</v>
      </c>
      <c r="H151" s="11">
        <v>70</v>
      </c>
      <c r="I151" s="12">
        <f t="shared" si="2"/>
        <v>833000</v>
      </c>
    </row>
    <row r="152" spans="1:9" s="13" customFormat="1" x14ac:dyDescent="0.35">
      <c r="A152" s="7" t="s">
        <v>320</v>
      </c>
      <c r="B152" s="8">
        <v>106024</v>
      </c>
      <c r="C152" s="8">
        <v>100000693</v>
      </c>
      <c r="D152" s="9" t="s">
        <v>321</v>
      </c>
      <c r="E152" s="9" t="s">
        <v>31</v>
      </c>
      <c r="F152" s="10" t="s">
        <v>16</v>
      </c>
      <c r="G152" s="10">
        <v>466</v>
      </c>
      <c r="H152" s="11">
        <v>74</v>
      </c>
      <c r="I152" s="12">
        <f t="shared" si="2"/>
        <v>34484</v>
      </c>
    </row>
    <row r="153" spans="1:9" s="13" customFormat="1" x14ac:dyDescent="0.35">
      <c r="A153" s="7" t="s">
        <v>322</v>
      </c>
      <c r="B153" s="8">
        <v>104016</v>
      </c>
      <c r="C153" s="8">
        <v>100000694</v>
      </c>
      <c r="D153" s="9" t="s">
        <v>323</v>
      </c>
      <c r="E153" s="9" t="s">
        <v>12</v>
      </c>
      <c r="F153" s="10" t="s">
        <v>16</v>
      </c>
      <c r="G153" s="10">
        <v>5182</v>
      </c>
      <c r="H153" s="11">
        <v>14</v>
      </c>
      <c r="I153" s="12">
        <f t="shared" si="2"/>
        <v>72548</v>
      </c>
    </row>
    <row r="154" spans="1:9" s="13" customFormat="1" x14ac:dyDescent="0.35">
      <c r="A154" s="7" t="s">
        <v>324</v>
      </c>
      <c r="B154" s="8">
        <v>102177</v>
      </c>
      <c r="C154" s="8">
        <v>100000697</v>
      </c>
      <c r="D154" s="9" t="s">
        <v>325</v>
      </c>
      <c r="E154" s="9" t="s">
        <v>146</v>
      </c>
      <c r="F154" s="10" t="s">
        <v>16</v>
      </c>
      <c r="G154" s="10">
        <v>799</v>
      </c>
      <c r="H154" s="11">
        <v>66</v>
      </c>
      <c r="I154" s="12">
        <f t="shared" si="2"/>
        <v>52734</v>
      </c>
    </row>
    <row r="155" spans="1:9" s="13" customFormat="1" x14ac:dyDescent="0.35">
      <c r="A155" s="7" t="s">
        <v>326</v>
      </c>
      <c r="B155" s="8">
        <v>209155</v>
      </c>
      <c r="C155" s="8">
        <v>100004642</v>
      </c>
      <c r="D155" s="9" t="s">
        <v>327</v>
      </c>
      <c r="E155" s="9" t="s">
        <v>12</v>
      </c>
      <c r="F155" s="10" t="s">
        <v>13</v>
      </c>
      <c r="G155" s="10">
        <v>30</v>
      </c>
      <c r="H155" s="11">
        <v>3451</v>
      </c>
      <c r="I155" s="12">
        <f t="shared" si="2"/>
        <v>103530</v>
      </c>
    </row>
    <row r="156" spans="1:9" s="13" customFormat="1" ht="21" x14ac:dyDescent="0.35">
      <c r="A156" s="7" t="s">
        <v>328</v>
      </c>
      <c r="B156" s="8">
        <v>353005</v>
      </c>
      <c r="C156" s="8" t="s">
        <v>20</v>
      </c>
      <c r="D156" s="9" t="s">
        <v>329</v>
      </c>
      <c r="E156" s="9" t="s">
        <v>330</v>
      </c>
      <c r="F156" s="10" t="s">
        <v>13</v>
      </c>
      <c r="G156" s="10">
        <v>128</v>
      </c>
      <c r="H156" s="11">
        <v>4522</v>
      </c>
      <c r="I156" s="12">
        <f t="shared" si="2"/>
        <v>578816</v>
      </c>
    </row>
    <row r="157" spans="1:9" s="13" customFormat="1" x14ac:dyDescent="0.35">
      <c r="A157" s="7" t="s">
        <v>331</v>
      </c>
      <c r="B157" s="8">
        <v>209051</v>
      </c>
      <c r="C157" s="8">
        <v>100006810</v>
      </c>
      <c r="D157" s="9" t="s">
        <v>332</v>
      </c>
      <c r="E157" s="9" t="s">
        <v>36</v>
      </c>
      <c r="F157" s="10" t="s">
        <v>13</v>
      </c>
      <c r="G157" s="10">
        <v>341</v>
      </c>
      <c r="H157" s="11">
        <v>22491</v>
      </c>
      <c r="I157" s="12">
        <f t="shared" si="2"/>
        <v>7669431</v>
      </c>
    </row>
    <row r="158" spans="1:9" s="13" customFormat="1" x14ac:dyDescent="0.35">
      <c r="A158" s="7" t="s">
        <v>333</v>
      </c>
      <c r="B158" s="8">
        <v>103020</v>
      </c>
      <c r="C158" s="8">
        <v>100000715</v>
      </c>
      <c r="D158" s="9" t="s">
        <v>334</v>
      </c>
      <c r="E158" s="9" t="s">
        <v>31</v>
      </c>
      <c r="F158" s="10" t="s">
        <v>16</v>
      </c>
      <c r="G158" s="10">
        <v>48</v>
      </c>
      <c r="H158" s="11">
        <v>131</v>
      </c>
      <c r="I158" s="12">
        <f t="shared" si="2"/>
        <v>6288</v>
      </c>
    </row>
    <row r="159" spans="1:9" s="13" customFormat="1" x14ac:dyDescent="0.35">
      <c r="A159" s="7" t="s">
        <v>335</v>
      </c>
      <c r="B159" s="8">
        <v>108002</v>
      </c>
      <c r="C159" s="8">
        <v>100000729</v>
      </c>
      <c r="D159" s="9" t="s">
        <v>336</v>
      </c>
      <c r="E159" s="9" t="s">
        <v>337</v>
      </c>
      <c r="F159" s="10" t="s">
        <v>16</v>
      </c>
      <c r="G159" s="10">
        <v>87</v>
      </c>
      <c r="H159" s="11">
        <v>1250</v>
      </c>
      <c r="I159" s="12">
        <f t="shared" si="2"/>
        <v>108750</v>
      </c>
    </row>
    <row r="160" spans="1:9" s="13" customFormat="1" x14ac:dyDescent="0.35">
      <c r="A160" s="7" t="s">
        <v>338</v>
      </c>
      <c r="B160" s="8">
        <v>108003</v>
      </c>
      <c r="C160" s="8">
        <v>100000727</v>
      </c>
      <c r="D160" s="9" t="s">
        <v>339</v>
      </c>
      <c r="E160" s="9" t="s">
        <v>44</v>
      </c>
      <c r="F160" s="10" t="s">
        <v>16</v>
      </c>
      <c r="G160" s="10">
        <v>4</v>
      </c>
      <c r="H160" s="11">
        <v>655</v>
      </c>
      <c r="I160" s="12">
        <f t="shared" si="2"/>
        <v>2620</v>
      </c>
    </row>
    <row r="161" spans="1:9" s="13" customFormat="1" x14ac:dyDescent="0.35">
      <c r="A161" s="7" t="s">
        <v>340</v>
      </c>
      <c r="B161" s="8">
        <v>106025</v>
      </c>
      <c r="C161" s="8">
        <v>100000730</v>
      </c>
      <c r="D161" s="9" t="s">
        <v>341</v>
      </c>
      <c r="E161" s="9" t="s">
        <v>31</v>
      </c>
      <c r="F161" s="10" t="s">
        <v>16</v>
      </c>
      <c r="G161" s="10">
        <v>8</v>
      </c>
      <c r="H161" s="11">
        <v>571</v>
      </c>
      <c r="I161" s="12">
        <f t="shared" si="2"/>
        <v>4568</v>
      </c>
    </row>
    <row r="162" spans="1:9" s="13" customFormat="1" x14ac:dyDescent="0.35">
      <c r="A162" s="7" t="s">
        <v>342</v>
      </c>
      <c r="B162" s="8">
        <v>108004</v>
      </c>
      <c r="C162" s="8">
        <v>100002361</v>
      </c>
      <c r="D162" s="9" t="s">
        <v>343</v>
      </c>
      <c r="E162" s="9" t="s">
        <v>44</v>
      </c>
      <c r="F162" s="10" t="s">
        <v>16</v>
      </c>
      <c r="G162" s="10">
        <v>24</v>
      </c>
      <c r="H162" s="11">
        <v>928</v>
      </c>
      <c r="I162" s="12">
        <f t="shared" si="2"/>
        <v>22272</v>
      </c>
    </row>
    <row r="163" spans="1:9" s="13" customFormat="1" x14ac:dyDescent="0.35">
      <c r="A163" s="7" t="s">
        <v>344</v>
      </c>
      <c r="B163" s="8">
        <v>108026</v>
      </c>
      <c r="C163" s="8" t="s">
        <v>20</v>
      </c>
      <c r="D163" s="9" t="s">
        <v>345</v>
      </c>
      <c r="E163" s="9" t="s">
        <v>44</v>
      </c>
      <c r="F163" s="10" t="s">
        <v>16</v>
      </c>
      <c r="G163" s="10">
        <v>44</v>
      </c>
      <c r="H163" s="11">
        <v>740</v>
      </c>
      <c r="I163" s="12">
        <f t="shared" si="2"/>
        <v>32560</v>
      </c>
    </row>
    <row r="164" spans="1:9" s="13" customFormat="1" x14ac:dyDescent="0.35">
      <c r="A164" s="7" t="s">
        <v>346</v>
      </c>
      <c r="B164" s="8">
        <v>108027</v>
      </c>
      <c r="C164" s="8">
        <v>100000726</v>
      </c>
      <c r="D164" s="9" t="s">
        <v>347</v>
      </c>
      <c r="E164" s="9" t="s">
        <v>44</v>
      </c>
      <c r="F164" s="10" t="s">
        <v>16</v>
      </c>
      <c r="G164" s="10">
        <v>136</v>
      </c>
      <c r="H164" s="11">
        <v>1035</v>
      </c>
      <c r="I164" s="12">
        <f t="shared" si="2"/>
        <v>140760</v>
      </c>
    </row>
    <row r="165" spans="1:9" s="13" customFormat="1" x14ac:dyDescent="0.35">
      <c r="A165" s="7" t="s">
        <v>348</v>
      </c>
      <c r="B165" s="8">
        <v>108006</v>
      </c>
      <c r="C165" s="8">
        <v>100000721</v>
      </c>
      <c r="D165" s="9" t="s">
        <v>349</v>
      </c>
      <c r="E165" s="9" t="s">
        <v>44</v>
      </c>
      <c r="F165" s="10" t="s">
        <v>16</v>
      </c>
      <c r="G165" s="10">
        <v>110</v>
      </c>
      <c r="H165" s="11">
        <v>696</v>
      </c>
      <c r="I165" s="12">
        <f t="shared" si="2"/>
        <v>76560</v>
      </c>
    </row>
    <row r="166" spans="1:9" s="13" customFormat="1" x14ac:dyDescent="0.35">
      <c r="A166" s="7" t="s">
        <v>350</v>
      </c>
      <c r="B166" s="8">
        <v>108010</v>
      </c>
      <c r="C166" s="8">
        <v>100000733</v>
      </c>
      <c r="D166" s="9" t="s">
        <v>351</v>
      </c>
      <c r="E166" s="9" t="s">
        <v>44</v>
      </c>
      <c r="F166" s="10" t="s">
        <v>16</v>
      </c>
      <c r="G166" s="10">
        <v>131</v>
      </c>
      <c r="H166" s="11">
        <v>714</v>
      </c>
      <c r="I166" s="12">
        <f t="shared" si="2"/>
        <v>93534</v>
      </c>
    </row>
    <row r="167" spans="1:9" s="13" customFormat="1" x14ac:dyDescent="0.35">
      <c r="A167" s="7" t="s">
        <v>352</v>
      </c>
      <c r="B167" s="8">
        <v>108009</v>
      </c>
      <c r="C167" s="8">
        <v>100000735</v>
      </c>
      <c r="D167" s="9" t="s">
        <v>353</v>
      </c>
      <c r="E167" s="9" t="s">
        <v>44</v>
      </c>
      <c r="F167" s="10" t="s">
        <v>16</v>
      </c>
      <c r="G167" s="10">
        <v>335</v>
      </c>
      <c r="H167" s="11">
        <v>696</v>
      </c>
      <c r="I167" s="12">
        <f t="shared" si="2"/>
        <v>233160</v>
      </c>
    </row>
    <row r="168" spans="1:9" s="13" customFormat="1" x14ac:dyDescent="0.35">
      <c r="A168" s="7" t="s">
        <v>354</v>
      </c>
      <c r="B168" s="8">
        <v>209148</v>
      </c>
      <c r="C168" s="8">
        <v>100002337</v>
      </c>
      <c r="D168" s="9" t="s">
        <v>355</v>
      </c>
      <c r="E168" s="9" t="s">
        <v>39</v>
      </c>
      <c r="F168" s="10" t="s">
        <v>13</v>
      </c>
      <c r="G168" s="10">
        <v>170</v>
      </c>
      <c r="H168" s="11">
        <v>89726</v>
      </c>
      <c r="I168" s="12">
        <f t="shared" si="2"/>
        <v>15253420</v>
      </c>
    </row>
    <row r="169" spans="1:9" s="13" customFormat="1" x14ac:dyDescent="0.35">
      <c r="A169" s="7" t="s">
        <v>356</v>
      </c>
      <c r="B169" s="8">
        <v>104017</v>
      </c>
      <c r="C169" s="8">
        <v>100000764</v>
      </c>
      <c r="D169" s="9" t="s">
        <v>357</v>
      </c>
      <c r="E169" s="9" t="s">
        <v>12</v>
      </c>
      <c r="F169" s="10" t="s">
        <v>16</v>
      </c>
      <c r="G169" s="10">
        <v>414</v>
      </c>
      <c r="H169" s="11">
        <v>84</v>
      </c>
      <c r="I169" s="12">
        <f t="shared" si="2"/>
        <v>34776</v>
      </c>
    </row>
    <row r="170" spans="1:9" s="13" customFormat="1" x14ac:dyDescent="0.35">
      <c r="A170" s="7" t="s">
        <v>358</v>
      </c>
      <c r="B170" s="8">
        <v>106026</v>
      </c>
      <c r="C170" s="8">
        <v>100000763</v>
      </c>
      <c r="D170" s="9" t="s">
        <v>359</v>
      </c>
      <c r="E170" s="9" t="s">
        <v>31</v>
      </c>
      <c r="F170" s="10" t="s">
        <v>16</v>
      </c>
      <c r="G170" s="10">
        <v>534</v>
      </c>
      <c r="H170" s="11">
        <v>125</v>
      </c>
      <c r="I170" s="12">
        <f t="shared" si="2"/>
        <v>66750</v>
      </c>
    </row>
    <row r="171" spans="1:9" s="13" customFormat="1" x14ac:dyDescent="0.35">
      <c r="A171" s="7" t="s">
        <v>360</v>
      </c>
      <c r="B171" s="8">
        <v>106027</v>
      </c>
      <c r="C171" s="8">
        <v>100000766</v>
      </c>
      <c r="D171" s="9" t="s">
        <v>361</v>
      </c>
      <c r="E171" s="9" t="s">
        <v>36</v>
      </c>
      <c r="F171" s="10" t="s">
        <v>16</v>
      </c>
      <c r="G171" s="10">
        <v>529</v>
      </c>
      <c r="H171" s="11">
        <v>2678</v>
      </c>
      <c r="I171" s="12">
        <f t="shared" si="2"/>
        <v>1416662</v>
      </c>
    </row>
    <row r="172" spans="1:9" s="13" customFormat="1" x14ac:dyDescent="0.35">
      <c r="A172" s="7" t="s">
        <v>362</v>
      </c>
      <c r="B172" s="8">
        <v>104035</v>
      </c>
      <c r="C172" s="8">
        <v>100000769</v>
      </c>
      <c r="D172" s="9" t="s">
        <v>363</v>
      </c>
      <c r="E172" s="9" t="s">
        <v>12</v>
      </c>
      <c r="F172" s="10" t="s">
        <v>16</v>
      </c>
      <c r="G172" s="10">
        <v>853</v>
      </c>
      <c r="H172" s="11">
        <v>8</v>
      </c>
      <c r="I172" s="12">
        <f t="shared" si="2"/>
        <v>6824</v>
      </c>
    </row>
    <row r="173" spans="1:9" s="13" customFormat="1" x14ac:dyDescent="0.35">
      <c r="A173" s="7" t="s">
        <v>364</v>
      </c>
      <c r="B173" s="8">
        <v>102190</v>
      </c>
      <c r="C173" s="8">
        <v>100000771</v>
      </c>
      <c r="D173" s="9" t="s">
        <v>365</v>
      </c>
      <c r="E173" s="9" t="s">
        <v>22</v>
      </c>
      <c r="F173" s="10" t="s">
        <v>16</v>
      </c>
      <c r="G173" s="10">
        <v>49</v>
      </c>
      <c r="H173" s="11">
        <v>768</v>
      </c>
      <c r="I173" s="12">
        <f t="shared" si="2"/>
        <v>37632</v>
      </c>
    </row>
    <row r="174" spans="1:9" s="13" customFormat="1" x14ac:dyDescent="0.35">
      <c r="A174" s="7" t="s">
        <v>366</v>
      </c>
      <c r="B174" s="8">
        <v>106028</v>
      </c>
      <c r="C174" s="8">
        <v>100000772</v>
      </c>
      <c r="D174" s="9" t="s">
        <v>367</v>
      </c>
      <c r="E174" s="9" t="s">
        <v>36</v>
      </c>
      <c r="F174" s="10" t="s">
        <v>16</v>
      </c>
      <c r="G174" s="10">
        <v>304</v>
      </c>
      <c r="H174" s="11">
        <v>417</v>
      </c>
      <c r="I174" s="12">
        <f t="shared" si="2"/>
        <v>126768</v>
      </c>
    </row>
    <row r="175" spans="1:9" s="13" customFormat="1" x14ac:dyDescent="0.35">
      <c r="A175" s="7" t="s">
        <v>368</v>
      </c>
      <c r="B175" s="8">
        <v>209164</v>
      </c>
      <c r="C175" s="8">
        <v>100000776</v>
      </c>
      <c r="D175" s="9" t="s">
        <v>369</v>
      </c>
      <c r="E175" s="9" t="s">
        <v>51</v>
      </c>
      <c r="F175" s="10" t="s">
        <v>13</v>
      </c>
      <c r="G175" s="10">
        <v>456</v>
      </c>
      <c r="H175" s="11">
        <v>353</v>
      </c>
      <c r="I175" s="12">
        <f t="shared" si="2"/>
        <v>160968</v>
      </c>
    </row>
    <row r="176" spans="1:9" s="13" customFormat="1" x14ac:dyDescent="0.35">
      <c r="A176" s="7" t="s">
        <v>370</v>
      </c>
      <c r="B176" s="8">
        <v>106094</v>
      </c>
      <c r="C176" s="8">
        <v>100000777</v>
      </c>
      <c r="D176" s="9" t="s">
        <v>371</v>
      </c>
      <c r="E176" s="9" t="s">
        <v>31</v>
      </c>
      <c r="F176" s="10" t="s">
        <v>16</v>
      </c>
      <c r="G176" s="10">
        <v>29</v>
      </c>
      <c r="H176" s="11">
        <v>619</v>
      </c>
      <c r="I176" s="12">
        <f t="shared" si="2"/>
        <v>17951</v>
      </c>
    </row>
    <row r="177" spans="1:9" s="13" customFormat="1" x14ac:dyDescent="0.35">
      <c r="A177" s="7" t="s">
        <v>372</v>
      </c>
      <c r="B177" s="8">
        <v>104018</v>
      </c>
      <c r="C177" s="8">
        <v>100000806</v>
      </c>
      <c r="D177" s="9" t="s">
        <v>373</v>
      </c>
      <c r="E177" s="9" t="s">
        <v>12</v>
      </c>
      <c r="F177" s="10" t="s">
        <v>16</v>
      </c>
      <c r="G177" s="10">
        <v>7525</v>
      </c>
      <c r="H177" s="11">
        <v>17</v>
      </c>
      <c r="I177" s="12">
        <f t="shared" si="2"/>
        <v>127925</v>
      </c>
    </row>
    <row r="178" spans="1:9" s="13" customFormat="1" x14ac:dyDescent="0.35">
      <c r="A178" s="7" t="s">
        <v>374</v>
      </c>
      <c r="B178" s="8">
        <v>209059</v>
      </c>
      <c r="C178" s="8">
        <v>100002238</v>
      </c>
      <c r="D178" s="9" t="s">
        <v>375</v>
      </c>
      <c r="E178" s="9" t="s">
        <v>36</v>
      </c>
      <c r="F178" s="10" t="s">
        <v>13</v>
      </c>
      <c r="G178" s="10">
        <v>1037</v>
      </c>
      <c r="H178" s="11">
        <v>55066</v>
      </c>
      <c r="I178" s="12">
        <f t="shared" si="2"/>
        <v>57103442</v>
      </c>
    </row>
    <row r="179" spans="1:9" s="13" customFormat="1" x14ac:dyDescent="0.35">
      <c r="A179" s="7" t="s">
        <v>376</v>
      </c>
      <c r="B179" s="8">
        <v>101017</v>
      </c>
      <c r="C179" s="8">
        <v>100000809</v>
      </c>
      <c r="D179" s="9" t="s">
        <v>377</v>
      </c>
      <c r="E179" s="9" t="s">
        <v>12</v>
      </c>
      <c r="F179" s="10" t="s">
        <v>13</v>
      </c>
      <c r="G179" s="10">
        <v>660</v>
      </c>
      <c r="H179" s="11">
        <v>1663</v>
      </c>
      <c r="I179" s="12">
        <f t="shared" si="2"/>
        <v>1097580</v>
      </c>
    </row>
    <row r="180" spans="1:9" s="13" customFormat="1" x14ac:dyDescent="0.35">
      <c r="A180" s="7" t="s">
        <v>378</v>
      </c>
      <c r="B180" s="8">
        <v>101015</v>
      </c>
      <c r="C180" s="8">
        <v>100002047</v>
      </c>
      <c r="D180" s="9" t="s">
        <v>379</v>
      </c>
      <c r="E180" s="9" t="s">
        <v>12</v>
      </c>
      <c r="F180" s="10" t="s">
        <v>13</v>
      </c>
      <c r="G180" s="10">
        <v>2760</v>
      </c>
      <c r="H180" s="11">
        <v>771</v>
      </c>
      <c r="I180" s="12">
        <f t="shared" si="2"/>
        <v>2127960</v>
      </c>
    </row>
    <row r="181" spans="1:9" s="13" customFormat="1" x14ac:dyDescent="0.35">
      <c r="A181" s="7" t="s">
        <v>380</v>
      </c>
      <c r="B181" s="8">
        <v>103029</v>
      </c>
      <c r="C181" s="8">
        <v>100000810</v>
      </c>
      <c r="D181" s="9" t="s">
        <v>381</v>
      </c>
      <c r="E181" s="9" t="s">
        <v>36</v>
      </c>
      <c r="F181" s="10" t="s">
        <v>16</v>
      </c>
      <c r="G181" s="10">
        <v>23</v>
      </c>
      <c r="H181" s="11">
        <v>2975</v>
      </c>
      <c r="I181" s="12">
        <f t="shared" si="2"/>
        <v>68425</v>
      </c>
    </row>
    <row r="182" spans="1:9" s="13" customFormat="1" x14ac:dyDescent="0.35">
      <c r="A182" s="7" t="s">
        <v>382</v>
      </c>
      <c r="B182" s="8">
        <v>102158</v>
      </c>
      <c r="C182" s="8" t="s">
        <v>20</v>
      </c>
      <c r="D182" s="9" t="s">
        <v>383</v>
      </c>
      <c r="E182" s="9" t="s">
        <v>22</v>
      </c>
      <c r="F182" s="10" t="s">
        <v>16</v>
      </c>
      <c r="G182" s="10">
        <v>7</v>
      </c>
      <c r="H182" s="11">
        <v>13792</v>
      </c>
      <c r="I182" s="12">
        <f t="shared" si="2"/>
        <v>96544</v>
      </c>
    </row>
    <row r="183" spans="1:9" s="13" customFormat="1" x14ac:dyDescent="0.35">
      <c r="A183" s="7" t="s">
        <v>384</v>
      </c>
      <c r="B183" s="8">
        <v>102192</v>
      </c>
      <c r="C183" s="8">
        <v>100004060</v>
      </c>
      <c r="D183" s="9" t="s">
        <v>385</v>
      </c>
      <c r="E183" s="9" t="s">
        <v>39</v>
      </c>
      <c r="F183" s="10" t="s">
        <v>16</v>
      </c>
      <c r="G183" s="10">
        <v>64</v>
      </c>
      <c r="H183" s="11">
        <v>16797</v>
      </c>
      <c r="I183" s="12">
        <f t="shared" si="2"/>
        <v>1075008</v>
      </c>
    </row>
    <row r="184" spans="1:9" s="13" customFormat="1" x14ac:dyDescent="0.35">
      <c r="A184" s="7" t="s">
        <v>386</v>
      </c>
      <c r="B184" s="8">
        <v>102193</v>
      </c>
      <c r="C184" s="8">
        <v>100006440</v>
      </c>
      <c r="D184" s="9" t="s">
        <v>387</v>
      </c>
      <c r="E184" s="9" t="s">
        <v>39</v>
      </c>
      <c r="F184" s="10" t="s">
        <v>16</v>
      </c>
      <c r="G184" s="10">
        <v>20</v>
      </c>
      <c r="H184" s="11">
        <v>4510</v>
      </c>
      <c r="I184" s="12">
        <f t="shared" si="2"/>
        <v>90200</v>
      </c>
    </row>
    <row r="185" spans="1:9" s="13" customFormat="1" x14ac:dyDescent="0.35">
      <c r="A185" s="7" t="s">
        <v>388</v>
      </c>
      <c r="B185" s="8">
        <v>106056</v>
      </c>
      <c r="C185" s="8">
        <v>100000822</v>
      </c>
      <c r="D185" s="9" t="s">
        <v>389</v>
      </c>
      <c r="E185" s="9" t="s">
        <v>36</v>
      </c>
      <c r="F185" s="10" t="s">
        <v>16</v>
      </c>
      <c r="G185" s="10">
        <v>33</v>
      </c>
      <c r="H185" s="11">
        <v>4986</v>
      </c>
      <c r="I185" s="12">
        <f t="shared" si="2"/>
        <v>164538</v>
      </c>
    </row>
    <row r="186" spans="1:9" s="13" customFormat="1" x14ac:dyDescent="0.35">
      <c r="A186" s="7" t="s">
        <v>390</v>
      </c>
      <c r="B186" s="8">
        <v>106057</v>
      </c>
      <c r="C186" s="8">
        <v>100000824</v>
      </c>
      <c r="D186" s="9" t="s">
        <v>391</v>
      </c>
      <c r="E186" s="9" t="s">
        <v>36</v>
      </c>
      <c r="F186" s="10" t="s">
        <v>16</v>
      </c>
      <c r="G186" s="10">
        <v>39</v>
      </c>
      <c r="H186" s="11">
        <v>4165</v>
      </c>
      <c r="I186" s="12">
        <f t="shared" si="2"/>
        <v>162435</v>
      </c>
    </row>
    <row r="187" spans="1:9" s="13" customFormat="1" x14ac:dyDescent="0.35">
      <c r="A187" s="7" t="s">
        <v>392</v>
      </c>
      <c r="B187" s="8">
        <v>102123</v>
      </c>
      <c r="C187" s="8">
        <v>100000830</v>
      </c>
      <c r="D187" s="9" t="s">
        <v>393</v>
      </c>
      <c r="E187" s="9" t="s">
        <v>62</v>
      </c>
      <c r="F187" s="10" t="s">
        <v>16</v>
      </c>
      <c r="G187" s="10">
        <v>49</v>
      </c>
      <c r="H187" s="11">
        <v>1904</v>
      </c>
      <c r="I187" s="12">
        <f t="shared" si="2"/>
        <v>93296</v>
      </c>
    </row>
    <row r="188" spans="1:9" s="13" customFormat="1" x14ac:dyDescent="0.35">
      <c r="A188" s="7" t="s">
        <v>394</v>
      </c>
      <c r="B188" s="8">
        <v>105018</v>
      </c>
      <c r="C188" s="8">
        <v>100000829</v>
      </c>
      <c r="D188" s="9" t="s">
        <v>395</v>
      </c>
      <c r="E188" s="9" t="s">
        <v>62</v>
      </c>
      <c r="F188" s="10" t="s">
        <v>16</v>
      </c>
      <c r="G188" s="10">
        <v>71</v>
      </c>
      <c r="H188" s="11">
        <v>5116</v>
      </c>
      <c r="I188" s="12">
        <f t="shared" si="2"/>
        <v>363236</v>
      </c>
    </row>
    <row r="189" spans="1:9" s="13" customFormat="1" x14ac:dyDescent="0.35">
      <c r="A189" s="7" t="s">
        <v>396</v>
      </c>
      <c r="B189" s="8">
        <v>209161</v>
      </c>
      <c r="C189" s="8">
        <v>100002241</v>
      </c>
      <c r="D189" s="9" t="s">
        <v>397</v>
      </c>
      <c r="E189" s="9" t="s">
        <v>36</v>
      </c>
      <c r="F189" s="10" t="s">
        <v>13</v>
      </c>
      <c r="G189" s="10">
        <v>142</v>
      </c>
      <c r="H189" s="11">
        <v>24752</v>
      </c>
      <c r="I189" s="12">
        <f t="shared" si="2"/>
        <v>3514784</v>
      </c>
    </row>
    <row r="190" spans="1:9" s="13" customFormat="1" x14ac:dyDescent="0.35">
      <c r="A190" s="7" t="s">
        <v>398</v>
      </c>
      <c r="B190" s="8">
        <v>106081</v>
      </c>
      <c r="C190" s="8">
        <v>100000865</v>
      </c>
      <c r="D190" s="9" t="s">
        <v>399</v>
      </c>
      <c r="E190" s="9" t="s">
        <v>36</v>
      </c>
      <c r="F190" s="10" t="s">
        <v>16</v>
      </c>
      <c r="G190" s="10">
        <v>28</v>
      </c>
      <c r="H190" s="11">
        <v>2694</v>
      </c>
      <c r="I190" s="12">
        <f t="shared" si="2"/>
        <v>75432</v>
      </c>
    </row>
    <row r="191" spans="1:9" s="13" customFormat="1" x14ac:dyDescent="0.35">
      <c r="A191" s="7" t="s">
        <v>400</v>
      </c>
      <c r="B191" s="8">
        <v>103034</v>
      </c>
      <c r="C191" s="8">
        <v>100000867</v>
      </c>
      <c r="D191" s="9" t="s">
        <v>401</v>
      </c>
      <c r="E191" s="9" t="s">
        <v>31</v>
      </c>
      <c r="F191" s="10" t="s">
        <v>16</v>
      </c>
      <c r="G191" s="10">
        <v>1560</v>
      </c>
      <c r="H191" s="11">
        <v>207</v>
      </c>
      <c r="I191" s="12">
        <f t="shared" si="2"/>
        <v>322920</v>
      </c>
    </row>
    <row r="192" spans="1:9" s="13" customFormat="1" x14ac:dyDescent="0.35">
      <c r="A192" s="7" t="s">
        <v>402</v>
      </c>
      <c r="B192" s="8">
        <v>102107</v>
      </c>
      <c r="C192" s="8">
        <v>100000870</v>
      </c>
      <c r="D192" s="9" t="s">
        <v>403</v>
      </c>
      <c r="E192" s="9" t="s">
        <v>12</v>
      </c>
      <c r="F192" s="10" t="s">
        <v>16</v>
      </c>
      <c r="G192" s="10">
        <v>2301</v>
      </c>
      <c r="H192" s="11">
        <v>42</v>
      </c>
      <c r="I192" s="12">
        <f t="shared" si="2"/>
        <v>96642</v>
      </c>
    </row>
    <row r="193" spans="1:9" s="13" customFormat="1" x14ac:dyDescent="0.35">
      <c r="A193" s="7" t="s">
        <v>404</v>
      </c>
      <c r="B193" s="8">
        <v>102040</v>
      </c>
      <c r="C193" s="8">
        <v>100000871</v>
      </c>
      <c r="D193" s="9" t="s">
        <v>405</v>
      </c>
      <c r="E193" s="9" t="s">
        <v>31</v>
      </c>
      <c r="F193" s="10" t="s">
        <v>16</v>
      </c>
      <c r="G193" s="10">
        <v>3587</v>
      </c>
      <c r="H193" s="11">
        <v>139</v>
      </c>
      <c r="I193" s="12">
        <f t="shared" si="2"/>
        <v>498593</v>
      </c>
    </row>
    <row r="194" spans="1:9" s="13" customFormat="1" x14ac:dyDescent="0.35">
      <c r="A194" s="7" t="s">
        <v>406</v>
      </c>
      <c r="B194" s="8">
        <v>106096</v>
      </c>
      <c r="C194" s="8">
        <v>100000892</v>
      </c>
      <c r="D194" s="9" t="s">
        <v>407</v>
      </c>
      <c r="E194" s="9" t="s">
        <v>31</v>
      </c>
      <c r="F194" s="10" t="s">
        <v>16</v>
      </c>
      <c r="G194" s="10">
        <v>27</v>
      </c>
      <c r="H194" s="11">
        <v>1940</v>
      </c>
      <c r="I194" s="12">
        <f t="shared" si="2"/>
        <v>52380</v>
      </c>
    </row>
    <row r="195" spans="1:9" s="13" customFormat="1" x14ac:dyDescent="0.35">
      <c r="A195" s="7" t="s">
        <v>408</v>
      </c>
      <c r="B195" s="8">
        <v>107006</v>
      </c>
      <c r="C195" s="8">
        <v>100000894</v>
      </c>
      <c r="D195" s="9" t="s">
        <v>409</v>
      </c>
      <c r="E195" s="9" t="s">
        <v>62</v>
      </c>
      <c r="F195" s="10" t="s">
        <v>16</v>
      </c>
      <c r="G195" s="10">
        <v>3987</v>
      </c>
      <c r="H195" s="11">
        <v>4126</v>
      </c>
      <c r="I195" s="12">
        <f t="shared" si="2"/>
        <v>16450362</v>
      </c>
    </row>
    <row r="196" spans="1:9" s="13" customFormat="1" x14ac:dyDescent="0.35">
      <c r="A196" s="7" t="s">
        <v>410</v>
      </c>
      <c r="B196" s="8">
        <v>106029</v>
      </c>
      <c r="C196" s="8">
        <v>100000901</v>
      </c>
      <c r="D196" s="9" t="s">
        <v>411</v>
      </c>
      <c r="E196" s="9" t="s">
        <v>31</v>
      </c>
      <c r="F196" s="10" t="s">
        <v>16</v>
      </c>
      <c r="G196" s="10">
        <v>2</v>
      </c>
      <c r="H196" s="11">
        <v>1512</v>
      </c>
      <c r="I196" s="12">
        <f t="shared" ref="I196:I259" si="3">G196*H196</f>
        <v>3024</v>
      </c>
    </row>
    <row r="197" spans="1:9" s="13" customFormat="1" x14ac:dyDescent="0.35">
      <c r="A197" s="7" t="s">
        <v>412</v>
      </c>
      <c r="B197" s="8">
        <v>101079</v>
      </c>
      <c r="C197" s="8" t="s">
        <v>20</v>
      </c>
      <c r="D197" s="9" t="s">
        <v>413</v>
      </c>
      <c r="E197" s="9" t="s">
        <v>51</v>
      </c>
      <c r="F197" s="10" t="s">
        <v>13</v>
      </c>
      <c r="G197" s="10">
        <v>210</v>
      </c>
      <c r="H197" s="11">
        <v>5831</v>
      </c>
      <c r="I197" s="12">
        <f t="shared" si="3"/>
        <v>1224510</v>
      </c>
    </row>
    <row r="198" spans="1:9" s="13" customFormat="1" x14ac:dyDescent="0.35">
      <c r="A198" s="7" t="s">
        <v>414</v>
      </c>
      <c r="B198" s="8">
        <v>101080</v>
      </c>
      <c r="C198" s="8">
        <v>100003431</v>
      </c>
      <c r="D198" s="9" t="s">
        <v>415</v>
      </c>
      <c r="E198" s="9" t="s">
        <v>51</v>
      </c>
      <c r="F198" s="10" t="s">
        <v>13</v>
      </c>
      <c r="G198" s="10">
        <v>2836</v>
      </c>
      <c r="H198" s="11">
        <v>2987</v>
      </c>
      <c r="I198" s="12">
        <f t="shared" si="3"/>
        <v>8471132</v>
      </c>
    </row>
    <row r="199" spans="1:9" s="13" customFormat="1" x14ac:dyDescent="0.35">
      <c r="A199" s="7" t="s">
        <v>416</v>
      </c>
      <c r="B199" s="8">
        <v>101099</v>
      </c>
      <c r="C199" s="8" t="s">
        <v>20</v>
      </c>
      <c r="D199" s="9" t="s">
        <v>417</v>
      </c>
      <c r="E199" s="9" t="s">
        <v>51</v>
      </c>
      <c r="F199" s="10" t="s">
        <v>13</v>
      </c>
      <c r="G199" s="10">
        <v>780</v>
      </c>
      <c r="H199" s="11">
        <v>36315</v>
      </c>
      <c r="I199" s="12">
        <f t="shared" si="3"/>
        <v>28325700</v>
      </c>
    </row>
    <row r="200" spans="1:9" s="13" customFormat="1" x14ac:dyDescent="0.35">
      <c r="A200" s="7" t="s">
        <v>418</v>
      </c>
      <c r="B200" s="8">
        <v>201028</v>
      </c>
      <c r="C200" s="8" t="s">
        <v>20</v>
      </c>
      <c r="D200" s="9" t="s">
        <v>419</v>
      </c>
      <c r="E200" s="9" t="s">
        <v>51</v>
      </c>
      <c r="F200" s="10" t="s">
        <v>13</v>
      </c>
      <c r="G200" s="10">
        <v>150</v>
      </c>
      <c r="H200" s="11">
        <v>32629</v>
      </c>
      <c r="I200" s="12">
        <f t="shared" si="3"/>
        <v>4894350</v>
      </c>
    </row>
    <row r="201" spans="1:9" s="13" customFormat="1" x14ac:dyDescent="0.35">
      <c r="A201" s="7" t="s">
        <v>420</v>
      </c>
      <c r="B201" s="8">
        <v>101028</v>
      </c>
      <c r="C201" s="8">
        <v>100000908</v>
      </c>
      <c r="D201" s="9" t="s">
        <v>421</v>
      </c>
      <c r="E201" s="9" t="s">
        <v>12</v>
      </c>
      <c r="F201" s="10" t="s">
        <v>13</v>
      </c>
      <c r="G201" s="10">
        <v>18930</v>
      </c>
      <c r="H201" s="11">
        <v>58</v>
      </c>
      <c r="I201" s="12">
        <f t="shared" si="3"/>
        <v>1097940</v>
      </c>
    </row>
    <row r="202" spans="1:9" s="13" customFormat="1" x14ac:dyDescent="0.35">
      <c r="A202" s="7" t="s">
        <v>422</v>
      </c>
      <c r="B202" s="8">
        <v>209160</v>
      </c>
      <c r="C202" s="8">
        <v>100003423</v>
      </c>
      <c r="D202" s="9" t="s">
        <v>423</v>
      </c>
      <c r="E202" s="9" t="s">
        <v>36</v>
      </c>
      <c r="F202" s="10" t="s">
        <v>13</v>
      </c>
      <c r="G202" s="10">
        <v>126</v>
      </c>
      <c r="H202" s="11">
        <v>6426</v>
      </c>
      <c r="I202" s="12">
        <f t="shared" si="3"/>
        <v>809676</v>
      </c>
    </row>
    <row r="203" spans="1:9" s="13" customFormat="1" x14ac:dyDescent="0.35">
      <c r="A203" s="7" t="s">
        <v>424</v>
      </c>
      <c r="B203" s="8">
        <v>102208</v>
      </c>
      <c r="C203" s="8">
        <v>100004372</v>
      </c>
      <c r="D203" s="9" t="s">
        <v>425</v>
      </c>
      <c r="E203" s="9" t="s">
        <v>36</v>
      </c>
      <c r="F203" s="10" t="s">
        <v>16</v>
      </c>
      <c r="G203" s="10">
        <v>0</v>
      </c>
      <c r="H203" s="11">
        <v>1684</v>
      </c>
      <c r="I203" s="12">
        <f t="shared" si="3"/>
        <v>0</v>
      </c>
    </row>
    <row r="204" spans="1:9" s="13" customFormat="1" x14ac:dyDescent="0.35">
      <c r="A204" s="7" t="s">
        <v>426</v>
      </c>
      <c r="B204" s="8">
        <v>102202</v>
      </c>
      <c r="C204" s="8">
        <v>100002070</v>
      </c>
      <c r="D204" s="9" t="s">
        <v>427</v>
      </c>
      <c r="E204" s="9" t="s">
        <v>12</v>
      </c>
      <c r="F204" s="10" t="s">
        <v>16</v>
      </c>
      <c r="G204" s="10">
        <v>0</v>
      </c>
      <c r="H204" s="11">
        <v>66</v>
      </c>
      <c r="I204" s="12">
        <f t="shared" si="3"/>
        <v>0</v>
      </c>
    </row>
    <row r="205" spans="1:9" s="13" customFormat="1" x14ac:dyDescent="0.35">
      <c r="A205" s="7" t="s">
        <v>428</v>
      </c>
      <c r="B205" s="8">
        <v>102183</v>
      </c>
      <c r="C205" s="8">
        <v>100003221</v>
      </c>
      <c r="D205" s="9" t="s">
        <v>429</v>
      </c>
      <c r="E205" s="9" t="s">
        <v>12</v>
      </c>
      <c r="F205" s="10" t="s">
        <v>16</v>
      </c>
      <c r="G205" s="10">
        <v>3363</v>
      </c>
      <c r="H205" s="11">
        <v>28</v>
      </c>
      <c r="I205" s="12">
        <f t="shared" si="3"/>
        <v>94164</v>
      </c>
    </row>
    <row r="206" spans="1:9" s="13" customFormat="1" x14ac:dyDescent="0.35">
      <c r="A206" s="7" t="s">
        <v>430</v>
      </c>
      <c r="B206" s="8">
        <v>102061</v>
      </c>
      <c r="C206" s="8">
        <v>100000964</v>
      </c>
      <c r="D206" s="9" t="s">
        <v>431</v>
      </c>
      <c r="E206" s="9" t="s">
        <v>12</v>
      </c>
      <c r="F206" s="10" t="s">
        <v>16</v>
      </c>
      <c r="G206" s="10">
        <v>1390</v>
      </c>
      <c r="H206" s="11">
        <v>9</v>
      </c>
      <c r="I206" s="12">
        <f t="shared" si="3"/>
        <v>12510</v>
      </c>
    </row>
    <row r="207" spans="1:9" s="13" customFormat="1" x14ac:dyDescent="0.35">
      <c r="A207" s="7" t="s">
        <v>432</v>
      </c>
      <c r="B207" s="8">
        <v>105004</v>
      </c>
      <c r="C207" s="8">
        <v>100001826</v>
      </c>
      <c r="D207" s="9" t="s">
        <v>433</v>
      </c>
      <c r="E207" s="9" t="s">
        <v>62</v>
      </c>
      <c r="F207" s="10" t="s">
        <v>16</v>
      </c>
      <c r="G207" s="10">
        <v>22</v>
      </c>
      <c r="H207" s="11">
        <v>8914</v>
      </c>
      <c r="I207" s="12">
        <f t="shared" si="3"/>
        <v>196108</v>
      </c>
    </row>
    <row r="208" spans="1:9" s="13" customFormat="1" x14ac:dyDescent="0.35">
      <c r="A208" s="7" t="s">
        <v>434</v>
      </c>
      <c r="B208" s="8">
        <v>106030</v>
      </c>
      <c r="C208" s="8">
        <v>100000918</v>
      </c>
      <c r="D208" s="9" t="s">
        <v>435</v>
      </c>
      <c r="E208" s="9" t="s">
        <v>31</v>
      </c>
      <c r="F208" s="10" t="s">
        <v>16</v>
      </c>
      <c r="G208" s="10">
        <v>2066</v>
      </c>
      <c r="H208" s="11">
        <v>250</v>
      </c>
      <c r="I208" s="12">
        <f t="shared" si="3"/>
        <v>516500</v>
      </c>
    </row>
    <row r="209" spans="1:9" s="13" customFormat="1" x14ac:dyDescent="0.35">
      <c r="A209" s="7" t="s">
        <v>436</v>
      </c>
      <c r="B209" s="8">
        <v>102164</v>
      </c>
      <c r="C209" s="8">
        <v>100000921</v>
      </c>
      <c r="D209" s="9" t="s">
        <v>437</v>
      </c>
      <c r="E209" s="9" t="s">
        <v>31</v>
      </c>
      <c r="F209" s="10" t="s">
        <v>16</v>
      </c>
      <c r="G209" s="10">
        <v>550</v>
      </c>
      <c r="H209" s="11">
        <v>358</v>
      </c>
      <c r="I209" s="12">
        <f t="shared" si="3"/>
        <v>196900</v>
      </c>
    </row>
    <row r="210" spans="1:9" s="13" customFormat="1" x14ac:dyDescent="0.35">
      <c r="A210" s="7" t="s">
        <v>438</v>
      </c>
      <c r="B210" s="8">
        <v>105005</v>
      </c>
      <c r="C210" s="8" t="s">
        <v>20</v>
      </c>
      <c r="D210" s="9" t="s">
        <v>439</v>
      </c>
      <c r="E210" s="9" t="s">
        <v>22</v>
      </c>
      <c r="F210" s="10" t="s">
        <v>16</v>
      </c>
      <c r="G210" s="10">
        <v>46</v>
      </c>
      <c r="H210" s="11">
        <v>5047</v>
      </c>
      <c r="I210" s="12">
        <f t="shared" si="3"/>
        <v>232162</v>
      </c>
    </row>
    <row r="211" spans="1:9" s="13" customFormat="1" x14ac:dyDescent="0.35">
      <c r="A211" s="7" t="s">
        <v>440</v>
      </c>
      <c r="B211" s="8">
        <v>105019</v>
      </c>
      <c r="C211" s="8">
        <v>100002244</v>
      </c>
      <c r="D211" s="9" t="s">
        <v>441</v>
      </c>
      <c r="E211" s="9" t="s">
        <v>121</v>
      </c>
      <c r="F211" s="10" t="s">
        <v>16</v>
      </c>
      <c r="G211" s="10">
        <v>1721</v>
      </c>
      <c r="H211" s="11">
        <v>1952</v>
      </c>
      <c r="I211" s="12">
        <f t="shared" si="3"/>
        <v>3359392</v>
      </c>
    </row>
    <row r="212" spans="1:9" s="19" customFormat="1" x14ac:dyDescent="0.35">
      <c r="A212" s="7" t="s">
        <v>442</v>
      </c>
      <c r="B212" s="14">
        <v>102213</v>
      </c>
      <c r="C212" s="14">
        <v>100000924</v>
      </c>
      <c r="D212" s="15" t="s">
        <v>443</v>
      </c>
      <c r="E212" s="15" t="s">
        <v>39</v>
      </c>
      <c r="F212" s="10" t="s">
        <v>16</v>
      </c>
      <c r="G212" s="16">
        <v>0</v>
      </c>
      <c r="H212" s="17">
        <v>4760</v>
      </c>
      <c r="I212" s="18">
        <f t="shared" si="3"/>
        <v>0</v>
      </c>
    </row>
    <row r="213" spans="1:9" s="13" customFormat="1" x14ac:dyDescent="0.35">
      <c r="A213" s="7" t="s">
        <v>444</v>
      </c>
      <c r="B213" s="8">
        <v>103051</v>
      </c>
      <c r="C213" s="8">
        <v>100002049</v>
      </c>
      <c r="D213" s="9" t="s">
        <v>445</v>
      </c>
      <c r="E213" s="9" t="s">
        <v>44</v>
      </c>
      <c r="F213" s="10" t="s">
        <v>16</v>
      </c>
      <c r="G213" s="10">
        <v>221</v>
      </c>
      <c r="H213" s="11">
        <v>4879</v>
      </c>
      <c r="I213" s="12">
        <f t="shared" si="3"/>
        <v>1078259</v>
      </c>
    </row>
    <row r="214" spans="1:9" s="13" customFormat="1" x14ac:dyDescent="0.35">
      <c r="A214" s="7" t="s">
        <v>446</v>
      </c>
      <c r="B214" s="8">
        <v>422001</v>
      </c>
      <c r="C214" s="8">
        <v>100005505</v>
      </c>
      <c r="D214" s="9" t="s">
        <v>447</v>
      </c>
      <c r="E214" s="9" t="s">
        <v>39</v>
      </c>
      <c r="F214" s="10" t="s">
        <v>13</v>
      </c>
      <c r="G214" s="10">
        <v>402</v>
      </c>
      <c r="H214" s="11">
        <v>392700</v>
      </c>
      <c r="I214" s="12">
        <f t="shared" si="3"/>
        <v>157865400</v>
      </c>
    </row>
    <row r="215" spans="1:9" s="13" customFormat="1" x14ac:dyDescent="0.35">
      <c r="A215" s="7" t="s">
        <v>448</v>
      </c>
      <c r="B215" s="8">
        <v>102108</v>
      </c>
      <c r="C215" s="8" t="s">
        <v>20</v>
      </c>
      <c r="D215" s="9" t="s">
        <v>449</v>
      </c>
      <c r="E215" s="9" t="s">
        <v>62</v>
      </c>
      <c r="F215" s="10" t="s">
        <v>16</v>
      </c>
      <c r="G215" s="10">
        <v>10</v>
      </c>
      <c r="H215" s="11">
        <v>8955</v>
      </c>
      <c r="I215" s="12">
        <f t="shared" si="3"/>
        <v>89550</v>
      </c>
    </row>
    <row r="216" spans="1:9" s="13" customFormat="1" x14ac:dyDescent="0.35">
      <c r="A216" s="7" t="s">
        <v>450</v>
      </c>
      <c r="B216" s="8">
        <v>104019</v>
      </c>
      <c r="C216" s="8">
        <v>100000938</v>
      </c>
      <c r="D216" s="9" t="s">
        <v>451</v>
      </c>
      <c r="E216" s="9" t="s">
        <v>12</v>
      </c>
      <c r="F216" s="10" t="s">
        <v>16</v>
      </c>
      <c r="G216" s="10">
        <v>42391</v>
      </c>
      <c r="H216" s="11">
        <v>40</v>
      </c>
      <c r="I216" s="12">
        <f t="shared" si="3"/>
        <v>1695640</v>
      </c>
    </row>
    <row r="217" spans="1:9" s="13" customFormat="1" x14ac:dyDescent="0.35">
      <c r="A217" s="7" t="s">
        <v>452</v>
      </c>
      <c r="B217" s="8">
        <v>102009</v>
      </c>
      <c r="C217" s="8">
        <v>100000944</v>
      </c>
      <c r="D217" s="9" t="s">
        <v>453</v>
      </c>
      <c r="E217" s="9" t="s">
        <v>12</v>
      </c>
      <c r="F217" s="10" t="s">
        <v>16</v>
      </c>
      <c r="G217" s="10">
        <v>1976</v>
      </c>
      <c r="H217" s="11">
        <v>48</v>
      </c>
      <c r="I217" s="12">
        <f t="shared" si="3"/>
        <v>94848</v>
      </c>
    </row>
    <row r="218" spans="1:9" s="13" customFormat="1" x14ac:dyDescent="0.35">
      <c r="A218" s="7" t="s">
        <v>454</v>
      </c>
      <c r="B218" s="8">
        <v>102031</v>
      </c>
      <c r="C218" s="8">
        <v>100000943</v>
      </c>
      <c r="D218" s="9" t="s">
        <v>455</v>
      </c>
      <c r="E218" s="9" t="s">
        <v>31</v>
      </c>
      <c r="F218" s="10" t="s">
        <v>16</v>
      </c>
      <c r="G218" s="10">
        <v>349</v>
      </c>
      <c r="H218" s="11">
        <v>470</v>
      </c>
      <c r="I218" s="12">
        <f t="shared" si="3"/>
        <v>164030</v>
      </c>
    </row>
    <row r="219" spans="1:9" s="19" customFormat="1" x14ac:dyDescent="0.35">
      <c r="A219" s="7" t="s">
        <v>456</v>
      </c>
      <c r="B219" s="14">
        <v>102210</v>
      </c>
      <c r="C219" s="14" t="s">
        <v>20</v>
      </c>
      <c r="D219" s="15" t="s">
        <v>457</v>
      </c>
      <c r="E219" s="15" t="s">
        <v>31</v>
      </c>
      <c r="F219" s="10" t="s">
        <v>16</v>
      </c>
      <c r="G219" s="16">
        <v>0</v>
      </c>
      <c r="H219" s="17">
        <v>699</v>
      </c>
      <c r="I219" s="18">
        <f t="shared" si="3"/>
        <v>0</v>
      </c>
    </row>
    <row r="220" spans="1:9" s="13" customFormat="1" x14ac:dyDescent="0.35">
      <c r="A220" s="7" t="s">
        <v>458</v>
      </c>
      <c r="B220" s="8">
        <v>106031</v>
      </c>
      <c r="C220" s="8">
        <v>100000971</v>
      </c>
      <c r="D220" s="9" t="s">
        <v>459</v>
      </c>
      <c r="E220" s="9" t="s">
        <v>31</v>
      </c>
      <c r="F220" s="10" t="s">
        <v>16</v>
      </c>
      <c r="G220" s="10">
        <v>1355</v>
      </c>
      <c r="H220" s="11">
        <v>250</v>
      </c>
      <c r="I220" s="12">
        <f t="shared" si="3"/>
        <v>338750</v>
      </c>
    </row>
    <row r="221" spans="1:9" s="13" customFormat="1" x14ac:dyDescent="0.35">
      <c r="A221" s="7" t="s">
        <v>460</v>
      </c>
      <c r="B221" s="8">
        <v>108012</v>
      </c>
      <c r="C221" s="8">
        <v>100000983</v>
      </c>
      <c r="D221" s="9" t="s">
        <v>461</v>
      </c>
      <c r="E221" s="9" t="s">
        <v>44</v>
      </c>
      <c r="F221" s="10" t="s">
        <v>16</v>
      </c>
      <c r="G221" s="10">
        <v>30</v>
      </c>
      <c r="H221" s="11">
        <v>1535</v>
      </c>
      <c r="I221" s="12">
        <f t="shared" si="3"/>
        <v>46050</v>
      </c>
    </row>
    <row r="222" spans="1:9" s="13" customFormat="1" x14ac:dyDescent="0.35">
      <c r="A222" s="7" t="s">
        <v>462</v>
      </c>
      <c r="B222" s="8">
        <v>109046</v>
      </c>
      <c r="C222" s="8" t="s">
        <v>20</v>
      </c>
      <c r="D222" s="9" t="s">
        <v>463</v>
      </c>
      <c r="E222" s="9" t="s">
        <v>36</v>
      </c>
      <c r="F222" s="10" t="s">
        <v>16</v>
      </c>
      <c r="G222" s="10">
        <v>300</v>
      </c>
      <c r="H222" s="11">
        <v>22134</v>
      </c>
      <c r="I222" s="12">
        <f t="shared" si="3"/>
        <v>6640200</v>
      </c>
    </row>
    <row r="223" spans="1:9" s="13" customFormat="1" x14ac:dyDescent="0.35">
      <c r="A223" s="7" t="s">
        <v>464</v>
      </c>
      <c r="B223" s="8">
        <v>109002</v>
      </c>
      <c r="C223" s="8" t="s">
        <v>20</v>
      </c>
      <c r="D223" s="9" t="s">
        <v>465</v>
      </c>
      <c r="E223" s="9" t="s">
        <v>36</v>
      </c>
      <c r="F223" s="10" t="s">
        <v>16</v>
      </c>
      <c r="G223" s="10">
        <v>0</v>
      </c>
      <c r="H223" s="11">
        <v>11329</v>
      </c>
      <c r="I223" s="12">
        <f t="shared" si="3"/>
        <v>0</v>
      </c>
    </row>
    <row r="224" spans="1:9" s="13" customFormat="1" x14ac:dyDescent="0.35">
      <c r="A224" s="7" t="s">
        <v>466</v>
      </c>
      <c r="B224" s="8">
        <v>102105</v>
      </c>
      <c r="C224" s="8" t="s">
        <v>20</v>
      </c>
      <c r="D224" s="9" t="s">
        <v>467</v>
      </c>
      <c r="E224" s="9" t="s">
        <v>39</v>
      </c>
      <c r="F224" s="10" t="s">
        <v>16</v>
      </c>
      <c r="G224" s="10">
        <v>305</v>
      </c>
      <c r="H224" s="11">
        <v>30345</v>
      </c>
      <c r="I224" s="12">
        <f t="shared" si="3"/>
        <v>9255225</v>
      </c>
    </row>
    <row r="225" spans="1:9" s="13" customFormat="1" x14ac:dyDescent="0.35">
      <c r="A225" s="7" t="s">
        <v>468</v>
      </c>
      <c r="B225" s="8">
        <v>102184</v>
      </c>
      <c r="C225" s="8">
        <v>100004066</v>
      </c>
      <c r="D225" s="9" t="s">
        <v>469</v>
      </c>
      <c r="E225" s="9" t="s">
        <v>51</v>
      </c>
      <c r="F225" s="10" t="s">
        <v>16</v>
      </c>
      <c r="G225" s="10">
        <v>341</v>
      </c>
      <c r="H225" s="11">
        <v>26</v>
      </c>
      <c r="I225" s="12">
        <f t="shared" si="3"/>
        <v>8866</v>
      </c>
    </row>
    <row r="226" spans="1:9" s="13" customFormat="1" x14ac:dyDescent="0.35">
      <c r="A226" s="7" t="s">
        <v>470</v>
      </c>
      <c r="B226" s="8">
        <v>209118</v>
      </c>
      <c r="C226" s="8">
        <v>100001010</v>
      </c>
      <c r="D226" s="9" t="s">
        <v>471</v>
      </c>
      <c r="E226" s="9" t="s">
        <v>12</v>
      </c>
      <c r="F226" s="10" t="s">
        <v>13</v>
      </c>
      <c r="G226" s="10">
        <v>100</v>
      </c>
      <c r="H226" s="11">
        <v>1823</v>
      </c>
      <c r="I226" s="12">
        <f t="shared" si="3"/>
        <v>182300</v>
      </c>
    </row>
    <row r="227" spans="1:9" s="13" customFormat="1" x14ac:dyDescent="0.35">
      <c r="A227" s="7" t="s">
        <v>472</v>
      </c>
      <c r="B227" s="8">
        <v>102134</v>
      </c>
      <c r="C227" s="8">
        <v>100003485</v>
      </c>
      <c r="D227" s="9" t="s">
        <v>473</v>
      </c>
      <c r="E227" s="9" t="s">
        <v>12</v>
      </c>
      <c r="F227" s="10" t="s">
        <v>16</v>
      </c>
      <c r="G227" s="10">
        <v>1871</v>
      </c>
      <c r="H227" s="11">
        <v>130</v>
      </c>
      <c r="I227" s="12">
        <f t="shared" si="3"/>
        <v>243230</v>
      </c>
    </row>
    <row r="228" spans="1:9" s="13" customFormat="1" x14ac:dyDescent="0.35">
      <c r="A228" s="7" t="s">
        <v>474</v>
      </c>
      <c r="B228" s="8">
        <v>103022</v>
      </c>
      <c r="C228" s="8">
        <v>100001016</v>
      </c>
      <c r="D228" s="9" t="s">
        <v>475</v>
      </c>
      <c r="E228" s="9" t="s">
        <v>36</v>
      </c>
      <c r="F228" s="10" t="s">
        <v>16</v>
      </c>
      <c r="G228" s="10">
        <v>2163</v>
      </c>
      <c r="H228" s="11">
        <v>1981</v>
      </c>
      <c r="I228" s="12">
        <f t="shared" si="3"/>
        <v>4284903</v>
      </c>
    </row>
    <row r="229" spans="1:9" s="13" customFormat="1" x14ac:dyDescent="0.35">
      <c r="A229" s="7" t="s">
        <v>476</v>
      </c>
      <c r="B229" s="8">
        <v>102176</v>
      </c>
      <c r="C229" s="8">
        <v>100003471</v>
      </c>
      <c r="D229" s="9" t="s">
        <v>477</v>
      </c>
      <c r="E229" s="9" t="s">
        <v>478</v>
      </c>
      <c r="F229" s="10" t="s">
        <v>16</v>
      </c>
      <c r="G229" s="10">
        <v>483</v>
      </c>
      <c r="H229" s="11">
        <v>975</v>
      </c>
      <c r="I229" s="12">
        <f t="shared" si="3"/>
        <v>470925</v>
      </c>
    </row>
    <row r="230" spans="1:9" s="13" customFormat="1" x14ac:dyDescent="0.35">
      <c r="A230" s="7" t="s">
        <v>479</v>
      </c>
      <c r="B230" s="8">
        <v>209125</v>
      </c>
      <c r="C230" s="8">
        <v>100001013</v>
      </c>
      <c r="D230" s="9" t="s">
        <v>480</v>
      </c>
      <c r="E230" s="9" t="s">
        <v>31</v>
      </c>
      <c r="F230" s="10" t="s">
        <v>16</v>
      </c>
      <c r="G230" s="10">
        <v>2227</v>
      </c>
      <c r="H230" s="11">
        <v>2023</v>
      </c>
      <c r="I230" s="12">
        <f t="shared" si="3"/>
        <v>4505221</v>
      </c>
    </row>
    <row r="231" spans="1:9" s="13" customFormat="1" x14ac:dyDescent="0.35">
      <c r="A231" s="7" t="s">
        <v>481</v>
      </c>
      <c r="B231" s="8">
        <v>102011</v>
      </c>
      <c r="C231" s="8">
        <v>100001019</v>
      </c>
      <c r="D231" s="9" t="s">
        <v>482</v>
      </c>
      <c r="E231" s="9" t="s">
        <v>12</v>
      </c>
      <c r="F231" s="10" t="s">
        <v>16</v>
      </c>
      <c r="G231" s="10">
        <v>4155</v>
      </c>
      <c r="H231" s="11">
        <v>1070</v>
      </c>
      <c r="I231" s="12">
        <f t="shared" si="3"/>
        <v>4445850</v>
      </c>
    </row>
    <row r="232" spans="1:9" s="13" customFormat="1" x14ac:dyDescent="0.35">
      <c r="A232" s="7" t="s">
        <v>483</v>
      </c>
      <c r="B232" s="8">
        <v>102010</v>
      </c>
      <c r="C232" s="8">
        <v>100001018</v>
      </c>
      <c r="D232" s="9" t="s">
        <v>484</v>
      </c>
      <c r="E232" s="9" t="s">
        <v>31</v>
      </c>
      <c r="F232" s="10" t="s">
        <v>16</v>
      </c>
      <c r="G232" s="10">
        <v>1267</v>
      </c>
      <c r="H232" s="11">
        <v>243</v>
      </c>
      <c r="I232" s="12">
        <f t="shared" si="3"/>
        <v>307881</v>
      </c>
    </row>
    <row r="233" spans="1:9" s="13" customFormat="1" x14ac:dyDescent="0.35">
      <c r="A233" s="7" t="s">
        <v>485</v>
      </c>
      <c r="B233" s="8">
        <v>106032</v>
      </c>
      <c r="C233" s="8">
        <v>100001020</v>
      </c>
      <c r="D233" s="9" t="s">
        <v>486</v>
      </c>
      <c r="E233" s="9" t="s">
        <v>31</v>
      </c>
      <c r="F233" s="10" t="s">
        <v>16</v>
      </c>
      <c r="G233" s="10">
        <v>20816</v>
      </c>
      <c r="H233" s="11">
        <v>200</v>
      </c>
      <c r="I233" s="12">
        <f t="shared" si="3"/>
        <v>4163200</v>
      </c>
    </row>
    <row r="234" spans="1:9" s="13" customFormat="1" x14ac:dyDescent="0.35">
      <c r="A234" s="7" t="s">
        <v>487</v>
      </c>
      <c r="B234" s="8">
        <v>104020</v>
      </c>
      <c r="C234" s="8">
        <v>100001021</v>
      </c>
      <c r="D234" s="9" t="s">
        <v>488</v>
      </c>
      <c r="E234" s="9" t="s">
        <v>12</v>
      </c>
      <c r="F234" s="10" t="s">
        <v>16</v>
      </c>
      <c r="G234" s="10">
        <v>13061</v>
      </c>
      <c r="H234" s="11">
        <v>26</v>
      </c>
      <c r="I234" s="12">
        <f t="shared" si="3"/>
        <v>339586</v>
      </c>
    </row>
    <row r="235" spans="1:9" s="13" customFormat="1" x14ac:dyDescent="0.35">
      <c r="A235" s="7" t="s">
        <v>489</v>
      </c>
      <c r="B235" s="8">
        <v>106074</v>
      </c>
      <c r="C235" s="8">
        <v>100001031</v>
      </c>
      <c r="D235" s="9" t="s">
        <v>490</v>
      </c>
      <c r="E235" s="9" t="s">
        <v>36</v>
      </c>
      <c r="F235" s="10" t="s">
        <v>16</v>
      </c>
      <c r="G235" s="10">
        <v>15</v>
      </c>
      <c r="H235" s="11">
        <v>3784</v>
      </c>
      <c r="I235" s="12">
        <f t="shared" si="3"/>
        <v>56760</v>
      </c>
    </row>
    <row r="236" spans="1:9" s="13" customFormat="1" x14ac:dyDescent="0.35">
      <c r="A236" s="7" t="s">
        <v>491</v>
      </c>
      <c r="B236" s="8">
        <v>104021</v>
      </c>
      <c r="C236" s="8">
        <v>100001034</v>
      </c>
      <c r="D236" s="9" t="s">
        <v>492</v>
      </c>
      <c r="E236" s="9" t="s">
        <v>12</v>
      </c>
      <c r="F236" s="10" t="s">
        <v>16</v>
      </c>
      <c r="G236" s="10">
        <v>33185</v>
      </c>
      <c r="H236" s="11">
        <v>20</v>
      </c>
      <c r="I236" s="12">
        <f t="shared" si="3"/>
        <v>663700</v>
      </c>
    </row>
    <row r="237" spans="1:9" s="13" customFormat="1" x14ac:dyDescent="0.35">
      <c r="A237" s="7" t="s">
        <v>493</v>
      </c>
      <c r="B237" s="8">
        <v>106033</v>
      </c>
      <c r="C237" s="8">
        <v>100001033</v>
      </c>
      <c r="D237" s="9" t="s">
        <v>494</v>
      </c>
      <c r="E237" s="9" t="s">
        <v>31</v>
      </c>
      <c r="F237" s="10" t="s">
        <v>16</v>
      </c>
      <c r="G237" s="10">
        <v>4812</v>
      </c>
      <c r="H237" s="11">
        <v>65</v>
      </c>
      <c r="I237" s="12">
        <f t="shared" si="3"/>
        <v>312780</v>
      </c>
    </row>
    <row r="238" spans="1:9" s="13" customFormat="1" x14ac:dyDescent="0.35">
      <c r="A238" s="7" t="s">
        <v>495</v>
      </c>
      <c r="B238" s="8">
        <v>209033</v>
      </c>
      <c r="C238" s="8">
        <v>100001037</v>
      </c>
      <c r="D238" s="9" t="s">
        <v>496</v>
      </c>
      <c r="E238" s="9" t="s">
        <v>36</v>
      </c>
      <c r="F238" s="10" t="s">
        <v>13</v>
      </c>
      <c r="G238" s="10">
        <v>14</v>
      </c>
      <c r="H238" s="11">
        <v>13388</v>
      </c>
      <c r="I238" s="12">
        <f t="shared" si="3"/>
        <v>187432</v>
      </c>
    </row>
    <row r="239" spans="1:9" s="13" customFormat="1" x14ac:dyDescent="0.35">
      <c r="A239" s="7" t="s">
        <v>497</v>
      </c>
      <c r="B239" s="8">
        <v>102081</v>
      </c>
      <c r="C239" s="8">
        <v>100001041</v>
      </c>
      <c r="D239" s="9" t="s">
        <v>498</v>
      </c>
      <c r="E239" s="9" t="s">
        <v>12</v>
      </c>
      <c r="F239" s="10" t="s">
        <v>16</v>
      </c>
      <c r="G239" s="10">
        <v>2046</v>
      </c>
      <c r="H239" s="11">
        <v>71</v>
      </c>
      <c r="I239" s="12">
        <f t="shared" si="3"/>
        <v>145266</v>
      </c>
    </row>
    <row r="240" spans="1:9" s="13" customFormat="1" x14ac:dyDescent="0.35">
      <c r="A240" s="7" t="s">
        <v>499</v>
      </c>
      <c r="B240" s="8">
        <v>102178</v>
      </c>
      <c r="C240" s="8">
        <v>100001042</v>
      </c>
      <c r="D240" s="9" t="s">
        <v>500</v>
      </c>
      <c r="E240" s="9" t="s">
        <v>501</v>
      </c>
      <c r="F240" s="10" t="s">
        <v>16</v>
      </c>
      <c r="G240" s="10">
        <v>50</v>
      </c>
      <c r="H240" s="11">
        <v>105</v>
      </c>
      <c r="I240" s="12">
        <f t="shared" si="3"/>
        <v>5250</v>
      </c>
    </row>
    <row r="241" spans="1:9" s="13" customFormat="1" x14ac:dyDescent="0.35">
      <c r="A241" s="7" t="s">
        <v>502</v>
      </c>
      <c r="B241" s="8">
        <v>103024</v>
      </c>
      <c r="C241" s="8">
        <v>100001039</v>
      </c>
      <c r="D241" s="9" t="s">
        <v>503</v>
      </c>
      <c r="E241" s="9" t="s">
        <v>36</v>
      </c>
      <c r="F241" s="10" t="s">
        <v>16</v>
      </c>
      <c r="G241" s="10">
        <v>1220</v>
      </c>
      <c r="H241" s="11">
        <v>312</v>
      </c>
      <c r="I241" s="12">
        <f t="shared" si="3"/>
        <v>380640</v>
      </c>
    </row>
    <row r="242" spans="1:9" s="13" customFormat="1" x14ac:dyDescent="0.35">
      <c r="A242" s="7" t="s">
        <v>504</v>
      </c>
      <c r="B242" s="8">
        <v>104032</v>
      </c>
      <c r="C242" s="8">
        <v>100001045</v>
      </c>
      <c r="D242" s="9" t="s">
        <v>505</v>
      </c>
      <c r="E242" s="9" t="s">
        <v>31</v>
      </c>
      <c r="F242" s="10" t="s">
        <v>16</v>
      </c>
      <c r="G242" s="10">
        <v>1487</v>
      </c>
      <c r="H242" s="11">
        <v>300</v>
      </c>
      <c r="I242" s="12">
        <f t="shared" si="3"/>
        <v>446100</v>
      </c>
    </row>
    <row r="243" spans="1:9" s="13" customFormat="1" x14ac:dyDescent="0.35">
      <c r="A243" s="7" t="s">
        <v>506</v>
      </c>
      <c r="B243" s="8">
        <v>104041</v>
      </c>
      <c r="C243" s="8">
        <v>100001047</v>
      </c>
      <c r="D243" s="9" t="s">
        <v>507</v>
      </c>
      <c r="E243" s="9" t="s">
        <v>31</v>
      </c>
      <c r="F243" s="10" t="s">
        <v>16</v>
      </c>
      <c r="G243" s="10">
        <v>643</v>
      </c>
      <c r="H243" s="11">
        <v>725</v>
      </c>
      <c r="I243" s="12">
        <f t="shared" si="3"/>
        <v>466175</v>
      </c>
    </row>
    <row r="244" spans="1:9" s="13" customFormat="1" x14ac:dyDescent="0.35">
      <c r="A244" s="7" t="s">
        <v>508</v>
      </c>
      <c r="B244" s="8">
        <v>102084</v>
      </c>
      <c r="C244" s="8">
        <v>100003231</v>
      </c>
      <c r="D244" s="9" t="s">
        <v>509</v>
      </c>
      <c r="E244" s="9" t="s">
        <v>12</v>
      </c>
      <c r="F244" s="10" t="s">
        <v>16</v>
      </c>
      <c r="G244" s="10">
        <v>14534</v>
      </c>
      <c r="H244" s="11">
        <v>146</v>
      </c>
      <c r="I244" s="12">
        <f t="shared" si="3"/>
        <v>2121964</v>
      </c>
    </row>
    <row r="245" spans="1:9" s="13" customFormat="1" x14ac:dyDescent="0.35">
      <c r="A245" s="7" t="s">
        <v>510</v>
      </c>
      <c r="B245" s="8">
        <v>209159</v>
      </c>
      <c r="C245" s="8" t="s">
        <v>20</v>
      </c>
      <c r="D245" s="9" t="s">
        <v>511</v>
      </c>
      <c r="E245" s="9" t="s">
        <v>36</v>
      </c>
      <c r="F245" s="10" t="s">
        <v>13</v>
      </c>
      <c r="G245" s="10">
        <v>2</v>
      </c>
      <c r="H245" s="11">
        <v>37525</v>
      </c>
      <c r="I245" s="12">
        <f t="shared" si="3"/>
        <v>75050</v>
      </c>
    </row>
    <row r="246" spans="1:9" s="13" customFormat="1" x14ac:dyDescent="0.35">
      <c r="A246" s="7" t="s">
        <v>512</v>
      </c>
      <c r="B246" s="8">
        <v>102159</v>
      </c>
      <c r="C246" s="8">
        <v>100005299</v>
      </c>
      <c r="D246" s="9" t="s">
        <v>513</v>
      </c>
      <c r="E246" s="9" t="s">
        <v>31</v>
      </c>
      <c r="F246" s="10" t="s">
        <v>16</v>
      </c>
      <c r="G246" s="10">
        <v>21</v>
      </c>
      <c r="H246" s="11">
        <v>7364</v>
      </c>
      <c r="I246" s="12">
        <f t="shared" si="3"/>
        <v>154644</v>
      </c>
    </row>
    <row r="247" spans="1:9" s="13" customFormat="1" x14ac:dyDescent="0.35">
      <c r="A247" s="7" t="s">
        <v>514</v>
      </c>
      <c r="B247" s="8">
        <v>102012</v>
      </c>
      <c r="C247" s="8">
        <v>100001052</v>
      </c>
      <c r="D247" s="9" t="s">
        <v>515</v>
      </c>
      <c r="E247" s="9" t="s">
        <v>31</v>
      </c>
      <c r="F247" s="10" t="s">
        <v>16</v>
      </c>
      <c r="G247" s="10">
        <v>2910</v>
      </c>
      <c r="H247" s="11">
        <v>225</v>
      </c>
      <c r="I247" s="12">
        <f t="shared" si="3"/>
        <v>654750</v>
      </c>
    </row>
    <row r="248" spans="1:9" s="13" customFormat="1" x14ac:dyDescent="0.35">
      <c r="A248" s="7" t="s">
        <v>516</v>
      </c>
      <c r="B248" s="8">
        <v>102013</v>
      </c>
      <c r="C248" s="8">
        <v>100001053</v>
      </c>
      <c r="D248" s="9" t="s">
        <v>517</v>
      </c>
      <c r="E248" s="9" t="s">
        <v>31</v>
      </c>
      <c r="F248" s="10" t="s">
        <v>16</v>
      </c>
      <c r="G248" s="10">
        <v>1489</v>
      </c>
      <c r="H248" s="11">
        <v>184</v>
      </c>
      <c r="I248" s="12">
        <f t="shared" si="3"/>
        <v>273976</v>
      </c>
    </row>
    <row r="249" spans="1:9" s="13" customFormat="1" x14ac:dyDescent="0.35">
      <c r="A249" s="7" t="s">
        <v>518</v>
      </c>
      <c r="B249" s="8">
        <v>209165</v>
      </c>
      <c r="C249" s="8">
        <v>100006870</v>
      </c>
      <c r="D249" s="9" t="s">
        <v>519</v>
      </c>
      <c r="E249" s="9" t="s">
        <v>62</v>
      </c>
      <c r="F249" s="10" t="s">
        <v>16</v>
      </c>
      <c r="G249" s="10">
        <v>227</v>
      </c>
      <c r="H249" s="11">
        <v>9496</v>
      </c>
      <c r="I249" s="12">
        <f t="shared" si="3"/>
        <v>2155592</v>
      </c>
    </row>
    <row r="250" spans="1:9" s="13" customFormat="1" x14ac:dyDescent="0.35">
      <c r="A250" s="7" t="s">
        <v>520</v>
      </c>
      <c r="B250" s="8">
        <v>108030</v>
      </c>
      <c r="C250" s="8" t="s">
        <v>20</v>
      </c>
      <c r="D250" s="9" t="s">
        <v>521</v>
      </c>
      <c r="E250" s="9" t="s">
        <v>44</v>
      </c>
      <c r="F250" s="10" t="s">
        <v>16</v>
      </c>
      <c r="G250" s="10">
        <v>229</v>
      </c>
      <c r="H250" s="11">
        <v>4373</v>
      </c>
      <c r="I250" s="12">
        <f t="shared" si="3"/>
        <v>1001417</v>
      </c>
    </row>
    <row r="251" spans="1:9" s="13" customFormat="1" x14ac:dyDescent="0.35">
      <c r="A251" s="7" t="s">
        <v>522</v>
      </c>
      <c r="B251" s="8">
        <v>102136</v>
      </c>
      <c r="C251" s="8" t="s">
        <v>20</v>
      </c>
      <c r="D251" s="9" t="s">
        <v>523</v>
      </c>
      <c r="E251" s="9" t="s">
        <v>330</v>
      </c>
      <c r="F251" s="10" t="s">
        <v>16</v>
      </c>
      <c r="G251" s="10">
        <v>53</v>
      </c>
      <c r="H251" s="11">
        <v>490</v>
      </c>
      <c r="I251" s="12">
        <f t="shared" si="3"/>
        <v>25970</v>
      </c>
    </row>
    <row r="252" spans="1:9" s="13" customFormat="1" x14ac:dyDescent="0.35">
      <c r="A252" s="7" t="s">
        <v>524</v>
      </c>
      <c r="B252" s="8">
        <v>103040</v>
      </c>
      <c r="C252" s="8">
        <v>100001063</v>
      </c>
      <c r="D252" s="9" t="s">
        <v>525</v>
      </c>
      <c r="E252" s="9" t="s">
        <v>31</v>
      </c>
      <c r="F252" s="10" t="s">
        <v>16</v>
      </c>
      <c r="G252" s="10">
        <v>48</v>
      </c>
      <c r="H252" s="11">
        <v>5486</v>
      </c>
      <c r="I252" s="12">
        <f t="shared" si="3"/>
        <v>263328</v>
      </c>
    </row>
    <row r="253" spans="1:9" s="13" customFormat="1" x14ac:dyDescent="0.35">
      <c r="A253" s="7" t="s">
        <v>526</v>
      </c>
      <c r="B253" s="8">
        <v>106053</v>
      </c>
      <c r="C253" s="8">
        <v>100001068</v>
      </c>
      <c r="D253" s="9" t="s">
        <v>527</v>
      </c>
      <c r="E253" s="9" t="s">
        <v>31</v>
      </c>
      <c r="F253" s="10" t="s">
        <v>16</v>
      </c>
      <c r="G253" s="10">
        <v>243</v>
      </c>
      <c r="H253" s="11">
        <v>225</v>
      </c>
      <c r="I253" s="12">
        <f t="shared" si="3"/>
        <v>54675</v>
      </c>
    </row>
    <row r="254" spans="1:9" s="13" customFormat="1" x14ac:dyDescent="0.35">
      <c r="A254" s="7" t="s">
        <v>528</v>
      </c>
      <c r="B254" s="8">
        <v>101081</v>
      </c>
      <c r="C254" s="8">
        <v>100006171</v>
      </c>
      <c r="D254" s="9" t="s">
        <v>529</v>
      </c>
      <c r="E254" s="9" t="s">
        <v>51</v>
      </c>
      <c r="F254" s="10" t="s">
        <v>13</v>
      </c>
      <c r="G254" s="10">
        <v>43</v>
      </c>
      <c r="H254" s="11">
        <v>70091</v>
      </c>
      <c r="I254" s="12">
        <f t="shared" si="3"/>
        <v>3013913</v>
      </c>
    </row>
    <row r="255" spans="1:9" s="13" customFormat="1" x14ac:dyDescent="0.35">
      <c r="A255" s="7" t="s">
        <v>530</v>
      </c>
      <c r="B255" s="8">
        <v>101023</v>
      </c>
      <c r="C255" s="8">
        <v>100003439</v>
      </c>
      <c r="D255" s="9" t="s">
        <v>531</v>
      </c>
      <c r="E255" s="9" t="s">
        <v>51</v>
      </c>
      <c r="F255" s="10" t="s">
        <v>13</v>
      </c>
      <c r="G255" s="10">
        <v>932</v>
      </c>
      <c r="H255" s="11">
        <v>15374</v>
      </c>
      <c r="I255" s="12">
        <f t="shared" si="3"/>
        <v>14328568</v>
      </c>
    </row>
    <row r="256" spans="1:9" s="13" customFormat="1" x14ac:dyDescent="0.35">
      <c r="A256" s="7" t="s">
        <v>532</v>
      </c>
      <c r="B256" s="8">
        <v>209167</v>
      </c>
      <c r="C256" s="8">
        <v>100002056</v>
      </c>
      <c r="D256" s="9" t="s">
        <v>533</v>
      </c>
      <c r="E256" s="9" t="s">
        <v>51</v>
      </c>
      <c r="F256" s="10" t="s">
        <v>13</v>
      </c>
      <c r="G256" s="10">
        <v>1562</v>
      </c>
      <c r="H256" s="11">
        <v>23903</v>
      </c>
      <c r="I256" s="12">
        <f t="shared" si="3"/>
        <v>37336486</v>
      </c>
    </row>
    <row r="257" spans="1:9" s="13" customFormat="1" x14ac:dyDescent="0.35">
      <c r="A257" s="7" t="s">
        <v>534</v>
      </c>
      <c r="B257" s="8">
        <v>102161</v>
      </c>
      <c r="C257" s="8" t="s">
        <v>20</v>
      </c>
      <c r="D257" s="9" t="s">
        <v>535</v>
      </c>
      <c r="E257" s="9" t="s">
        <v>62</v>
      </c>
      <c r="F257" s="10" t="s">
        <v>16</v>
      </c>
      <c r="G257" s="10">
        <v>0</v>
      </c>
      <c r="H257" s="11">
        <v>17850</v>
      </c>
      <c r="I257" s="12">
        <f t="shared" si="3"/>
        <v>0</v>
      </c>
    </row>
    <row r="258" spans="1:9" s="13" customFormat="1" x14ac:dyDescent="0.35">
      <c r="A258" s="7" t="s">
        <v>536</v>
      </c>
      <c r="B258" s="8">
        <v>104033</v>
      </c>
      <c r="C258" s="8">
        <v>100001084</v>
      </c>
      <c r="D258" s="9" t="s">
        <v>537</v>
      </c>
      <c r="E258" s="9" t="s">
        <v>146</v>
      </c>
      <c r="F258" s="10" t="s">
        <v>16</v>
      </c>
      <c r="G258" s="10">
        <v>1851</v>
      </c>
      <c r="H258" s="11">
        <v>66</v>
      </c>
      <c r="I258" s="12">
        <f t="shared" si="3"/>
        <v>122166</v>
      </c>
    </row>
    <row r="259" spans="1:9" s="13" customFormat="1" x14ac:dyDescent="0.35">
      <c r="A259" s="7" t="s">
        <v>538</v>
      </c>
      <c r="B259" s="8">
        <v>106035</v>
      </c>
      <c r="C259" s="8" t="s">
        <v>20</v>
      </c>
      <c r="D259" s="9" t="s">
        <v>539</v>
      </c>
      <c r="E259" s="9" t="s">
        <v>31</v>
      </c>
      <c r="F259" s="10" t="s">
        <v>16</v>
      </c>
      <c r="G259" s="10">
        <v>3</v>
      </c>
      <c r="H259" s="11">
        <v>4060</v>
      </c>
      <c r="I259" s="12">
        <f t="shared" si="3"/>
        <v>12180</v>
      </c>
    </row>
    <row r="260" spans="1:9" s="13" customFormat="1" x14ac:dyDescent="0.35">
      <c r="A260" s="7" t="s">
        <v>540</v>
      </c>
      <c r="B260" s="8">
        <v>106077</v>
      </c>
      <c r="C260" s="8">
        <v>100001087</v>
      </c>
      <c r="D260" s="9" t="s">
        <v>541</v>
      </c>
      <c r="E260" s="9" t="s">
        <v>36</v>
      </c>
      <c r="F260" s="10" t="s">
        <v>16</v>
      </c>
      <c r="G260" s="10">
        <v>36</v>
      </c>
      <c r="H260" s="11">
        <v>2618</v>
      </c>
      <c r="I260" s="12">
        <f t="shared" ref="I260:I323" si="4">G260*H260</f>
        <v>94248</v>
      </c>
    </row>
    <row r="261" spans="1:9" s="13" customFormat="1" x14ac:dyDescent="0.35">
      <c r="A261" s="7" t="s">
        <v>542</v>
      </c>
      <c r="B261" s="8">
        <v>101074</v>
      </c>
      <c r="C261" s="8">
        <v>100004632</v>
      </c>
      <c r="D261" s="9" t="s">
        <v>543</v>
      </c>
      <c r="E261" s="9" t="s">
        <v>36</v>
      </c>
      <c r="F261" s="10" t="s">
        <v>13</v>
      </c>
      <c r="G261" s="10">
        <v>179</v>
      </c>
      <c r="H261" s="11">
        <v>1010498</v>
      </c>
      <c r="I261" s="12">
        <f t="shared" si="4"/>
        <v>180879142</v>
      </c>
    </row>
    <row r="262" spans="1:9" s="13" customFormat="1" x14ac:dyDescent="0.35">
      <c r="A262" s="7" t="s">
        <v>544</v>
      </c>
      <c r="B262" s="8">
        <v>101073</v>
      </c>
      <c r="C262" s="8">
        <v>100005302</v>
      </c>
      <c r="D262" s="9" t="s">
        <v>545</v>
      </c>
      <c r="E262" s="9" t="s">
        <v>36</v>
      </c>
      <c r="F262" s="10" t="s">
        <v>13</v>
      </c>
      <c r="G262" s="10">
        <v>75</v>
      </c>
      <c r="H262" s="11">
        <v>404198</v>
      </c>
      <c r="I262" s="12">
        <f t="shared" si="4"/>
        <v>30314850</v>
      </c>
    </row>
    <row r="263" spans="1:9" s="13" customFormat="1" x14ac:dyDescent="0.35">
      <c r="A263" s="7" t="s">
        <v>546</v>
      </c>
      <c r="B263" s="8">
        <v>106078</v>
      </c>
      <c r="C263" s="8">
        <v>100001091</v>
      </c>
      <c r="D263" s="9" t="s">
        <v>547</v>
      </c>
      <c r="E263" s="9" t="s">
        <v>31</v>
      </c>
      <c r="F263" s="10" t="s">
        <v>16</v>
      </c>
      <c r="G263" s="10">
        <v>1495</v>
      </c>
      <c r="H263" s="11">
        <v>559</v>
      </c>
      <c r="I263" s="12">
        <f t="shared" si="4"/>
        <v>835705</v>
      </c>
    </row>
    <row r="264" spans="1:9" s="13" customFormat="1" ht="21" x14ac:dyDescent="0.35">
      <c r="A264" s="7" t="s">
        <v>548</v>
      </c>
      <c r="B264" s="8">
        <v>108031</v>
      </c>
      <c r="C264" s="8" t="s">
        <v>20</v>
      </c>
      <c r="D264" s="9" t="s">
        <v>549</v>
      </c>
      <c r="E264" s="9" t="s">
        <v>44</v>
      </c>
      <c r="F264" s="10" t="s">
        <v>16</v>
      </c>
      <c r="G264" s="10">
        <v>60</v>
      </c>
      <c r="H264" s="11">
        <v>48106</v>
      </c>
      <c r="I264" s="12">
        <f t="shared" si="4"/>
        <v>2886360</v>
      </c>
    </row>
    <row r="265" spans="1:9" s="13" customFormat="1" ht="21" x14ac:dyDescent="0.35">
      <c r="A265" s="7" t="s">
        <v>550</v>
      </c>
      <c r="B265" s="8">
        <v>102200</v>
      </c>
      <c r="C265" s="8" t="s">
        <v>20</v>
      </c>
      <c r="D265" s="9" t="s">
        <v>551</v>
      </c>
      <c r="E265" s="9" t="s">
        <v>44</v>
      </c>
      <c r="F265" s="10" t="s">
        <v>16</v>
      </c>
      <c r="G265" s="10">
        <v>34</v>
      </c>
      <c r="H265" s="11">
        <v>54353</v>
      </c>
      <c r="I265" s="12">
        <f t="shared" si="4"/>
        <v>1848002</v>
      </c>
    </row>
    <row r="266" spans="1:9" s="13" customFormat="1" ht="21" x14ac:dyDescent="0.35">
      <c r="A266" s="7" t="s">
        <v>552</v>
      </c>
      <c r="B266" s="8">
        <v>102104</v>
      </c>
      <c r="C266" s="8" t="s">
        <v>20</v>
      </c>
      <c r="D266" s="9" t="s">
        <v>553</v>
      </c>
      <c r="E266" s="9" t="s">
        <v>44</v>
      </c>
      <c r="F266" s="10" t="s">
        <v>16</v>
      </c>
      <c r="G266" s="10">
        <v>44</v>
      </c>
      <c r="H266" s="11">
        <v>51230</v>
      </c>
      <c r="I266" s="12">
        <f t="shared" si="4"/>
        <v>2254120</v>
      </c>
    </row>
    <row r="267" spans="1:9" s="13" customFormat="1" ht="21" x14ac:dyDescent="0.35">
      <c r="A267" s="7" t="s">
        <v>554</v>
      </c>
      <c r="B267" s="8">
        <v>108028</v>
      </c>
      <c r="C267" s="8" t="s">
        <v>20</v>
      </c>
      <c r="D267" s="9" t="s">
        <v>555</v>
      </c>
      <c r="E267" s="9" t="s">
        <v>44</v>
      </c>
      <c r="F267" s="10" t="s">
        <v>16</v>
      </c>
      <c r="G267" s="10">
        <v>45</v>
      </c>
      <c r="H267" s="11">
        <v>51230</v>
      </c>
      <c r="I267" s="12">
        <f t="shared" si="4"/>
        <v>2305350</v>
      </c>
    </row>
    <row r="268" spans="1:9" s="13" customFormat="1" ht="21" x14ac:dyDescent="0.35">
      <c r="A268" s="7" t="s">
        <v>556</v>
      </c>
      <c r="B268" s="8">
        <v>102147</v>
      </c>
      <c r="C268" s="8" t="s">
        <v>20</v>
      </c>
      <c r="D268" s="9" t="s">
        <v>557</v>
      </c>
      <c r="E268" s="9" t="s">
        <v>44</v>
      </c>
      <c r="F268" s="10" t="s">
        <v>16</v>
      </c>
      <c r="G268" s="10">
        <v>10</v>
      </c>
      <c r="H268" s="11">
        <v>57477</v>
      </c>
      <c r="I268" s="12">
        <f t="shared" si="4"/>
        <v>574770</v>
      </c>
    </row>
    <row r="269" spans="1:9" s="13" customFormat="1" ht="21" x14ac:dyDescent="0.35">
      <c r="A269" s="7" t="s">
        <v>558</v>
      </c>
      <c r="B269" s="8">
        <v>102194</v>
      </c>
      <c r="C269" s="8" t="s">
        <v>20</v>
      </c>
      <c r="D269" s="9" t="s">
        <v>559</v>
      </c>
      <c r="E269" s="9" t="s">
        <v>44</v>
      </c>
      <c r="F269" s="10" t="s">
        <v>16</v>
      </c>
      <c r="G269" s="10">
        <v>17</v>
      </c>
      <c r="H269" s="11">
        <v>46232</v>
      </c>
      <c r="I269" s="12">
        <f t="shared" si="4"/>
        <v>785944</v>
      </c>
    </row>
    <row r="270" spans="1:9" s="13" customFormat="1" x14ac:dyDescent="0.35">
      <c r="A270" s="7" t="s">
        <v>560</v>
      </c>
      <c r="B270" s="8">
        <v>102151</v>
      </c>
      <c r="C270" s="8" t="s">
        <v>20</v>
      </c>
      <c r="D270" s="9" t="s">
        <v>561</v>
      </c>
      <c r="E270" s="9" t="s">
        <v>44</v>
      </c>
      <c r="F270" s="10" t="s">
        <v>16</v>
      </c>
      <c r="G270" s="10">
        <v>0</v>
      </c>
      <c r="H270" s="11">
        <v>119000</v>
      </c>
      <c r="I270" s="12">
        <f t="shared" si="4"/>
        <v>0</v>
      </c>
    </row>
    <row r="271" spans="1:9" s="13" customFormat="1" x14ac:dyDescent="0.35">
      <c r="A271" s="7" t="s">
        <v>562</v>
      </c>
      <c r="B271" s="8">
        <v>106040</v>
      </c>
      <c r="C271" s="8">
        <v>100002253</v>
      </c>
      <c r="D271" s="9" t="s">
        <v>563</v>
      </c>
      <c r="E271" s="9" t="s">
        <v>31</v>
      </c>
      <c r="F271" s="10" t="s">
        <v>16</v>
      </c>
      <c r="G271" s="10">
        <v>43</v>
      </c>
      <c r="H271" s="11">
        <v>4043</v>
      </c>
      <c r="I271" s="12">
        <f t="shared" si="4"/>
        <v>173849</v>
      </c>
    </row>
    <row r="272" spans="1:9" s="19" customFormat="1" x14ac:dyDescent="0.35">
      <c r="A272" s="7" t="s">
        <v>564</v>
      </c>
      <c r="B272" s="14">
        <v>106090</v>
      </c>
      <c r="C272" s="14">
        <v>100002254</v>
      </c>
      <c r="D272" s="15" t="s">
        <v>565</v>
      </c>
      <c r="E272" s="15" t="s">
        <v>36</v>
      </c>
      <c r="F272" s="10" t="s">
        <v>13</v>
      </c>
      <c r="G272" s="16">
        <v>0</v>
      </c>
      <c r="H272" s="17">
        <v>791357</v>
      </c>
      <c r="I272" s="18">
        <f t="shared" si="4"/>
        <v>0</v>
      </c>
    </row>
    <row r="273" spans="1:9" s="13" customFormat="1" x14ac:dyDescent="0.35">
      <c r="A273" s="7" t="s">
        <v>566</v>
      </c>
      <c r="B273" s="8">
        <v>102187</v>
      </c>
      <c r="C273" s="8">
        <v>100003840</v>
      </c>
      <c r="D273" s="9" t="s">
        <v>567</v>
      </c>
      <c r="E273" s="9" t="s">
        <v>12</v>
      </c>
      <c r="F273" s="10" t="s">
        <v>16</v>
      </c>
      <c r="G273" s="10">
        <v>1899</v>
      </c>
      <c r="H273" s="11">
        <v>101</v>
      </c>
      <c r="I273" s="12">
        <f t="shared" si="4"/>
        <v>191799</v>
      </c>
    </row>
    <row r="274" spans="1:9" s="13" customFormat="1" x14ac:dyDescent="0.35">
      <c r="A274" s="7" t="s">
        <v>568</v>
      </c>
      <c r="B274" s="8">
        <v>106065</v>
      </c>
      <c r="C274" s="8">
        <v>100001101</v>
      </c>
      <c r="D274" s="9" t="s">
        <v>569</v>
      </c>
      <c r="E274" s="9" t="s">
        <v>31</v>
      </c>
      <c r="F274" s="10" t="s">
        <v>16</v>
      </c>
      <c r="G274" s="10">
        <v>217</v>
      </c>
      <c r="H274" s="11">
        <v>4374</v>
      </c>
      <c r="I274" s="12">
        <f t="shared" si="4"/>
        <v>949158</v>
      </c>
    </row>
    <row r="275" spans="1:9" s="13" customFormat="1" x14ac:dyDescent="0.35">
      <c r="A275" s="7" t="s">
        <v>570</v>
      </c>
      <c r="B275" s="8">
        <v>104046</v>
      </c>
      <c r="C275" s="8">
        <v>100001102</v>
      </c>
      <c r="D275" s="9" t="s">
        <v>571</v>
      </c>
      <c r="E275" s="9" t="s">
        <v>51</v>
      </c>
      <c r="F275" s="10" t="s">
        <v>16</v>
      </c>
      <c r="G275" s="10">
        <v>39111</v>
      </c>
      <c r="H275" s="11">
        <v>15</v>
      </c>
      <c r="I275" s="12">
        <f t="shared" si="4"/>
        <v>586665</v>
      </c>
    </row>
    <row r="276" spans="1:9" s="13" customFormat="1" x14ac:dyDescent="0.35">
      <c r="A276" s="7" t="s">
        <v>572</v>
      </c>
      <c r="B276" s="8">
        <v>106095</v>
      </c>
      <c r="C276" s="8">
        <v>100001103</v>
      </c>
      <c r="D276" s="9" t="s">
        <v>573</v>
      </c>
      <c r="E276" s="9" t="s">
        <v>36</v>
      </c>
      <c r="F276" s="10" t="s">
        <v>16</v>
      </c>
      <c r="G276" s="10">
        <v>135</v>
      </c>
      <c r="H276" s="11">
        <v>869</v>
      </c>
      <c r="I276" s="12">
        <f t="shared" si="4"/>
        <v>117315</v>
      </c>
    </row>
    <row r="277" spans="1:9" s="13" customFormat="1" x14ac:dyDescent="0.35">
      <c r="A277" s="7" t="s">
        <v>574</v>
      </c>
      <c r="B277" s="8">
        <v>209090</v>
      </c>
      <c r="C277" s="8">
        <v>100005482</v>
      </c>
      <c r="D277" s="9" t="s">
        <v>575</v>
      </c>
      <c r="E277" s="9" t="s">
        <v>12</v>
      </c>
      <c r="F277" s="10" t="s">
        <v>13</v>
      </c>
      <c r="G277" s="10">
        <v>279</v>
      </c>
      <c r="H277" s="11">
        <v>377</v>
      </c>
      <c r="I277" s="12">
        <f t="shared" si="4"/>
        <v>105183</v>
      </c>
    </row>
    <row r="278" spans="1:9" s="13" customFormat="1" x14ac:dyDescent="0.35">
      <c r="A278" s="7" t="s">
        <v>576</v>
      </c>
      <c r="B278" s="8">
        <v>209089</v>
      </c>
      <c r="C278" s="8">
        <v>100001104</v>
      </c>
      <c r="D278" s="9" t="s">
        <v>577</v>
      </c>
      <c r="E278" s="9" t="s">
        <v>12</v>
      </c>
      <c r="F278" s="10" t="s">
        <v>13</v>
      </c>
      <c r="G278" s="10">
        <v>7937</v>
      </c>
      <c r="H278" s="11">
        <v>202</v>
      </c>
      <c r="I278" s="12">
        <f t="shared" si="4"/>
        <v>1603274</v>
      </c>
    </row>
    <row r="279" spans="1:9" s="13" customFormat="1" x14ac:dyDescent="0.35">
      <c r="A279" s="7" t="s">
        <v>578</v>
      </c>
      <c r="B279" s="8">
        <v>209026</v>
      </c>
      <c r="C279" s="8">
        <v>100001105</v>
      </c>
      <c r="D279" s="9" t="s">
        <v>579</v>
      </c>
      <c r="E279" s="9" t="s">
        <v>31</v>
      </c>
      <c r="F279" s="10" t="s">
        <v>16</v>
      </c>
      <c r="G279" s="10">
        <v>5496</v>
      </c>
      <c r="H279" s="11">
        <v>213</v>
      </c>
      <c r="I279" s="12">
        <f t="shared" si="4"/>
        <v>1170648</v>
      </c>
    </row>
    <row r="280" spans="1:9" s="13" customFormat="1" x14ac:dyDescent="0.35">
      <c r="A280" s="7" t="s">
        <v>580</v>
      </c>
      <c r="B280" s="8">
        <v>101082</v>
      </c>
      <c r="C280" s="8">
        <v>100005324</v>
      </c>
      <c r="D280" s="9" t="s">
        <v>581</v>
      </c>
      <c r="E280" s="9" t="s">
        <v>12</v>
      </c>
      <c r="F280" s="10" t="s">
        <v>13</v>
      </c>
      <c r="G280" s="10">
        <v>90</v>
      </c>
      <c r="H280" s="11">
        <v>134866</v>
      </c>
      <c r="I280" s="12">
        <f t="shared" si="4"/>
        <v>12137940</v>
      </c>
    </row>
    <row r="281" spans="1:9" s="13" customFormat="1" x14ac:dyDescent="0.35">
      <c r="A281" s="7" t="s">
        <v>582</v>
      </c>
      <c r="B281" s="8">
        <v>209041</v>
      </c>
      <c r="C281" s="8">
        <v>100002256</v>
      </c>
      <c r="D281" s="9" t="s">
        <v>583</v>
      </c>
      <c r="E281" s="9" t="s">
        <v>36</v>
      </c>
      <c r="F281" s="10" t="s">
        <v>13</v>
      </c>
      <c r="G281" s="10">
        <v>271</v>
      </c>
      <c r="H281" s="11">
        <v>22015</v>
      </c>
      <c r="I281" s="12">
        <f t="shared" si="4"/>
        <v>5966065</v>
      </c>
    </row>
    <row r="282" spans="1:9" s="13" customFormat="1" x14ac:dyDescent="0.35">
      <c r="A282" s="7" t="s">
        <v>584</v>
      </c>
      <c r="B282" s="8">
        <v>209040</v>
      </c>
      <c r="C282" s="8">
        <v>100003408</v>
      </c>
      <c r="D282" s="9" t="s">
        <v>585</v>
      </c>
      <c r="E282" s="9" t="s">
        <v>36</v>
      </c>
      <c r="F282" s="10" t="s">
        <v>13</v>
      </c>
      <c r="G282" s="10">
        <v>0</v>
      </c>
      <c r="H282" s="11">
        <v>9586</v>
      </c>
      <c r="I282" s="12">
        <f t="shared" si="4"/>
        <v>0</v>
      </c>
    </row>
    <row r="283" spans="1:9" s="13" customFormat="1" x14ac:dyDescent="0.35">
      <c r="A283" s="7" t="s">
        <v>586</v>
      </c>
      <c r="B283" s="8">
        <v>209005</v>
      </c>
      <c r="C283" s="8" t="s">
        <v>20</v>
      </c>
      <c r="D283" s="9" t="s">
        <v>587</v>
      </c>
      <c r="E283" s="9" t="s">
        <v>36</v>
      </c>
      <c r="F283" s="10" t="s">
        <v>13</v>
      </c>
      <c r="G283" s="10">
        <v>32</v>
      </c>
      <c r="H283" s="11">
        <v>16584</v>
      </c>
      <c r="I283" s="12">
        <f t="shared" si="4"/>
        <v>530688</v>
      </c>
    </row>
    <row r="284" spans="1:9" s="13" customFormat="1" x14ac:dyDescent="0.35">
      <c r="A284" s="7" t="s">
        <v>588</v>
      </c>
      <c r="B284" s="8">
        <v>209072</v>
      </c>
      <c r="C284" s="8">
        <v>100001116</v>
      </c>
      <c r="D284" s="9" t="s">
        <v>589</v>
      </c>
      <c r="E284" s="9" t="s">
        <v>36</v>
      </c>
      <c r="F284" s="10" t="s">
        <v>13</v>
      </c>
      <c r="G284" s="10">
        <v>90</v>
      </c>
      <c r="H284" s="11">
        <v>14816</v>
      </c>
      <c r="I284" s="12">
        <f t="shared" si="4"/>
        <v>1333440</v>
      </c>
    </row>
    <row r="285" spans="1:9" s="13" customFormat="1" x14ac:dyDescent="0.35">
      <c r="A285" s="7" t="s">
        <v>590</v>
      </c>
      <c r="B285" s="8">
        <v>102137</v>
      </c>
      <c r="C285" s="8" t="s">
        <v>20</v>
      </c>
      <c r="D285" s="9" t="s">
        <v>591</v>
      </c>
      <c r="E285" s="9" t="s">
        <v>51</v>
      </c>
      <c r="F285" s="10" t="s">
        <v>16</v>
      </c>
      <c r="G285" s="10">
        <v>6888</v>
      </c>
      <c r="H285" s="11">
        <v>1144</v>
      </c>
      <c r="I285" s="12">
        <f t="shared" si="4"/>
        <v>7879872</v>
      </c>
    </row>
    <row r="286" spans="1:9" s="13" customFormat="1" x14ac:dyDescent="0.35">
      <c r="A286" s="7" t="s">
        <v>592</v>
      </c>
      <c r="B286" s="8">
        <v>106052</v>
      </c>
      <c r="C286" s="8">
        <v>100001132</v>
      </c>
      <c r="D286" s="9" t="s">
        <v>593</v>
      </c>
      <c r="E286" s="9" t="s">
        <v>31</v>
      </c>
      <c r="F286" s="10" t="s">
        <v>16</v>
      </c>
      <c r="G286" s="10">
        <v>79</v>
      </c>
      <c r="H286" s="11">
        <v>387</v>
      </c>
      <c r="I286" s="12">
        <f t="shared" si="4"/>
        <v>30573</v>
      </c>
    </row>
    <row r="287" spans="1:9" s="13" customFormat="1" x14ac:dyDescent="0.35">
      <c r="A287" s="7" t="s">
        <v>594</v>
      </c>
      <c r="B287" s="8">
        <v>102057</v>
      </c>
      <c r="C287" s="8">
        <v>100002921</v>
      </c>
      <c r="D287" s="9" t="s">
        <v>595</v>
      </c>
      <c r="E287" s="9" t="s">
        <v>36</v>
      </c>
      <c r="F287" s="10" t="s">
        <v>16</v>
      </c>
      <c r="G287" s="10">
        <v>963</v>
      </c>
      <c r="H287" s="11">
        <v>572</v>
      </c>
      <c r="I287" s="12">
        <f t="shared" si="4"/>
        <v>550836</v>
      </c>
    </row>
    <row r="288" spans="1:9" s="13" customFormat="1" x14ac:dyDescent="0.35">
      <c r="A288" s="7" t="s">
        <v>596</v>
      </c>
      <c r="B288" s="8">
        <v>104025</v>
      </c>
      <c r="C288" s="8">
        <v>100001143</v>
      </c>
      <c r="D288" s="9" t="s">
        <v>597</v>
      </c>
      <c r="E288" s="9" t="s">
        <v>12</v>
      </c>
      <c r="F288" s="10" t="s">
        <v>16</v>
      </c>
      <c r="G288" s="10">
        <v>203446</v>
      </c>
      <c r="H288" s="11">
        <v>8</v>
      </c>
      <c r="I288" s="12">
        <f t="shared" si="4"/>
        <v>1627568</v>
      </c>
    </row>
    <row r="289" spans="1:9" s="13" customFormat="1" x14ac:dyDescent="0.35">
      <c r="A289" s="7" t="s">
        <v>598</v>
      </c>
      <c r="B289" s="8">
        <v>106047</v>
      </c>
      <c r="C289" s="8">
        <v>100001222</v>
      </c>
      <c r="D289" s="9" t="s">
        <v>599</v>
      </c>
      <c r="E289" s="9" t="s">
        <v>31</v>
      </c>
      <c r="F289" s="10" t="s">
        <v>16</v>
      </c>
      <c r="G289" s="10">
        <v>404</v>
      </c>
      <c r="H289" s="11">
        <v>393</v>
      </c>
      <c r="I289" s="12">
        <f t="shared" si="4"/>
        <v>158772</v>
      </c>
    </row>
    <row r="290" spans="1:9" s="13" customFormat="1" x14ac:dyDescent="0.35">
      <c r="A290" s="7" t="s">
        <v>600</v>
      </c>
      <c r="B290" s="8">
        <v>102047</v>
      </c>
      <c r="C290" s="8">
        <v>100004906</v>
      </c>
      <c r="D290" s="9" t="s">
        <v>601</v>
      </c>
      <c r="E290" s="9" t="s">
        <v>12</v>
      </c>
      <c r="F290" s="10" t="s">
        <v>13</v>
      </c>
      <c r="G290" s="10">
        <v>30</v>
      </c>
      <c r="H290" s="11">
        <v>8204</v>
      </c>
      <c r="I290" s="12">
        <f t="shared" si="4"/>
        <v>246120</v>
      </c>
    </row>
    <row r="291" spans="1:9" s="13" customFormat="1" x14ac:dyDescent="0.35">
      <c r="A291" s="7" t="s">
        <v>602</v>
      </c>
      <c r="B291" s="8">
        <v>102048</v>
      </c>
      <c r="C291" s="8">
        <v>100003903</v>
      </c>
      <c r="D291" s="9" t="s">
        <v>603</v>
      </c>
      <c r="E291" s="9" t="s">
        <v>12</v>
      </c>
      <c r="F291" s="10" t="s">
        <v>13</v>
      </c>
      <c r="G291" s="10">
        <v>1020</v>
      </c>
      <c r="H291" s="11">
        <v>5973</v>
      </c>
      <c r="I291" s="12">
        <f t="shared" si="4"/>
        <v>6092460</v>
      </c>
    </row>
    <row r="292" spans="1:9" s="13" customFormat="1" x14ac:dyDescent="0.35">
      <c r="A292" s="7" t="s">
        <v>604</v>
      </c>
      <c r="B292" s="8">
        <v>101084</v>
      </c>
      <c r="C292" s="8">
        <v>100004670</v>
      </c>
      <c r="D292" s="9" t="s">
        <v>605</v>
      </c>
      <c r="E292" s="9" t="s">
        <v>36</v>
      </c>
      <c r="F292" s="10" t="s">
        <v>13</v>
      </c>
      <c r="G292" s="10">
        <v>103</v>
      </c>
      <c r="H292" s="11">
        <v>2070600</v>
      </c>
      <c r="I292" s="12">
        <f t="shared" si="4"/>
        <v>213271800</v>
      </c>
    </row>
    <row r="293" spans="1:9" s="13" customFormat="1" x14ac:dyDescent="0.35">
      <c r="A293" s="7" t="s">
        <v>606</v>
      </c>
      <c r="B293" s="8">
        <v>209109</v>
      </c>
      <c r="C293" s="8">
        <v>100003413</v>
      </c>
      <c r="D293" s="9" t="s">
        <v>607</v>
      </c>
      <c r="E293" s="9" t="s">
        <v>36</v>
      </c>
      <c r="F293" s="10" t="s">
        <v>13</v>
      </c>
      <c r="G293" s="10">
        <v>85</v>
      </c>
      <c r="H293" s="11">
        <v>28441</v>
      </c>
      <c r="I293" s="12">
        <f t="shared" si="4"/>
        <v>2417485</v>
      </c>
    </row>
    <row r="294" spans="1:9" s="13" customFormat="1" x14ac:dyDescent="0.35">
      <c r="A294" s="7" t="s">
        <v>608</v>
      </c>
      <c r="B294" s="8">
        <v>101076</v>
      </c>
      <c r="C294" s="8">
        <v>100004650</v>
      </c>
      <c r="D294" s="9" t="s">
        <v>609</v>
      </c>
      <c r="E294" s="9" t="s">
        <v>36</v>
      </c>
      <c r="F294" s="10" t="s">
        <v>13</v>
      </c>
      <c r="G294" s="10">
        <v>34</v>
      </c>
      <c r="H294" s="11">
        <v>1628998</v>
      </c>
      <c r="I294" s="12">
        <f t="shared" si="4"/>
        <v>55385932</v>
      </c>
    </row>
    <row r="295" spans="1:9" s="13" customFormat="1" x14ac:dyDescent="0.35">
      <c r="A295" s="7" t="s">
        <v>610</v>
      </c>
      <c r="B295" s="8">
        <v>102085</v>
      </c>
      <c r="C295" s="8" t="s">
        <v>20</v>
      </c>
      <c r="D295" s="9" t="s">
        <v>611</v>
      </c>
      <c r="E295" s="9" t="s">
        <v>330</v>
      </c>
      <c r="F295" s="10" t="s">
        <v>16</v>
      </c>
      <c r="G295" s="10">
        <v>412</v>
      </c>
      <c r="H295" s="11">
        <v>7140</v>
      </c>
      <c r="I295" s="12">
        <f t="shared" si="4"/>
        <v>2941680</v>
      </c>
    </row>
    <row r="296" spans="1:9" s="13" customFormat="1" x14ac:dyDescent="0.35">
      <c r="A296" s="7" t="s">
        <v>612</v>
      </c>
      <c r="B296" s="8">
        <v>102074</v>
      </c>
      <c r="C296" s="8" t="s">
        <v>20</v>
      </c>
      <c r="D296" s="9" t="s">
        <v>613</v>
      </c>
      <c r="E296" s="9" t="s">
        <v>62</v>
      </c>
      <c r="F296" s="10" t="s">
        <v>16</v>
      </c>
      <c r="G296" s="10">
        <v>259</v>
      </c>
      <c r="H296" s="11">
        <v>1806</v>
      </c>
      <c r="I296" s="12">
        <f t="shared" si="4"/>
        <v>467754</v>
      </c>
    </row>
    <row r="297" spans="1:9" s="13" customFormat="1" x14ac:dyDescent="0.35">
      <c r="A297" s="7" t="s">
        <v>614</v>
      </c>
      <c r="B297" s="8">
        <v>103043</v>
      </c>
      <c r="C297" s="8">
        <v>100002082</v>
      </c>
      <c r="D297" s="9" t="s">
        <v>615</v>
      </c>
      <c r="E297" s="9" t="s">
        <v>36</v>
      </c>
      <c r="F297" s="10" t="s">
        <v>16</v>
      </c>
      <c r="G297" s="10">
        <v>1513</v>
      </c>
      <c r="H297" s="11">
        <v>1580</v>
      </c>
      <c r="I297" s="12">
        <f t="shared" si="4"/>
        <v>2390540</v>
      </c>
    </row>
    <row r="298" spans="1:9" s="13" customFormat="1" x14ac:dyDescent="0.35">
      <c r="A298" s="7" t="s">
        <v>616</v>
      </c>
      <c r="B298" s="8">
        <v>106036</v>
      </c>
      <c r="C298" s="8">
        <v>100001184</v>
      </c>
      <c r="D298" s="9" t="s">
        <v>617</v>
      </c>
      <c r="E298" s="9" t="s">
        <v>31</v>
      </c>
      <c r="F298" s="10" t="s">
        <v>16</v>
      </c>
      <c r="G298" s="10">
        <v>115</v>
      </c>
      <c r="H298" s="11">
        <v>90</v>
      </c>
      <c r="I298" s="12">
        <f t="shared" si="4"/>
        <v>10350</v>
      </c>
    </row>
    <row r="299" spans="1:9" s="13" customFormat="1" ht="21" x14ac:dyDescent="0.35">
      <c r="A299" s="7" t="s">
        <v>618</v>
      </c>
      <c r="B299" s="8">
        <v>102205</v>
      </c>
      <c r="C299" s="8" t="s">
        <v>619</v>
      </c>
      <c r="D299" s="9" t="s">
        <v>620</v>
      </c>
      <c r="E299" s="9" t="s">
        <v>621</v>
      </c>
      <c r="F299" s="10" t="s">
        <v>16</v>
      </c>
      <c r="G299" s="10">
        <v>0</v>
      </c>
      <c r="H299" s="11">
        <v>97580</v>
      </c>
      <c r="I299" s="12">
        <f t="shared" si="4"/>
        <v>0</v>
      </c>
    </row>
    <row r="300" spans="1:9" s="13" customFormat="1" ht="21" x14ac:dyDescent="0.35">
      <c r="A300" s="7" t="s">
        <v>622</v>
      </c>
      <c r="B300" s="8">
        <v>102096</v>
      </c>
      <c r="C300" s="8">
        <v>100002906</v>
      </c>
      <c r="D300" s="9" t="s">
        <v>623</v>
      </c>
      <c r="E300" s="9" t="s">
        <v>330</v>
      </c>
      <c r="F300" s="10" t="s">
        <v>16</v>
      </c>
      <c r="G300" s="10">
        <v>591</v>
      </c>
      <c r="H300" s="11">
        <v>486</v>
      </c>
      <c r="I300" s="12">
        <f t="shared" si="4"/>
        <v>287226</v>
      </c>
    </row>
    <row r="301" spans="1:9" s="13" customFormat="1" x14ac:dyDescent="0.35">
      <c r="A301" s="7" t="s">
        <v>624</v>
      </c>
      <c r="B301" s="8">
        <v>104026</v>
      </c>
      <c r="C301" s="8" t="s">
        <v>20</v>
      </c>
      <c r="D301" s="9" t="s">
        <v>625</v>
      </c>
      <c r="E301" s="9" t="s">
        <v>146</v>
      </c>
      <c r="F301" s="10" t="s">
        <v>16</v>
      </c>
      <c r="G301" s="10">
        <v>3512</v>
      </c>
      <c r="H301" s="11">
        <v>126</v>
      </c>
      <c r="I301" s="12">
        <f t="shared" si="4"/>
        <v>442512</v>
      </c>
    </row>
    <row r="302" spans="1:9" s="13" customFormat="1" x14ac:dyDescent="0.35">
      <c r="A302" s="7" t="s">
        <v>626</v>
      </c>
      <c r="B302" s="8">
        <v>106037</v>
      </c>
      <c r="C302" s="8">
        <v>100001199</v>
      </c>
      <c r="D302" s="9" t="s">
        <v>627</v>
      </c>
      <c r="E302" s="9" t="s">
        <v>31</v>
      </c>
      <c r="F302" s="10" t="s">
        <v>16</v>
      </c>
      <c r="G302" s="10">
        <v>7490</v>
      </c>
      <c r="H302" s="11">
        <v>409</v>
      </c>
      <c r="I302" s="12">
        <f t="shared" si="4"/>
        <v>3063410</v>
      </c>
    </row>
    <row r="303" spans="1:9" s="13" customFormat="1" x14ac:dyDescent="0.35">
      <c r="A303" s="7" t="s">
        <v>628</v>
      </c>
      <c r="B303" s="8">
        <v>107010</v>
      </c>
      <c r="C303" s="8">
        <v>100001201</v>
      </c>
      <c r="D303" s="9" t="s">
        <v>629</v>
      </c>
      <c r="E303" s="9" t="s">
        <v>62</v>
      </c>
      <c r="F303" s="10" t="s">
        <v>16</v>
      </c>
      <c r="G303" s="10">
        <v>54</v>
      </c>
      <c r="H303" s="11">
        <v>4998</v>
      </c>
      <c r="I303" s="12">
        <f t="shared" si="4"/>
        <v>269892</v>
      </c>
    </row>
    <row r="304" spans="1:9" s="13" customFormat="1" x14ac:dyDescent="0.35">
      <c r="A304" s="7" t="s">
        <v>630</v>
      </c>
      <c r="B304" s="8">
        <v>104043</v>
      </c>
      <c r="C304" s="8">
        <v>100001210</v>
      </c>
      <c r="D304" s="9" t="s">
        <v>631</v>
      </c>
      <c r="E304" s="9" t="s">
        <v>12</v>
      </c>
      <c r="F304" s="10" t="s">
        <v>16</v>
      </c>
      <c r="G304" s="10">
        <v>8526</v>
      </c>
      <c r="H304" s="11">
        <v>37</v>
      </c>
      <c r="I304" s="12">
        <f t="shared" si="4"/>
        <v>315462</v>
      </c>
    </row>
    <row r="305" spans="1:9" s="13" customFormat="1" x14ac:dyDescent="0.35">
      <c r="A305" s="7" t="s">
        <v>632</v>
      </c>
      <c r="B305" s="8">
        <v>104027</v>
      </c>
      <c r="C305" s="8">
        <v>100001209</v>
      </c>
      <c r="D305" s="9" t="s">
        <v>633</v>
      </c>
      <c r="E305" s="9" t="s">
        <v>12</v>
      </c>
      <c r="F305" s="10" t="s">
        <v>16</v>
      </c>
      <c r="G305" s="10">
        <v>3162</v>
      </c>
      <c r="H305" s="11">
        <v>14</v>
      </c>
      <c r="I305" s="12">
        <f t="shared" si="4"/>
        <v>44268</v>
      </c>
    </row>
    <row r="306" spans="1:9" s="13" customFormat="1" x14ac:dyDescent="0.35">
      <c r="A306" s="7" t="s">
        <v>634</v>
      </c>
      <c r="B306" s="8">
        <v>102138</v>
      </c>
      <c r="C306" s="8">
        <v>100002261</v>
      </c>
      <c r="D306" s="9" t="s">
        <v>635</v>
      </c>
      <c r="E306" s="9" t="s">
        <v>12</v>
      </c>
      <c r="F306" s="10" t="s">
        <v>16</v>
      </c>
      <c r="G306" s="10">
        <v>45177</v>
      </c>
      <c r="H306" s="11">
        <v>88</v>
      </c>
      <c r="I306" s="12">
        <f t="shared" si="4"/>
        <v>3975576</v>
      </c>
    </row>
    <row r="307" spans="1:9" s="13" customFormat="1" x14ac:dyDescent="0.35">
      <c r="A307" s="7" t="s">
        <v>636</v>
      </c>
      <c r="B307" s="8">
        <v>101000</v>
      </c>
      <c r="C307" s="8">
        <v>100002089</v>
      </c>
      <c r="D307" s="9" t="s">
        <v>637</v>
      </c>
      <c r="E307" s="9" t="s">
        <v>39</v>
      </c>
      <c r="F307" s="10" t="s">
        <v>16</v>
      </c>
      <c r="G307" s="10">
        <v>58</v>
      </c>
      <c r="H307" s="11">
        <v>15708</v>
      </c>
      <c r="I307" s="12">
        <f t="shared" si="4"/>
        <v>911064</v>
      </c>
    </row>
    <row r="308" spans="1:9" s="13" customFormat="1" x14ac:dyDescent="0.35">
      <c r="A308" s="7" t="s">
        <v>638</v>
      </c>
      <c r="B308" s="8">
        <v>101001</v>
      </c>
      <c r="C308" s="8">
        <v>100001223</v>
      </c>
      <c r="D308" s="9" t="s">
        <v>639</v>
      </c>
      <c r="E308" s="9" t="s">
        <v>31</v>
      </c>
      <c r="F308" s="10" t="s">
        <v>16</v>
      </c>
      <c r="G308" s="10">
        <v>422</v>
      </c>
      <c r="H308" s="11">
        <v>2028</v>
      </c>
      <c r="I308" s="12">
        <f t="shared" si="4"/>
        <v>855816</v>
      </c>
    </row>
    <row r="309" spans="1:9" s="13" customFormat="1" x14ac:dyDescent="0.35">
      <c r="A309" s="7" t="s">
        <v>640</v>
      </c>
      <c r="B309" s="8">
        <v>101002</v>
      </c>
      <c r="C309" s="8" t="s">
        <v>20</v>
      </c>
      <c r="D309" s="9" t="s">
        <v>641</v>
      </c>
      <c r="E309" s="9" t="s">
        <v>39</v>
      </c>
      <c r="F309" s="10" t="s">
        <v>16</v>
      </c>
      <c r="G309" s="10">
        <v>60</v>
      </c>
      <c r="H309" s="11">
        <v>23300</v>
      </c>
      <c r="I309" s="12">
        <f t="shared" si="4"/>
        <v>1398000</v>
      </c>
    </row>
    <row r="310" spans="1:9" s="13" customFormat="1" x14ac:dyDescent="0.35">
      <c r="A310" s="7" t="s">
        <v>642</v>
      </c>
      <c r="B310" s="8">
        <v>102196</v>
      </c>
      <c r="C310" s="8">
        <v>100002090</v>
      </c>
      <c r="D310" s="9" t="s">
        <v>643</v>
      </c>
      <c r="E310" s="9" t="s">
        <v>36</v>
      </c>
      <c r="F310" s="10" t="s">
        <v>16</v>
      </c>
      <c r="G310" s="10">
        <v>0</v>
      </c>
      <c r="H310" s="11">
        <v>9282</v>
      </c>
      <c r="I310" s="12">
        <f t="shared" si="4"/>
        <v>0</v>
      </c>
    </row>
    <row r="311" spans="1:9" s="13" customFormat="1" x14ac:dyDescent="0.35">
      <c r="A311" s="7" t="s">
        <v>644</v>
      </c>
      <c r="B311" s="8">
        <v>106063</v>
      </c>
      <c r="C311" s="8">
        <v>100001215</v>
      </c>
      <c r="D311" s="9" t="s">
        <v>645</v>
      </c>
      <c r="E311" s="9" t="s">
        <v>31</v>
      </c>
      <c r="F311" s="10" t="s">
        <v>16</v>
      </c>
      <c r="G311" s="10">
        <v>80</v>
      </c>
      <c r="H311" s="11">
        <v>464</v>
      </c>
      <c r="I311" s="12">
        <f t="shared" si="4"/>
        <v>37120</v>
      </c>
    </row>
    <row r="312" spans="1:9" s="13" customFormat="1" x14ac:dyDescent="0.35">
      <c r="A312" s="7" t="s">
        <v>646</v>
      </c>
      <c r="B312" s="8">
        <v>106070</v>
      </c>
      <c r="C312" s="8">
        <v>100001224</v>
      </c>
      <c r="D312" s="9" t="s">
        <v>647</v>
      </c>
      <c r="E312" s="9" t="s">
        <v>31</v>
      </c>
      <c r="F312" s="10" t="s">
        <v>16</v>
      </c>
      <c r="G312" s="10">
        <v>12</v>
      </c>
      <c r="H312" s="11">
        <v>36958</v>
      </c>
      <c r="I312" s="12">
        <f t="shared" si="4"/>
        <v>443496</v>
      </c>
    </row>
    <row r="313" spans="1:9" s="13" customFormat="1" x14ac:dyDescent="0.35">
      <c r="A313" s="7" t="s">
        <v>648</v>
      </c>
      <c r="B313" s="8">
        <v>102155</v>
      </c>
      <c r="C313" s="8">
        <v>100001233</v>
      </c>
      <c r="D313" s="9" t="s">
        <v>649</v>
      </c>
      <c r="E313" s="9" t="s">
        <v>12</v>
      </c>
      <c r="F313" s="10" t="s">
        <v>16</v>
      </c>
      <c r="G313" s="10">
        <v>2305</v>
      </c>
      <c r="H313" s="11">
        <v>26</v>
      </c>
      <c r="I313" s="12">
        <f t="shared" si="4"/>
        <v>59930</v>
      </c>
    </row>
    <row r="314" spans="1:9" s="13" customFormat="1" x14ac:dyDescent="0.35">
      <c r="A314" s="7" t="s">
        <v>650</v>
      </c>
      <c r="B314" s="8">
        <v>102075</v>
      </c>
      <c r="C314" s="8">
        <v>100001232</v>
      </c>
      <c r="D314" s="9" t="s">
        <v>651</v>
      </c>
      <c r="E314" s="9" t="s">
        <v>12</v>
      </c>
      <c r="F314" s="10" t="s">
        <v>16</v>
      </c>
      <c r="G314" s="10">
        <v>9288</v>
      </c>
      <c r="H314" s="11">
        <v>10</v>
      </c>
      <c r="I314" s="12">
        <f t="shared" si="4"/>
        <v>92880</v>
      </c>
    </row>
    <row r="315" spans="1:9" s="13" customFormat="1" x14ac:dyDescent="0.35">
      <c r="A315" s="7" t="s">
        <v>652</v>
      </c>
      <c r="B315" s="8">
        <v>102026</v>
      </c>
      <c r="C315" s="8">
        <v>100001243</v>
      </c>
      <c r="D315" s="9" t="s">
        <v>653</v>
      </c>
      <c r="E315" s="9" t="s">
        <v>36</v>
      </c>
      <c r="F315" s="10" t="s">
        <v>16</v>
      </c>
      <c r="G315" s="10">
        <v>65</v>
      </c>
      <c r="H315" s="11">
        <v>3213</v>
      </c>
      <c r="I315" s="12">
        <f t="shared" si="4"/>
        <v>208845</v>
      </c>
    </row>
    <row r="316" spans="1:9" s="13" customFormat="1" x14ac:dyDescent="0.35">
      <c r="A316" s="7" t="s">
        <v>654</v>
      </c>
      <c r="B316" s="8">
        <v>108013</v>
      </c>
      <c r="C316" s="8">
        <v>100002918</v>
      </c>
      <c r="D316" s="9" t="s">
        <v>655</v>
      </c>
      <c r="E316" s="9" t="s">
        <v>44</v>
      </c>
      <c r="F316" s="10" t="s">
        <v>16</v>
      </c>
      <c r="G316" s="10">
        <v>1036</v>
      </c>
      <c r="H316" s="11">
        <v>536</v>
      </c>
      <c r="I316" s="12">
        <f t="shared" si="4"/>
        <v>555296</v>
      </c>
    </row>
    <row r="317" spans="1:9" s="13" customFormat="1" x14ac:dyDescent="0.35">
      <c r="A317" s="7" t="s">
        <v>656</v>
      </c>
      <c r="B317" s="8">
        <v>102111</v>
      </c>
      <c r="C317" s="8">
        <v>100001255</v>
      </c>
      <c r="D317" s="9" t="s">
        <v>657</v>
      </c>
      <c r="E317" s="9" t="s">
        <v>12</v>
      </c>
      <c r="F317" s="10" t="s">
        <v>16</v>
      </c>
      <c r="G317" s="10">
        <v>1169</v>
      </c>
      <c r="H317" s="11">
        <v>39</v>
      </c>
      <c r="I317" s="12">
        <f t="shared" si="4"/>
        <v>45591</v>
      </c>
    </row>
    <row r="318" spans="1:9" s="13" customFormat="1" x14ac:dyDescent="0.35">
      <c r="A318" s="7" t="s">
        <v>658</v>
      </c>
      <c r="B318" s="8">
        <v>102157</v>
      </c>
      <c r="C318" s="8">
        <v>100002297</v>
      </c>
      <c r="D318" s="9" t="s">
        <v>659</v>
      </c>
      <c r="E318" s="9" t="s">
        <v>62</v>
      </c>
      <c r="F318" s="10" t="s">
        <v>16</v>
      </c>
      <c r="G318" s="10">
        <v>25</v>
      </c>
      <c r="H318" s="11">
        <v>2785</v>
      </c>
      <c r="I318" s="12">
        <f t="shared" si="4"/>
        <v>69625</v>
      </c>
    </row>
    <row r="319" spans="1:9" s="13" customFormat="1" x14ac:dyDescent="0.35">
      <c r="A319" s="7" t="s">
        <v>660</v>
      </c>
      <c r="B319" s="8">
        <v>209112</v>
      </c>
      <c r="C319" s="8">
        <v>100005518</v>
      </c>
      <c r="D319" s="9" t="s">
        <v>661</v>
      </c>
      <c r="E319" s="9" t="s">
        <v>36</v>
      </c>
      <c r="F319" s="10" t="s">
        <v>13</v>
      </c>
      <c r="G319" s="10">
        <v>248</v>
      </c>
      <c r="H319" s="11">
        <v>51170</v>
      </c>
      <c r="I319" s="12">
        <f t="shared" si="4"/>
        <v>12690160</v>
      </c>
    </row>
    <row r="320" spans="1:9" s="13" customFormat="1" x14ac:dyDescent="0.35">
      <c r="A320" s="7" t="s">
        <v>662</v>
      </c>
      <c r="B320" s="8">
        <v>209113</v>
      </c>
      <c r="C320" s="8">
        <v>100002611</v>
      </c>
      <c r="D320" s="9" t="s">
        <v>663</v>
      </c>
      <c r="E320" s="9" t="s">
        <v>36</v>
      </c>
      <c r="F320" s="10" t="s">
        <v>13</v>
      </c>
      <c r="G320" s="10">
        <v>122</v>
      </c>
      <c r="H320" s="11">
        <v>123760</v>
      </c>
      <c r="I320" s="12">
        <f t="shared" si="4"/>
        <v>15098720</v>
      </c>
    </row>
    <row r="321" spans="1:9" s="13" customFormat="1" x14ac:dyDescent="0.35">
      <c r="A321" s="7" t="s">
        <v>664</v>
      </c>
      <c r="B321" s="8">
        <v>102058</v>
      </c>
      <c r="C321" s="8">
        <v>100004354</v>
      </c>
      <c r="D321" s="9" t="s">
        <v>665</v>
      </c>
      <c r="E321" s="9" t="s">
        <v>12</v>
      </c>
      <c r="F321" s="10" t="s">
        <v>16</v>
      </c>
      <c r="G321" s="10">
        <v>769</v>
      </c>
      <c r="H321" s="11">
        <v>42</v>
      </c>
      <c r="I321" s="12">
        <f t="shared" si="4"/>
        <v>32298</v>
      </c>
    </row>
    <row r="322" spans="1:9" s="13" customFormat="1" x14ac:dyDescent="0.35">
      <c r="A322" s="7" t="s">
        <v>666</v>
      </c>
      <c r="B322" s="8">
        <v>106017</v>
      </c>
      <c r="C322" s="8">
        <v>100001260</v>
      </c>
      <c r="D322" s="9" t="s">
        <v>667</v>
      </c>
      <c r="E322" s="9" t="s">
        <v>36</v>
      </c>
      <c r="F322" s="10" t="s">
        <v>16</v>
      </c>
      <c r="G322" s="10">
        <v>417</v>
      </c>
      <c r="H322" s="11">
        <v>4641</v>
      </c>
      <c r="I322" s="12">
        <f t="shared" si="4"/>
        <v>1935297</v>
      </c>
    </row>
    <row r="323" spans="1:9" s="13" customFormat="1" x14ac:dyDescent="0.35">
      <c r="A323" s="7" t="s">
        <v>668</v>
      </c>
      <c r="B323" s="8">
        <v>105007</v>
      </c>
      <c r="C323" s="8">
        <v>100001266</v>
      </c>
      <c r="D323" s="9" t="s">
        <v>669</v>
      </c>
      <c r="E323" s="9" t="s">
        <v>62</v>
      </c>
      <c r="F323" s="10" t="s">
        <v>16</v>
      </c>
      <c r="G323" s="10">
        <v>192</v>
      </c>
      <c r="H323" s="11">
        <v>1107</v>
      </c>
      <c r="I323" s="12">
        <f t="shared" si="4"/>
        <v>212544</v>
      </c>
    </row>
    <row r="324" spans="1:9" s="13" customFormat="1" x14ac:dyDescent="0.35">
      <c r="A324" s="7" t="s">
        <v>670</v>
      </c>
      <c r="B324" s="8">
        <v>105008</v>
      </c>
      <c r="C324" s="8">
        <v>100002314</v>
      </c>
      <c r="D324" s="9" t="s">
        <v>671</v>
      </c>
      <c r="E324" s="9" t="s">
        <v>62</v>
      </c>
      <c r="F324" s="10" t="s">
        <v>16</v>
      </c>
      <c r="G324" s="10">
        <v>71</v>
      </c>
      <c r="H324" s="11">
        <v>1309</v>
      </c>
      <c r="I324" s="12">
        <f t="shared" ref="I324:I373" si="5">G324*H324</f>
        <v>92939</v>
      </c>
    </row>
    <row r="325" spans="1:9" s="13" customFormat="1" x14ac:dyDescent="0.35">
      <c r="A325" s="7" t="s">
        <v>672</v>
      </c>
      <c r="B325" s="8">
        <v>104029</v>
      </c>
      <c r="C325" s="8">
        <v>100001289</v>
      </c>
      <c r="D325" s="9" t="s">
        <v>673</v>
      </c>
      <c r="E325" s="9" t="s">
        <v>12</v>
      </c>
      <c r="F325" s="10" t="s">
        <v>16</v>
      </c>
      <c r="G325" s="10">
        <v>26565</v>
      </c>
      <c r="H325" s="11">
        <v>18</v>
      </c>
      <c r="I325" s="12">
        <f t="shared" si="5"/>
        <v>478170</v>
      </c>
    </row>
    <row r="326" spans="1:9" s="13" customFormat="1" x14ac:dyDescent="0.35">
      <c r="A326" s="7" t="s">
        <v>674</v>
      </c>
      <c r="B326" s="8">
        <v>101005</v>
      </c>
      <c r="C326" s="8">
        <v>100001295</v>
      </c>
      <c r="D326" s="9" t="s">
        <v>675</v>
      </c>
      <c r="E326" s="9" t="s">
        <v>62</v>
      </c>
      <c r="F326" s="10" t="s">
        <v>16</v>
      </c>
      <c r="G326" s="10">
        <v>110</v>
      </c>
      <c r="H326" s="11">
        <v>49904</v>
      </c>
      <c r="I326" s="12">
        <f t="shared" si="5"/>
        <v>5489440</v>
      </c>
    </row>
    <row r="327" spans="1:9" s="13" customFormat="1" x14ac:dyDescent="0.35">
      <c r="A327" s="7" t="s">
        <v>676</v>
      </c>
      <c r="B327" s="8">
        <v>102101</v>
      </c>
      <c r="C327" s="8" t="s">
        <v>20</v>
      </c>
      <c r="D327" s="9" t="s">
        <v>677</v>
      </c>
      <c r="E327" s="9" t="s">
        <v>51</v>
      </c>
      <c r="F327" s="10" t="s">
        <v>16</v>
      </c>
      <c r="G327" s="10">
        <v>0</v>
      </c>
      <c r="H327" s="11">
        <v>194</v>
      </c>
      <c r="I327" s="12">
        <f t="shared" si="5"/>
        <v>0</v>
      </c>
    </row>
    <row r="328" spans="1:9" s="13" customFormat="1" x14ac:dyDescent="0.35">
      <c r="A328" s="7" t="s">
        <v>678</v>
      </c>
      <c r="B328" s="8">
        <v>108014</v>
      </c>
      <c r="C328" s="8">
        <v>100001298</v>
      </c>
      <c r="D328" s="9" t="s">
        <v>679</v>
      </c>
      <c r="E328" s="9" t="s">
        <v>44</v>
      </c>
      <c r="F328" s="10" t="s">
        <v>16</v>
      </c>
      <c r="G328" s="10">
        <v>76</v>
      </c>
      <c r="H328" s="11">
        <v>1250</v>
      </c>
      <c r="I328" s="12">
        <f t="shared" si="5"/>
        <v>95000</v>
      </c>
    </row>
    <row r="329" spans="1:9" s="13" customFormat="1" x14ac:dyDescent="0.35">
      <c r="A329" s="7" t="s">
        <v>680</v>
      </c>
      <c r="B329" s="8">
        <v>108023</v>
      </c>
      <c r="C329" s="8">
        <v>100002335</v>
      </c>
      <c r="D329" s="9" t="s">
        <v>681</v>
      </c>
      <c r="E329" s="9" t="s">
        <v>44</v>
      </c>
      <c r="F329" s="10" t="s">
        <v>16</v>
      </c>
      <c r="G329" s="10">
        <v>132</v>
      </c>
      <c r="H329" s="11">
        <v>701</v>
      </c>
      <c r="I329" s="12">
        <f t="shared" si="5"/>
        <v>92532</v>
      </c>
    </row>
    <row r="330" spans="1:9" s="13" customFormat="1" x14ac:dyDescent="0.35">
      <c r="A330" s="7" t="s">
        <v>682</v>
      </c>
      <c r="B330" s="8">
        <v>392004</v>
      </c>
      <c r="C330" s="8">
        <v>100002919</v>
      </c>
      <c r="D330" s="9" t="s">
        <v>683</v>
      </c>
      <c r="E330" s="9" t="s">
        <v>44</v>
      </c>
      <c r="F330" s="10" t="s">
        <v>16</v>
      </c>
      <c r="G330" s="10">
        <v>2512</v>
      </c>
      <c r="H330" s="11">
        <v>461</v>
      </c>
      <c r="I330" s="12">
        <f t="shared" si="5"/>
        <v>1158032</v>
      </c>
    </row>
    <row r="331" spans="1:9" s="13" customFormat="1" x14ac:dyDescent="0.35">
      <c r="A331" s="7" t="s">
        <v>684</v>
      </c>
      <c r="B331" s="8">
        <v>106041</v>
      </c>
      <c r="C331" s="8">
        <v>100001310</v>
      </c>
      <c r="D331" s="9" t="s">
        <v>685</v>
      </c>
      <c r="E331" s="9" t="s">
        <v>31</v>
      </c>
      <c r="F331" s="10" t="s">
        <v>16</v>
      </c>
      <c r="G331" s="10">
        <v>22629</v>
      </c>
      <c r="H331" s="11">
        <v>127</v>
      </c>
      <c r="I331" s="12">
        <f t="shared" si="5"/>
        <v>2873883</v>
      </c>
    </row>
    <row r="332" spans="1:9" s="13" customFormat="1" x14ac:dyDescent="0.35">
      <c r="A332" s="7" t="s">
        <v>686</v>
      </c>
      <c r="B332" s="8">
        <v>108024</v>
      </c>
      <c r="C332" s="8">
        <v>100001306</v>
      </c>
      <c r="D332" s="9" t="s">
        <v>687</v>
      </c>
      <c r="E332" s="9" t="s">
        <v>44</v>
      </c>
      <c r="F332" s="10" t="s">
        <v>16</v>
      </c>
      <c r="G332" s="10">
        <v>1786</v>
      </c>
      <c r="H332" s="11">
        <v>470</v>
      </c>
      <c r="I332" s="12">
        <f t="shared" si="5"/>
        <v>839420</v>
      </c>
    </row>
    <row r="333" spans="1:9" s="13" customFormat="1" x14ac:dyDescent="0.35">
      <c r="A333" s="7" t="s">
        <v>688</v>
      </c>
      <c r="B333" s="8">
        <v>392005</v>
      </c>
      <c r="C333" s="8">
        <v>100001308</v>
      </c>
      <c r="D333" s="9" t="s">
        <v>689</v>
      </c>
      <c r="E333" s="9" t="s">
        <v>44</v>
      </c>
      <c r="F333" s="10" t="s">
        <v>16</v>
      </c>
      <c r="G333" s="10">
        <v>660</v>
      </c>
      <c r="H333" s="11">
        <v>500</v>
      </c>
      <c r="I333" s="12">
        <f t="shared" si="5"/>
        <v>330000</v>
      </c>
    </row>
    <row r="334" spans="1:9" s="13" customFormat="1" x14ac:dyDescent="0.35">
      <c r="A334" s="7" t="s">
        <v>690</v>
      </c>
      <c r="B334" s="8">
        <v>106042</v>
      </c>
      <c r="C334" s="8">
        <v>100002561</v>
      </c>
      <c r="D334" s="9" t="s">
        <v>691</v>
      </c>
      <c r="E334" s="9" t="s">
        <v>31</v>
      </c>
      <c r="F334" s="10" t="s">
        <v>16</v>
      </c>
      <c r="G334" s="10">
        <v>2177</v>
      </c>
      <c r="H334" s="11">
        <v>217</v>
      </c>
      <c r="I334" s="12">
        <f t="shared" si="5"/>
        <v>472409</v>
      </c>
    </row>
    <row r="335" spans="1:9" s="13" customFormat="1" x14ac:dyDescent="0.35">
      <c r="A335" s="7" t="s">
        <v>692</v>
      </c>
      <c r="B335" s="8">
        <v>101075</v>
      </c>
      <c r="C335" s="8">
        <v>100004673</v>
      </c>
      <c r="D335" s="9" t="s">
        <v>693</v>
      </c>
      <c r="E335" s="9" t="s">
        <v>12</v>
      </c>
      <c r="F335" s="10" t="s">
        <v>13</v>
      </c>
      <c r="G335" s="10">
        <v>336</v>
      </c>
      <c r="H335" s="11">
        <v>30975</v>
      </c>
      <c r="I335" s="12">
        <f t="shared" si="5"/>
        <v>10407600</v>
      </c>
    </row>
    <row r="336" spans="1:9" s="13" customFormat="1" x14ac:dyDescent="0.35">
      <c r="A336" s="7" t="s">
        <v>694</v>
      </c>
      <c r="B336" s="8">
        <v>102163</v>
      </c>
      <c r="C336" s="8" t="s">
        <v>20</v>
      </c>
      <c r="D336" s="9" t="s">
        <v>695</v>
      </c>
      <c r="E336" s="9" t="s">
        <v>62</v>
      </c>
      <c r="F336" s="10" t="s">
        <v>16</v>
      </c>
      <c r="G336" s="10">
        <v>54</v>
      </c>
      <c r="H336" s="11">
        <v>9510</v>
      </c>
      <c r="I336" s="12">
        <f t="shared" si="5"/>
        <v>513540</v>
      </c>
    </row>
    <row r="337" spans="1:9" s="13" customFormat="1" x14ac:dyDescent="0.35">
      <c r="A337" s="7" t="s">
        <v>696</v>
      </c>
      <c r="B337" s="8">
        <v>102052</v>
      </c>
      <c r="C337" s="8" t="s">
        <v>20</v>
      </c>
      <c r="D337" s="9" t="s">
        <v>697</v>
      </c>
      <c r="E337" s="9" t="s">
        <v>44</v>
      </c>
      <c r="F337" s="10" t="s">
        <v>16</v>
      </c>
      <c r="G337" s="10">
        <v>157</v>
      </c>
      <c r="H337" s="11">
        <v>8834</v>
      </c>
      <c r="I337" s="12">
        <f t="shared" si="5"/>
        <v>1386938</v>
      </c>
    </row>
    <row r="338" spans="1:9" s="13" customFormat="1" x14ac:dyDescent="0.35">
      <c r="A338" s="7" t="s">
        <v>698</v>
      </c>
      <c r="B338" s="8">
        <v>101063</v>
      </c>
      <c r="C338" s="8">
        <v>100003904</v>
      </c>
      <c r="D338" s="9" t="s">
        <v>699</v>
      </c>
      <c r="E338" s="9" t="s">
        <v>36</v>
      </c>
      <c r="F338" s="10" t="s">
        <v>16</v>
      </c>
      <c r="G338" s="10">
        <v>96</v>
      </c>
      <c r="H338" s="11">
        <v>5012</v>
      </c>
      <c r="I338" s="12">
        <f t="shared" si="5"/>
        <v>481152</v>
      </c>
    </row>
    <row r="339" spans="1:9" s="13" customFormat="1" x14ac:dyDescent="0.35">
      <c r="A339" s="7" t="s">
        <v>700</v>
      </c>
      <c r="B339" s="8">
        <v>101053</v>
      </c>
      <c r="C339" s="8">
        <v>100004493</v>
      </c>
      <c r="D339" s="9" t="s">
        <v>701</v>
      </c>
      <c r="E339" s="9" t="s">
        <v>51</v>
      </c>
      <c r="F339" s="10" t="s">
        <v>13</v>
      </c>
      <c r="G339" s="10">
        <v>112</v>
      </c>
      <c r="H339" s="11">
        <v>15748</v>
      </c>
      <c r="I339" s="12">
        <f t="shared" si="5"/>
        <v>1763776</v>
      </c>
    </row>
    <row r="340" spans="1:9" s="13" customFormat="1" x14ac:dyDescent="0.35">
      <c r="A340" s="7" t="s">
        <v>702</v>
      </c>
      <c r="B340" s="8">
        <v>209152</v>
      </c>
      <c r="C340" s="8">
        <v>100003902</v>
      </c>
      <c r="D340" s="9" t="s">
        <v>703</v>
      </c>
      <c r="E340" s="9" t="s">
        <v>51</v>
      </c>
      <c r="F340" s="10" t="s">
        <v>13</v>
      </c>
      <c r="G340" s="10">
        <v>504</v>
      </c>
      <c r="H340" s="11">
        <v>7729</v>
      </c>
      <c r="I340" s="12">
        <f t="shared" si="5"/>
        <v>3895416</v>
      </c>
    </row>
    <row r="341" spans="1:9" s="13" customFormat="1" x14ac:dyDescent="0.35">
      <c r="A341" s="7" t="s">
        <v>704</v>
      </c>
      <c r="B341" s="8">
        <v>106055</v>
      </c>
      <c r="C341" s="8">
        <v>100001358</v>
      </c>
      <c r="D341" s="9" t="s">
        <v>705</v>
      </c>
      <c r="E341" s="9" t="s">
        <v>31</v>
      </c>
      <c r="F341" s="10" t="s">
        <v>16</v>
      </c>
      <c r="G341" s="10">
        <v>78</v>
      </c>
      <c r="H341" s="11">
        <v>1702</v>
      </c>
      <c r="I341" s="12">
        <f t="shared" si="5"/>
        <v>132756</v>
      </c>
    </row>
    <row r="342" spans="1:9" s="13" customFormat="1" x14ac:dyDescent="0.35">
      <c r="A342" s="7" t="s">
        <v>706</v>
      </c>
      <c r="B342" s="8">
        <v>209147</v>
      </c>
      <c r="C342" s="8">
        <v>100002061</v>
      </c>
      <c r="D342" s="9" t="s">
        <v>707</v>
      </c>
      <c r="E342" s="9" t="s">
        <v>12</v>
      </c>
      <c r="F342" s="10" t="s">
        <v>13</v>
      </c>
      <c r="G342" s="10">
        <v>3496</v>
      </c>
      <c r="H342" s="11">
        <v>720</v>
      </c>
      <c r="I342" s="12">
        <f t="shared" si="5"/>
        <v>2517120</v>
      </c>
    </row>
    <row r="343" spans="1:9" s="13" customFormat="1" x14ac:dyDescent="0.35">
      <c r="A343" s="7" t="s">
        <v>708</v>
      </c>
      <c r="B343" s="8">
        <v>209084</v>
      </c>
      <c r="C343" s="8">
        <v>100001410</v>
      </c>
      <c r="D343" s="9" t="s">
        <v>709</v>
      </c>
      <c r="E343" s="9" t="s">
        <v>12</v>
      </c>
      <c r="F343" s="10" t="s">
        <v>13</v>
      </c>
      <c r="G343" s="10">
        <v>49170</v>
      </c>
      <c r="H343" s="11">
        <v>113</v>
      </c>
      <c r="I343" s="12">
        <f t="shared" si="5"/>
        <v>5556210</v>
      </c>
    </row>
    <row r="344" spans="1:9" s="13" customFormat="1" x14ac:dyDescent="0.35">
      <c r="A344" s="7" t="s">
        <v>710</v>
      </c>
      <c r="B344" s="8">
        <v>102189</v>
      </c>
      <c r="C344" s="8">
        <v>100004932</v>
      </c>
      <c r="D344" s="9" t="s">
        <v>711</v>
      </c>
      <c r="E344" s="9" t="s">
        <v>712</v>
      </c>
      <c r="F344" s="10" t="s">
        <v>16</v>
      </c>
      <c r="G344" s="10">
        <v>596</v>
      </c>
      <c r="H344" s="11">
        <v>1248</v>
      </c>
      <c r="I344" s="12">
        <f t="shared" si="5"/>
        <v>743808</v>
      </c>
    </row>
    <row r="345" spans="1:9" s="13" customFormat="1" x14ac:dyDescent="0.35">
      <c r="A345" s="7" t="s">
        <v>713</v>
      </c>
      <c r="B345" s="8">
        <v>102122</v>
      </c>
      <c r="C345" s="8">
        <v>100004702</v>
      </c>
      <c r="D345" s="9" t="s">
        <v>714</v>
      </c>
      <c r="E345" s="9" t="s">
        <v>712</v>
      </c>
      <c r="F345" s="10" t="s">
        <v>16</v>
      </c>
      <c r="G345" s="10">
        <v>1724</v>
      </c>
      <c r="H345" s="11">
        <v>791</v>
      </c>
      <c r="I345" s="12">
        <f t="shared" si="5"/>
        <v>1363684</v>
      </c>
    </row>
    <row r="346" spans="1:9" s="13" customFormat="1" x14ac:dyDescent="0.35">
      <c r="A346" s="7" t="s">
        <v>715</v>
      </c>
      <c r="B346" s="8">
        <v>209067</v>
      </c>
      <c r="C346" s="8">
        <v>100004645</v>
      </c>
      <c r="D346" s="9" t="s">
        <v>716</v>
      </c>
      <c r="E346" s="9" t="s">
        <v>51</v>
      </c>
      <c r="F346" s="10" t="s">
        <v>13</v>
      </c>
      <c r="G346" s="10">
        <v>500</v>
      </c>
      <c r="H346" s="11">
        <v>11287</v>
      </c>
      <c r="I346" s="12">
        <f t="shared" si="5"/>
        <v>5643500</v>
      </c>
    </row>
    <row r="347" spans="1:9" s="13" customFormat="1" x14ac:dyDescent="0.35">
      <c r="A347" s="7" t="s">
        <v>717</v>
      </c>
      <c r="B347" s="8">
        <v>209162</v>
      </c>
      <c r="C347" s="8">
        <v>100005312</v>
      </c>
      <c r="D347" s="9" t="s">
        <v>718</v>
      </c>
      <c r="E347" s="9" t="s">
        <v>51</v>
      </c>
      <c r="F347" s="10" t="s">
        <v>13</v>
      </c>
      <c r="G347" s="10">
        <v>280</v>
      </c>
      <c r="H347" s="11">
        <v>46410</v>
      </c>
      <c r="I347" s="12">
        <f t="shared" si="5"/>
        <v>12994800</v>
      </c>
    </row>
    <row r="348" spans="1:9" s="13" customFormat="1" x14ac:dyDescent="0.35">
      <c r="A348" s="7" t="s">
        <v>719</v>
      </c>
      <c r="B348" s="8">
        <v>209163</v>
      </c>
      <c r="C348" s="8">
        <v>100005313</v>
      </c>
      <c r="D348" s="9" t="s">
        <v>720</v>
      </c>
      <c r="E348" s="9" t="s">
        <v>51</v>
      </c>
      <c r="F348" s="10" t="s">
        <v>13</v>
      </c>
      <c r="G348" s="10">
        <v>80</v>
      </c>
      <c r="H348" s="11">
        <v>56525</v>
      </c>
      <c r="I348" s="12">
        <f t="shared" si="5"/>
        <v>4522000</v>
      </c>
    </row>
    <row r="349" spans="1:9" s="13" customFormat="1" x14ac:dyDescent="0.35">
      <c r="A349" s="7" t="s">
        <v>721</v>
      </c>
      <c r="B349" s="8">
        <v>209106</v>
      </c>
      <c r="C349" s="8">
        <v>100005314</v>
      </c>
      <c r="D349" s="9" t="s">
        <v>722</v>
      </c>
      <c r="E349" s="9" t="s">
        <v>51</v>
      </c>
      <c r="F349" s="10" t="s">
        <v>13</v>
      </c>
      <c r="G349" s="10">
        <v>115</v>
      </c>
      <c r="H349" s="11">
        <v>3570</v>
      </c>
      <c r="I349" s="12">
        <f t="shared" si="5"/>
        <v>410550</v>
      </c>
    </row>
    <row r="350" spans="1:9" s="13" customFormat="1" x14ac:dyDescent="0.35">
      <c r="A350" s="7" t="s">
        <v>723</v>
      </c>
      <c r="B350" s="8">
        <v>209135</v>
      </c>
      <c r="C350" s="8">
        <v>100005315</v>
      </c>
      <c r="D350" s="9" t="s">
        <v>724</v>
      </c>
      <c r="E350" s="9" t="s">
        <v>51</v>
      </c>
      <c r="F350" s="10" t="s">
        <v>13</v>
      </c>
      <c r="G350" s="10">
        <v>0</v>
      </c>
      <c r="H350" s="11">
        <v>59500</v>
      </c>
      <c r="I350" s="12">
        <f t="shared" si="5"/>
        <v>0</v>
      </c>
    </row>
    <row r="351" spans="1:9" s="13" customFormat="1" x14ac:dyDescent="0.35">
      <c r="A351" s="7" t="s">
        <v>725</v>
      </c>
      <c r="B351" s="8">
        <v>106050</v>
      </c>
      <c r="C351" s="8">
        <v>100004116</v>
      </c>
      <c r="D351" s="9" t="s">
        <v>726</v>
      </c>
      <c r="E351" s="9" t="s">
        <v>36</v>
      </c>
      <c r="F351" s="10" t="s">
        <v>13</v>
      </c>
      <c r="G351" s="10">
        <v>60</v>
      </c>
      <c r="H351" s="11">
        <v>83386</v>
      </c>
      <c r="I351" s="12">
        <f t="shared" si="5"/>
        <v>5003160</v>
      </c>
    </row>
    <row r="352" spans="1:9" s="13" customFormat="1" x14ac:dyDescent="0.35">
      <c r="A352" s="7" t="s">
        <v>727</v>
      </c>
      <c r="B352" s="8">
        <v>106043</v>
      </c>
      <c r="C352" s="8">
        <v>100001438</v>
      </c>
      <c r="D352" s="9" t="s">
        <v>728</v>
      </c>
      <c r="E352" s="9" t="s">
        <v>31</v>
      </c>
      <c r="F352" s="10" t="s">
        <v>16</v>
      </c>
      <c r="G352" s="10">
        <v>3154</v>
      </c>
      <c r="H352" s="11">
        <v>143</v>
      </c>
      <c r="I352" s="12">
        <f t="shared" si="5"/>
        <v>451022</v>
      </c>
    </row>
    <row r="353" spans="1:9" s="13" customFormat="1" x14ac:dyDescent="0.35">
      <c r="A353" s="7" t="s">
        <v>729</v>
      </c>
      <c r="B353" s="8">
        <v>102045</v>
      </c>
      <c r="C353" s="8">
        <v>100002080</v>
      </c>
      <c r="D353" s="9" t="s">
        <v>730</v>
      </c>
      <c r="E353" s="9" t="s">
        <v>36</v>
      </c>
      <c r="F353" s="10" t="s">
        <v>16</v>
      </c>
      <c r="G353" s="10">
        <v>0</v>
      </c>
      <c r="H353" s="11">
        <v>38240</v>
      </c>
      <c r="I353" s="12">
        <f t="shared" si="5"/>
        <v>0</v>
      </c>
    </row>
    <row r="354" spans="1:9" s="13" customFormat="1" x14ac:dyDescent="0.35">
      <c r="A354" s="7" t="s">
        <v>731</v>
      </c>
      <c r="B354" s="8">
        <v>101055</v>
      </c>
      <c r="C354" s="8" t="s">
        <v>20</v>
      </c>
      <c r="D354" s="9" t="s">
        <v>732</v>
      </c>
      <c r="E354" s="9" t="s">
        <v>36</v>
      </c>
      <c r="F354" s="10" t="s">
        <v>16</v>
      </c>
      <c r="G354" s="10">
        <v>1</v>
      </c>
      <c r="H354" s="11">
        <v>1663401</v>
      </c>
      <c r="I354" s="12">
        <f t="shared" si="5"/>
        <v>1663401</v>
      </c>
    </row>
    <row r="355" spans="1:9" s="13" customFormat="1" x14ac:dyDescent="0.35">
      <c r="A355" s="7" t="s">
        <v>733</v>
      </c>
      <c r="B355" s="8">
        <v>209103</v>
      </c>
      <c r="C355" s="8">
        <v>100002269</v>
      </c>
      <c r="D355" s="9" t="s">
        <v>734</v>
      </c>
      <c r="E355" s="9" t="s">
        <v>36</v>
      </c>
      <c r="F355" s="10" t="s">
        <v>13</v>
      </c>
      <c r="G355" s="10">
        <v>71</v>
      </c>
      <c r="H355" s="11">
        <v>222530</v>
      </c>
      <c r="I355" s="12">
        <f t="shared" si="5"/>
        <v>15799630</v>
      </c>
    </row>
    <row r="356" spans="1:9" s="13" customFormat="1" x14ac:dyDescent="0.35">
      <c r="A356" s="7" t="s">
        <v>735</v>
      </c>
      <c r="B356" s="8">
        <v>102171</v>
      </c>
      <c r="C356" s="8">
        <v>100004675</v>
      </c>
      <c r="D356" s="9" t="s">
        <v>736</v>
      </c>
      <c r="E356" s="9" t="s">
        <v>36</v>
      </c>
      <c r="F356" s="10" t="s">
        <v>16</v>
      </c>
      <c r="G356" s="10">
        <v>19</v>
      </c>
      <c r="H356" s="11">
        <v>290360</v>
      </c>
      <c r="I356" s="12">
        <f t="shared" si="5"/>
        <v>5516840</v>
      </c>
    </row>
    <row r="357" spans="1:9" s="13" customFormat="1" x14ac:dyDescent="0.35">
      <c r="A357" s="7" t="s">
        <v>737</v>
      </c>
      <c r="B357" s="8">
        <v>104042</v>
      </c>
      <c r="C357" s="8">
        <v>100001466</v>
      </c>
      <c r="D357" s="9" t="s">
        <v>738</v>
      </c>
      <c r="E357" s="9" t="s">
        <v>146</v>
      </c>
      <c r="F357" s="10" t="s">
        <v>16</v>
      </c>
      <c r="G357" s="10">
        <v>6204</v>
      </c>
      <c r="H357" s="11">
        <v>104</v>
      </c>
      <c r="I357" s="12">
        <f t="shared" si="5"/>
        <v>645216</v>
      </c>
    </row>
    <row r="358" spans="1:9" s="13" customFormat="1" x14ac:dyDescent="0.35">
      <c r="A358" s="7" t="s">
        <v>739</v>
      </c>
      <c r="B358" s="8">
        <v>106044</v>
      </c>
      <c r="C358" s="8">
        <v>100001464</v>
      </c>
      <c r="D358" s="9" t="s">
        <v>740</v>
      </c>
      <c r="E358" s="9" t="s">
        <v>31</v>
      </c>
      <c r="F358" s="10" t="s">
        <v>16</v>
      </c>
      <c r="G358" s="10">
        <v>2430</v>
      </c>
      <c r="H358" s="11">
        <v>117</v>
      </c>
      <c r="I358" s="12">
        <f t="shared" si="5"/>
        <v>284310</v>
      </c>
    </row>
    <row r="359" spans="1:9" s="13" customFormat="1" x14ac:dyDescent="0.35">
      <c r="A359" s="7" t="s">
        <v>741</v>
      </c>
      <c r="B359" s="8">
        <v>107011</v>
      </c>
      <c r="C359" s="8">
        <v>100001463</v>
      </c>
      <c r="D359" s="9" t="s">
        <v>742</v>
      </c>
      <c r="E359" s="9" t="s">
        <v>62</v>
      </c>
      <c r="F359" s="10" t="s">
        <v>16</v>
      </c>
      <c r="G359" s="10">
        <v>2277</v>
      </c>
      <c r="H359" s="11">
        <v>553</v>
      </c>
      <c r="I359" s="12">
        <f t="shared" si="5"/>
        <v>1259181</v>
      </c>
    </row>
    <row r="360" spans="1:9" s="13" customFormat="1" x14ac:dyDescent="0.35">
      <c r="A360" s="7" t="s">
        <v>743</v>
      </c>
      <c r="B360" s="8">
        <v>101051</v>
      </c>
      <c r="C360" s="8">
        <v>100003980</v>
      </c>
      <c r="D360" s="9" t="s">
        <v>744</v>
      </c>
      <c r="E360" s="9" t="s">
        <v>36</v>
      </c>
      <c r="F360" s="10" t="s">
        <v>13</v>
      </c>
      <c r="G360" s="10">
        <v>58</v>
      </c>
      <c r="H360" s="11">
        <v>1140085</v>
      </c>
      <c r="I360" s="12">
        <f t="shared" si="5"/>
        <v>66124930</v>
      </c>
    </row>
    <row r="361" spans="1:9" s="13" customFormat="1" x14ac:dyDescent="0.35">
      <c r="A361" s="7" t="s">
        <v>745</v>
      </c>
      <c r="B361" s="8">
        <v>101052</v>
      </c>
      <c r="C361" s="8">
        <v>100003979</v>
      </c>
      <c r="D361" s="9" t="s">
        <v>746</v>
      </c>
      <c r="E361" s="9" t="s">
        <v>36</v>
      </c>
      <c r="F361" s="10" t="s">
        <v>13</v>
      </c>
      <c r="G361" s="10">
        <v>85</v>
      </c>
      <c r="H361" s="11">
        <v>1824137</v>
      </c>
      <c r="I361" s="12">
        <f t="shared" si="5"/>
        <v>155051645</v>
      </c>
    </row>
    <row r="362" spans="1:9" s="13" customFormat="1" x14ac:dyDescent="0.35">
      <c r="A362" s="7" t="s">
        <v>747</v>
      </c>
      <c r="B362" s="8">
        <v>102197</v>
      </c>
      <c r="C362" s="8" t="s">
        <v>20</v>
      </c>
      <c r="D362" s="9" t="s">
        <v>748</v>
      </c>
      <c r="E362" s="9" t="s">
        <v>31</v>
      </c>
      <c r="F362" s="10" t="s">
        <v>16</v>
      </c>
      <c r="G362" s="10">
        <v>0</v>
      </c>
      <c r="H362" s="11">
        <v>0</v>
      </c>
      <c r="I362" s="12">
        <f t="shared" si="5"/>
        <v>0</v>
      </c>
    </row>
    <row r="363" spans="1:9" s="13" customFormat="1" x14ac:dyDescent="0.35">
      <c r="A363" s="7" t="s">
        <v>749</v>
      </c>
      <c r="B363" s="8">
        <v>102154</v>
      </c>
      <c r="C363" s="8">
        <v>100001470</v>
      </c>
      <c r="D363" s="9" t="s">
        <v>750</v>
      </c>
      <c r="E363" s="9" t="s">
        <v>12</v>
      </c>
      <c r="F363" s="10" t="s">
        <v>16</v>
      </c>
      <c r="G363" s="10">
        <v>6777</v>
      </c>
      <c r="H363" s="11">
        <v>155</v>
      </c>
      <c r="I363" s="12">
        <f t="shared" si="5"/>
        <v>1050435</v>
      </c>
    </row>
    <row r="364" spans="1:9" s="13" customFormat="1" x14ac:dyDescent="0.35">
      <c r="A364" s="7" t="s">
        <v>751</v>
      </c>
      <c r="B364" s="8">
        <v>209107</v>
      </c>
      <c r="C364" s="8">
        <v>100002342</v>
      </c>
      <c r="D364" s="9" t="s">
        <v>752</v>
      </c>
      <c r="E364" s="9" t="s">
        <v>36</v>
      </c>
      <c r="F364" s="10" t="s">
        <v>13</v>
      </c>
      <c r="G364" s="10">
        <v>201</v>
      </c>
      <c r="H364" s="11">
        <v>64260</v>
      </c>
      <c r="I364" s="12">
        <f t="shared" si="5"/>
        <v>12916260</v>
      </c>
    </row>
    <row r="365" spans="1:9" s="13" customFormat="1" x14ac:dyDescent="0.35">
      <c r="A365" s="7" t="s">
        <v>753</v>
      </c>
      <c r="B365" s="8">
        <v>101062</v>
      </c>
      <c r="C365" s="8" t="s">
        <v>20</v>
      </c>
      <c r="D365" s="9" t="s">
        <v>754</v>
      </c>
      <c r="E365" s="9" t="s">
        <v>36</v>
      </c>
      <c r="F365" s="10" t="s">
        <v>13</v>
      </c>
      <c r="G365" s="10">
        <v>36</v>
      </c>
      <c r="H365" s="11">
        <v>89250</v>
      </c>
      <c r="I365" s="12">
        <f t="shared" si="5"/>
        <v>3213000</v>
      </c>
    </row>
    <row r="366" spans="1:9" s="13" customFormat="1" x14ac:dyDescent="0.35">
      <c r="A366" s="7" t="s">
        <v>755</v>
      </c>
      <c r="B366" s="8">
        <v>101048</v>
      </c>
      <c r="C366" s="8">
        <v>100007031</v>
      </c>
      <c r="D366" s="9" t="s">
        <v>756</v>
      </c>
      <c r="E366" s="9" t="s">
        <v>36</v>
      </c>
      <c r="F366" s="10" t="s">
        <v>13</v>
      </c>
      <c r="G366" s="10">
        <v>35</v>
      </c>
      <c r="H366" s="11">
        <v>105654</v>
      </c>
      <c r="I366" s="12">
        <f t="shared" si="5"/>
        <v>3697890</v>
      </c>
    </row>
    <row r="367" spans="1:9" s="13" customFormat="1" x14ac:dyDescent="0.35">
      <c r="A367" s="7" t="s">
        <v>757</v>
      </c>
      <c r="B367" s="8">
        <v>103031</v>
      </c>
      <c r="C367" s="8">
        <v>100001547</v>
      </c>
      <c r="D367" s="9" t="s">
        <v>758</v>
      </c>
      <c r="E367" s="9" t="s">
        <v>36</v>
      </c>
      <c r="F367" s="10" t="s">
        <v>16</v>
      </c>
      <c r="G367" s="10">
        <v>880</v>
      </c>
      <c r="H367" s="11">
        <v>1586</v>
      </c>
      <c r="I367" s="12">
        <f t="shared" si="5"/>
        <v>1395680</v>
      </c>
    </row>
    <row r="368" spans="1:9" s="13" customFormat="1" x14ac:dyDescent="0.35">
      <c r="A368" s="7" t="s">
        <v>759</v>
      </c>
      <c r="B368" s="8">
        <v>105015</v>
      </c>
      <c r="C368" s="8" t="s">
        <v>20</v>
      </c>
      <c r="D368" s="9" t="s">
        <v>760</v>
      </c>
      <c r="E368" s="9" t="s">
        <v>62</v>
      </c>
      <c r="F368" s="10" t="s">
        <v>16</v>
      </c>
      <c r="G368" s="10">
        <v>5</v>
      </c>
      <c r="H368" s="11">
        <v>3897</v>
      </c>
      <c r="I368" s="12">
        <f t="shared" si="5"/>
        <v>19485</v>
      </c>
    </row>
    <row r="369" spans="1:9" s="13" customFormat="1" x14ac:dyDescent="0.35">
      <c r="A369" s="7" t="s">
        <v>761</v>
      </c>
      <c r="B369" s="8">
        <v>105010</v>
      </c>
      <c r="C369" s="8">
        <v>100001551</v>
      </c>
      <c r="D369" s="9" t="s">
        <v>762</v>
      </c>
      <c r="E369" s="9" t="s">
        <v>31</v>
      </c>
      <c r="F369" s="10" t="s">
        <v>16</v>
      </c>
      <c r="G369" s="10">
        <v>1404</v>
      </c>
      <c r="H369" s="11">
        <v>832</v>
      </c>
      <c r="I369" s="12">
        <f t="shared" si="5"/>
        <v>1168128</v>
      </c>
    </row>
    <row r="370" spans="1:9" s="13" customFormat="1" x14ac:dyDescent="0.35">
      <c r="A370" s="7" t="s">
        <v>763</v>
      </c>
      <c r="B370" s="8">
        <v>102139</v>
      </c>
      <c r="C370" s="8">
        <v>100002567</v>
      </c>
      <c r="D370" s="9" t="s">
        <v>764</v>
      </c>
      <c r="E370" s="9" t="s">
        <v>12</v>
      </c>
      <c r="F370" s="10" t="s">
        <v>16</v>
      </c>
      <c r="G370" s="10">
        <v>3734</v>
      </c>
      <c r="H370" s="11">
        <v>30</v>
      </c>
      <c r="I370" s="12">
        <f t="shared" si="5"/>
        <v>112020</v>
      </c>
    </row>
    <row r="371" spans="1:9" s="13" customFormat="1" x14ac:dyDescent="0.35">
      <c r="A371" s="7" t="s">
        <v>765</v>
      </c>
      <c r="B371" s="8">
        <v>209046</v>
      </c>
      <c r="C371" s="8" t="s">
        <v>766</v>
      </c>
      <c r="D371" s="9" t="s">
        <v>767</v>
      </c>
      <c r="E371" s="9" t="s">
        <v>36</v>
      </c>
      <c r="F371" s="10" t="s">
        <v>13</v>
      </c>
      <c r="G371" s="10">
        <v>19</v>
      </c>
      <c r="H371" s="11">
        <v>26900</v>
      </c>
      <c r="I371" s="12">
        <f t="shared" si="5"/>
        <v>511100</v>
      </c>
    </row>
    <row r="372" spans="1:9" s="13" customFormat="1" x14ac:dyDescent="0.35">
      <c r="A372" s="7" t="s">
        <v>768</v>
      </c>
      <c r="B372" s="8">
        <v>209047</v>
      </c>
      <c r="C372" s="8">
        <v>100001568</v>
      </c>
      <c r="D372" s="9" t="s">
        <v>769</v>
      </c>
      <c r="E372" s="9" t="s">
        <v>36</v>
      </c>
      <c r="F372" s="10" t="s">
        <v>13</v>
      </c>
      <c r="G372" s="10">
        <v>1</v>
      </c>
      <c r="H372" s="11">
        <v>17871</v>
      </c>
      <c r="I372" s="12">
        <f t="shared" si="5"/>
        <v>17871</v>
      </c>
    </row>
    <row r="373" spans="1:9" s="13" customFormat="1" x14ac:dyDescent="0.35">
      <c r="A373" s="7" t="s">
        <v>770</v>
      </c>
      <c r="B373" s="8">
        <v>209037</v>
      </c>
      <c r="C373" s="8">
        <v>100005318</v>
      </c>
      <c r="D373" s="9" t="s">
        <v>771</v>
      </c>
      <c r="E373" s="9" t="s">
        <v>36</v>
      </c>
      <c r="F373" s="10" t="s">
        <v>13</v>
      </c>
      <c r="G373" s="10">
        <v>16</v>
      </c>
      <c r="H373" s="11">
        <v>307290</v>
      </c>
      <c r="I373" s="12">
        <f t="shared" si="5"/>
        <v>4916640</v>
      </c>
    </row>
    <row r="374" spans="1:9" s="13" customFormat="1" x14ac:dyDescent="0.35">
      <c r="A374"/>
      <c r="B374"/>
      <c r="C374"/>
      <c r="D374"/>
      <c r="E374"/>
      <c r="F374"/>
      <c r="G374"/>
      <c r="H374" s="20" t="s">
        <v>772</v>
      </c>
      <c r="I374" s="21">
        <f>SUM(I4:I373)</f>
        <v>1684145100</v>
      </c>
    </row>
    <row r="375" spans="1:9" s="13" customFormat="1" x14ac:dyDescent="0.35">
      <c r="A375"/>
      <c r="B375"/>
      <c r="C375"/>
      <c r="D375"/>
      <c r="E375"/>
      <c r="F375"/>
      <c r="G375"/>
    </row>
    <row r="376" spans="1:9" s="13" customFormat="1" x14ac:dyDescent="0.35">
      <c r="A376"/>
      <c r="B376"/>
      <c r="C376"/>
      <c r="D376"/>
      <c r="E376"/>
      <c r="F376"/>
      <c r="G376"/>
    </row>
    <row r="377" spans="1:9" s="13" customFormat="1" x14ac:dyDescent="0.35">
      <c r="A377"/>
      <c r="B377"/>
      <c r="C377"/>
      <c r="D377"/>
      <c r="E377"/>
      <c r="F377"/>
      <c r="G377"/>
    </row>
    <row r="378" spans="1:9" s="13" customFormat="1" x14ac:dyDescent="0.35">
      <c r="A378"/>
      <c r="B378"/>
      <c r="C378"/>
      <c r="D378"/>
      <c r="E378"/>
      <c r="F378"/>
      <c r="G378"/>
    </row>
    <row r="379" spans="1:9" s="13" customFormat="1" x14ac:dyDescent="0.35">
      <c r="A379"/>
      <c r="B379"/>
      <c r="C379"/>
      <c r="D379"/>
      <c r="E379"/>
      <c r="F379"/>
      <c r="G379"/>
    </row>
    <row r="380" spans="1:9" s="13" customFormat="1" x14ac:dyDescent="0.35">
      <c r="A380"/>
      <c r="B380"/>
      <c r="C380"/>
      <c r="D380"/>
      <c r="E380"/>
      <c r="F380"/>
      <c r="G380"/>
    </row>
    <row r="381" spans="1:9" s="13" customFormat="1" x14ac:dyDescent="0.35">
      <c r="A381"/>
      <c r="B381"/>
      <c r="C381"/>
      <c r="D381"/>
      <c r="E381"/>
      <c r="F381"/>
      <c r="G381"/>
    </row>
    <row r="382" spans="1:9" s="13" customFormat="1" x14ac:dyDescent="0.35">
      <c r="A382"/>
      <c r="B382"/>
      <c r="C382"/>
      <c r="D382"/>
      <c r="E382"/>
      <c r="F382"/>
      <c r="G382"/>
    </row>
    <row r="383" spans="1:9" s="13" customFormat="1" x14ac:dyDescent="0.35">
      <c r="A383"/>
      <c r="B383"/>
      <c r="C383"/>
      <c r="D383"/>
      <c r="E383"/>
      <c r="F383"/>
      <c r="G383"/>
    </row>
    <row r="384" spans="1:9" s="13" customFormat="1" x14ac:dyDescent="0.35">
      <c r="A384"/>
      <c r="B384"/>
      <c r="C384"/>
      <c r="D384"/>
      <c r="E384"/>
      <c r="F384"/>
      <c r="G384"/>
    </row>
    <row r="385" spans="1:7" s="13" customFormat="1" x14ac:dyDescent="0.35">
      <c r="A385"/>
      <c r="B385"/>
      <c r="C385"/>
      <c r="D385"/>
      <c r="E385"/>
      <c r="F385"/>
      <c r="G385"/>
    </row>
    <row r="386" spans="1:7" s="13" customFormat="1" x14ac:dyDescent="0.35">
      <c r="A386"/>
      <c r="B386"/>
      <c r="C386"/>
      <c r="D386"/>
      <c r="E386"/>
      <c r="F386"/>
      <c r="G386"/>
    </row>
    <row r="387" spans="1:7" s="13" customFormat="1" x14ac:dyDescent="0.35">
      <c r="A387"/>
      <c r="B387"/>
      <c r="C387"/>
      <c r="D387"/>
      <c r="E387"/>
      <c r="F387"/>
      <c r="G387"/>
    </row>
    <row r="388" spans="1:7" s="13" customFormat="1" x14ac:dyDescent="0.35">
      <c r="A388"/>
      <c r="B388"/>
      <c r="C388"/>
      <c r="D388"/>
      <c r="E388"/>
      <c r="F388"/>
      <c r="G388"/>
    </row>
    <row r="389" spans="1:7" s="13" customFormat="1" x14ac:dyDescent="0.35">
      <c r="A389"/>
      <c r="B389"/>
      <c r="C389"/>
      <c r="D389"/>
      <c r="E389"/>
      <c r="F389"/>
      <c r="G389"/>
    </row>
    <row r="390" spans="1:7" s="13" customFormat="1" x14ac:dyDescent="0.35">
      <c r="A390"/>
      <c r="B390"/>
      <c r="C390"/>
      <c r="D390"/>
      <c r="E390"/>
      <c r="F390"/>
      <c r="G390"/>
    </row>
    <row r="391" spans="1:7" s="13" customFormat="1" x14ac:dyDescent="0.35">
      <c r="A391"/>
      <c r="B391"/>
      <c r="C391"/>
      <c r="D391"/>
      <c r="E391"/>
      <c r="F391"/>
      <c r="G391"/>
    </row>
    <row r="392" spans="1:7" s="13" customFormat="1" x14ac:dyDescent="0.35">
      <c r="A392"/>
      <c r="B392"/>
      <c r="C392"/>
      <c r="D392"/>
      <c r="E392"/>
      <c r="F392"/>
      <c r="G392"/>
    </row>
    <row r="393" spans="1:7" s="13" customFormat="1" x14ac:dyDescent="0.35">
      <c r="A393"/>
      <c r="B393"/>
      <c r="C393"/>
      <c r="D393"/>
      <c r="E393"/>
      <c r="F393"/>
      <c r="G393"/>
    </row>
    <row r="394" spans="1:7" s="13" customFormat="1" x14ac:dyDescent="0.35">
      <c r="A394"/>
      <c r="B394"/>
      <c r="C394"/>
      <c r="D394"/>
      <c r="E394"/>
      <c r="F394"/>
      <c r="G394"/>
    </row>
    <row r="395" spans="1:7" x14ac:dyDescent="0.35">
      <c r="B395"/>
    </row>
    <row r="396" spans="1:7" ht="16" x14ac:dyDescent="0.4">
      <c r="A396" s="22"/>
    </row>
    <row r="397" spans="1:7" s="6" customFormat="1" ht="25.5" customHeight="1" x14ac:dyDescent="0.4">
      <c r="A397" s="22"/>
      <c r="B397" s="23" t="s">
        <v>2</v>
      </c>
      <c r="C397" s="23" t="s">
        <v>3</v>
      </c>
      <c r="D397" s="23" t="s">
        <v>4</v>
      </c>
      <c r="E397" s="23" t="s">
        <v>5</v>
      </c>
    </row>
    <row r="398" spans="1:7" s="13" customFormat="1" ht="21.75" customHeight="1" x14ac:dyDescent="0.35">
      <c r="A398" s="7"/>
      <c r="B398" s="24">
        <v>106067</v>
      </c>
      <c r="C398" s="24" t="s">
        <v>20</v>
      </c>
      <c r="D398" s="25" t="s">
        <v>773</v>
      </c>
      <c r="E398" s="25" t="s">
        <v>36</v>
      </c>
      <c r="F398" s="26"/>
    </row>
    <row r="399" spans="1:7" s="13" customFormat="1" x14ac:dyDescent="0.35">
      <c r="A399" s="7"/>
      <c r="B399" s="24">
        <v>101067</v>
      </c>
      <c r="C399" s="24">
        <v>100002194</v>
      </c>
      <c r="D399" s="25" t="s">
        <v>774</v>
      </c>
      <c r="E399" s="25" t="s">
        <v>36</v>
      </c>
      <c r="F399" s="26"/>
    </row>
    <row r="400" spans="1:7" s="13" customFormat="1" x14ac:dyDescent="0.35">
      <c r="A400" s="7"/>
      <c r="B400" s="24">
        <v>102046</v>
      </c>
      <c r="C400" s="24">
        <v>100002308</v>
      </c>
      <c r="D400" s="25" t="s">
        <v>775</v>
      </c>
      <c r="E400" s="25" t="s">
        <v>36</v>
      </c>
      <c r="F400" s="26"/>
    </row>
    <row r="401" spans="1:8" s="13" customFormat="1" ht="26" x14ac:dyDescent="0.35">
      <c r="A401" s="7"/>
      <c r="B401" s="24">
        <v>209001</v>
      </c>
      <c r="C401" s="24">
        <v>100002210</v>
      </c>
      <c r="D401" s="25" t="s">
        <v>776</v>
      </c>
      <c r="E401" s="25" t="s">
        <v>36</v>
      </c>
      <c r="F401" s="26"/>
      <c r="H401" s="13" t="s">
        <v>777</v>
      </c>
    </row>
    <row r="402" spans="1:8" s="13" customFormat="1" x14ac:dyDescent="0.35">
      <c r="A402" s="7"/>
      <c r="B402" s="24">
        <v>102174</v>
      </c>
      <c r="C402" s="24">
        <v>100000699</v>
      </c>
      <c r="D402" s="25" t="s">
        <v>778</v>
      </c>
      <c r="E402" s="25" t="s">
        <v>36</v>
      </c>
      <c r="F402" s="26"/>
    </row>
    <row r="403" spans="1:8" s="13" customFormat="1" x14ac:dyDescent="0.35">
      <c r="A403" s="7"/>
      <c r="B403" s="24">
        <v>209111</v>
      </c>
      <c r="C403" s="24" t="s">
        <v>20</v>
      </c>
      <c r="D403" s="25" t="s">
        <v>779</v>
      </c>
      <c r="E403" s="25" t="s">
        <v>51</v>
      </c>
      <c r="F403" s="26"/>
    </row>
    <row r="404" spans="1:8" s="13" customFormat="1" ht="26" x14ac:dyDescent="0.35">
      <c r="A404" s="7"/>
      <c r="B404" s="24">
        <v>101101</v>
      </c>
      <c r="C404" s="24" t="s">
        <v>20</v>
      </c>
      <c r="D404" s="25" t="s">
        <v>780</v>
      </c>
      <c r="E404" s="25" t="s">
        <v>39</v>
      </c>
      <c r="F404" s="26"/>
    </row>
    <row r="405" spans="1:8" s="13" customFormat="1" x14ac:dyDescent="0.35">
      <c r="A405" s="7"/>
      <c r="B405" s="24">
        <v>101105</v>
      </c>
      <c r="C405" s="24" t="s">
        <v>20</v>
      </c>
      <c r="D405" s="25" t="s">
        <v>781</v>
      </c>
      <c r="E405" s="25" t="s">
        <v>51</v>
      </c>
      <c r="F405" s="26"/>
    </row>
    <row r="406" spans="1:8" s="13" customFormat="1" x14ac:dyDescent="0.35">
      <c r="A406" s="7"/>
      <c r="B406" s="24">
        <v>102063</v>
      </c>
      <c r="C406" s="24">
        <v>100002539</v>
      </c>
      <c r="D406" s="25" t="s">
        <v>782</v>
      </c>
      <c r="E406" s="25" t="s">
        <v>12</v>
      </c>
      <c r="F406" s="26"/>
    </row>
    <row r="407" spans="1:8" s="13" customFormat="1" ht="32.25" customHeight="1" x14ac:dyDescent="0.35">
      <c r="A407" s="7"/>
      <c r="B407" s="24">
        <v>102064</v>
      </c>
      <c r="C407" s="24">
        <v>100002081</v>
      </c>
      <c r="D407" s="25" t="s">
        <v>783</v>
      </c>
      <c r="E407" s="25" t="s">
        <v>36</v>
      </c>
      <c r="F407" s="26"/>
    </row>
    <row r="408" spans="1:8" ht="21" x14ac:dyDescent="0.35">
      <c r="A408" s="27"/>
    </row>
    <row r="409" spans="1:8" x14ac:dyDescent="0.35">
      <c r="B409"/>
    </row>
    <row r="410" spans="1:8" ht="21" x14ac:dyDescent="0.35">
      <c r="A410" s="27"/>
    </row>
    <row r="411" spans="1:8" s="6" customFormat="1" ht="25.5" customHeight="1" x14ac:dyDescent="0.35">
      <c r="A411" s="28"/>
      <c r="B411" s="23" t="s">
        <v>2</v>
      </c>
      <c r="C411" s="23" t="s">
        <v>3</v>
      </c>
      <c r="D411" s="23" t="s">
        <v>4</v>
      </c>
      <c r="E411" s="23" t="s">
        <v>5</v>
      </c>
      <c r="F411"/>
    </row>
    <row r="412" spans="1:8" s="13" customFormat="1" x14ac:dyDescent="0.35">
      <c r="A412" s="7"/>
      <c r="B412" s="24">
        <v>101092</v>
      </c>
      <c r="C412" s="24" t="s">
        <v>20</v>
      </c>
      <c r="D412" s="25" t="s">
        <v>784</v>
      </c>
      <c r="E412" s="25" t="s">
        <v>12</v>
      </c>
      <c r="F412" s="26"/>
    </row>
    <row r="413" spans="1:8" s="13" customFormat="1" x14ac:dyDescent="0.35">
      <c r="A413" s="7"/>
      <c r="B413" s="24">
        <v>101091</v>
      </c>
      <c r="C413" s="24" t="s">
        <v>20</v>
      </c>
      <c r="D413" s="25" t="s">
        <v>785</v>
      </c>
      <c r="E413" s="25" t="s">
        <v>12</v>
      </c>
      <c r="F413" s="26"/>
    </row>
    <row r="414" spans="1:8" s="13" customFormat="1" x14ac:dyDescent="0.35">
      <c r="A414" s="7"/>
      <c r="B414" s="24">
        <v>209143</v>
      </c>
      <c r="C414" s="24">
        <v>100004648</v>
      </c>
      <c r="D414" s="25" t="s">
        <v>786</v>
      </c>
      <c r="E414" s="25" t="s">
        <v>39</v>
      </c>
      <c r="F414" s="26"/>
    </row>
    <row r="415" spans="1:8" s="13" customFormat="1" x14ac:dyDescent="0.35">
      <c r="A415" s="7"/>
      <c r="B415" s="24">
        <v>101088</v>
      </c>
      <c r="C415" s="24" t="s">
        <v>20</v>
      </c>
      <c r="D415" s="25" t="s">
        <v>787</v>
      </c>
      <c r="E415" s="25" t="s">
        <v>51</v>
      </c>
      <c r="F415" s="26"/>
    </row>
    <row r="416" spans="1:8" s="13" customFormat="1" x14ac:dyDescent="0.35">
      <c r="A416" s="7"/>
      <c r="B416" s="24">
        <v>101089</v>
      </c>
      <c r="C416" s="24" t="s">
        <v>20</v>
      </c>
      <c r="D416" s="25" t="s">
        <v>788</v>
      </c>
      <c r="E416" s="25" t="s">
        <v>51</v>
      </c>
      <c r="F416" s="26"/>
    </row>
    <row r="417" spans="1:13" s="13" customFormat="1" x14ac:dyDescent="0.35">
      <c r="A417" s="7"/>
      <c r="B417" s="24">
        <v>101090</v>
      </c>
      <c r="C417" s="24" t="s">
        <v>20</v>
      </c>
      <c r="D417" s="25" t="s">
        <v>789</v>
      </c>
      <c r="E417" s="25" t="s">
        <v>51</v>
      </c>
      <c r="F417" s="26"/>
    </row>
    <row r="418" spans="1:13" s="13" customFormat="1" ht="26" x14ac:dyDescent="0.35">
      <c r="A418" s="7"/>
      <c r="B418" s="24">
        <v>101043</v>
      </c>
      <c r="C418" s="24" t="s">
        <v>20</v>
      </c>
      <c r="D418" s="25" t="s">
        <v>790</v>
      </c>
      <c r="E418" s="25" t="s">
        <v>36</v>
      </c>
      <c r="F418" s="26"/>
    </row>
    <row r="419" spans="1:13" s="13" customFormat="1" x14ac:dyDescent="0.35">
      <c r="A419" s="7"/>
      <c r="B419" s="24">
        <v>101096</v>
      </c>
      <c r="C419" s="24" t="s">
        <v>20</v>
      </c>
      <c r="D419" s="25" t="s">
        <v>791</v>
      </c>
      <c r="E419" s="25" t="s">
        <v>51</v>
      </c>
      <c r="F419" s="26"/>
    </row>
    <row r="420" spans="1:13" s="13" customFormat="1" x14ac:dyDescent="0.35">
      <c r="A420" s="7"/>
      <c r="B420" s="24">
        <v>101068</v>
      </c>
      <c r="C420" s="24">
        <v>100006198</v>
      </c>
      <c r="D420" s="25" t="s">
        <v>792</v>
      </c>
      <c r="E420" s="25" t="s">
        <v>51</v>
      </c>
      <c r="F420" s="26"/>
    </row>
    <row r="421" spans="1:13" s="13" customFormat="1" x14ac:dyDescent="0.35">
      <c r="A421" s="7"/>
      <c r="B421" s="24">
        <v>101100</v>
      </c>
      <c r="C421" s="24" t="s">
        <v>20</v>
      </c>
      <c r="D421" s="25" t="s">
        <v>793</v>
      </c>
      <c r="E421" s="25" t="s">
        <v>51</v>
      </c>
      <c r="F421" s="26"/>
    </row>
    <row r="422" spans="1:13" s="13" customFormat="1" x14ac:dyDescent="0.35">
      <c r="A422" s="7"/>
      <c r="B422" s="24">
        <v>201027</v>
      </c>
      <c r="C422" s="24" t="s">
        <v>20</v>
      </c>
      <c r="D422" s="25" t="s">
        <v>794</v>
      </c>
      <c r="E422" s="25" t="s">
        <v>12</v>
      </c>
      <c r="F422" s="26"/>
    </row>
    <row r="423" spans="1:13" ht="16" x14ac:dyDescent="0.4">
      <c r="A423" s="29"/>
    </row>
    <row r="424" spans="1:13" ht="16" x14ac:dyDescent="0.4">
      <c r="A424" s="29"/>
    </row>
    <row r="425" spans="1:13" ht="16" x14ac:dyDescent="0.4">
      <c r="A425" s="22"/>
    </row>
    <row r="426" spans="1:13" ht="16" x14ac:dyDescent="0.4">
      <c r="A426" s="22"/>
    </row>
    <row r="427" spans="1:13" s="3" customFormat="1" ht="16" x14ac:dyDescent="0.4">
      <c r="A427" s="22"/>
      <c r="F427"/>
      <c r="G427"/>
      <c r="H427"/>
      <c r="I427"/>
      <c r="J427"/>
      <c r="K427"/>
      <c r="L427"/>
      <c r="M427"/>
    </row>
    <row r="428" spans="1:13" s="3" customFormat="1" ht="16" x14ac:dyDescent="0.4">
      <c r="A428" s="22"/>
      <c r="F428"/>
      <c r="G428"/>
      <c r="H428"/>
      <c r="I428"/>
      <c r="J428"/>
      <c r="K428"/>
      <c r="L428"/>
      <c r="M428"/>
    </row>
    <row r="429" spans="1:13" s="3" customFormat="1" ht="16" x14ac:dyDescent="0.4">
      <c r="A429" s="22"/>
      <c r="F429"/>
      <c r="G429"/>
      <c r="H429"/>
      <c r="I429"/>
      <c r="J429"/>
      <c r="K429"/>
      <c r="L429"/>
      <c r="M429"/>
    </row>
    <row r="430" spans="1:13" s="3" customFormat="1" ht="16" x14ac:dyDescent="0.4">
      <c r="A430" s="22"/>
      <c r="F430"/>
      <c r="G430"/>
      <c r="H430"/>
      <c r="I430"/>
      <c r="J430"/>
      <c r="K430"/>
      <c r="L430"/>
      <c r="M430"/>
    </row>
    <row r="431" spans="1:13" s="3" customFormat="1" ht="16" x14ac:dyDescent="0.4">
      <c r="A431" s="22"/>
      <c r="F431"/>
      <c r="G431"/>
      <c r="H431"/>
      <c r="I431"/>
      <c r="J431"/>
      <c r="K431"/>
      <c r="L431"/>
      <c r="M431"/>
    </row>
    <row r="432" spans="1:13" s="3" customFormat="1" ht="16" x14ac:dyDescent="0.4">
      <c r="A432" s="22"/>
      <c r="F432"/>
      <c r="G432"/>
      <c r="H432"/>
      <c r="I432"/>
      <c r="J432"/>
      <c r="K432"/>
      <c r="L432"/>
      <c r="M432"/>
    </row>
    <row r="433" spans="1:13" s="3" customFormat="1" ht="16" x14ac:dyDescent="0.4">
      <c r="A433" s="22"/>
      <c r="F433"/>
      <c r="G433"/>
      <c r="H433"/>
      <c r="I433"/>
      <c r="J433"/>
      <c r="K433"/>
      <c r="L433"/>
      <c r="M433"/>
    </row>
    <row r="434" spans="1:13" s="3" customFormat="1" ht="16" x14ac:dyDescent="0.4">
      <c r="A434" s="22"/>
      <c r="F434"/>
      <c r="G434"/>
      <c r="H434"/>
      <c r="I434"/>
      <c r="J434"/>
      <c r="K434"/>
      <c r="L434"/>
      <c r="M434"/>
    </row>
    <row r="435" spans="1:13" s="3" customFormat="1" ht="16" x14ac:dyDescent="0.4">
      <c r="A435" s="22"/>
      <c r="F435"/>
      <c r="G435"/>
      <c r="H435"/>
      <c r="I435"/>
      <c r="J435"/>
      <c r="K435"/>
      <c r="L435"/>
      <c r="M435"/>
    </row>
    <row r="436" spans="1:13" s="3" customFormat="1" ht="16" x14ac:dyDescent="0.4">
      <c r="A436" s="22"/>
      <c r="F436"/>
      <c r="G436"/>
      <c r="H436"/>
      <c r="I436"/>
      <c r="J436"/>
      <c r="K436"/>
      <c r="L436"/>
      <c r="M436"/>
    </row>
    <row r="437" spans="1:13" s="3" customFormat="1" ht="16" x14ac:dyDescent="0.4">
      <c r="A437" s="22"/>
      <c r="F437"/>
      <c r="G437"/>
      <c r="H437"/>
      <c r="I437"/>
      <c r="J437"/>
      <c r="K437"/>
      <c r="L437"/>
      <c r="M437"/>
    </row>
    <row r="438" spans="1:13" s="3" customFormat="1" ht="16" x14ac:dyDescent="0.4">
      <c r="A438" s="22"/>
      <c r="F438"/>
      <c r="G438"/>
      <c r="H438"/>
      <c r="I438"/>
      <c r="J438"/>
      <c r="K438"/>
      <c r="L438"/>
      <c r="M438"/>
    </row>
    <row r="439" spans="1:13" s="3" customFormat="1" ht="16" x14ac:dyDescent="0.4">
      <c r="A439" s="22"/>
      <c r="F439"/>
      <c r="G439"/>
      <c r="H439"/>
      <c r="I439"/>
      <c r="J439"/>
      <c r="K439"/>
      <c r="L439"/>
      <c r="M439"/>
    </row>
    <row r="440" spans="1:13" s="3" customFormat="1" ht="16" x14ac:dyDescent="0.4">
      <c r="A440" s="22"/>
      <c r="F440"/>
      <c r="G440"/>
      <c r="H440"/>
      <c r="I440"/>
      <c r="J440"/>
      <c r="K440"/>
      <c r="L440"/>
      <c r="M440"/>
    </row>
    <row r="441" spans="1:13" s="3" customFormat="1" ht="16" x14ac:dyDescent="0.4">
      <c r="A441" s="22"/>
      <c r="F441"/>
      <c r="G441"/>
      <c r="H441"/>
      <c r="I441"/>
      <c r="J441"/>
      <c r="K441"/>
      <c r="L441"/>
      <c r="M441"/>
    </row>
    <row r="442" spans="1:13" s="3" customFormat="1" ht="16" x14ac:dyDescent="0.4">
      <c r="A442" s="22"/>
      <c r="F442"/>
      <c r="G442"/>
      <c r="H442"/>
      <c r="I442"/>
      <c r="J442"/>
      <c r="K442"/>
      <c r="L442"/>
      <c r="M442"/>
    </row>
    <row r="443" spans="1:13" s="3" customFormat="1" ht="16" x14ac:dyDescent="0.4">
      <c r="A443" s="22"/>
      <c r="F443"/>
      <c r="G443"/>
      <c r="H443"/>
      <c r="I443"/>
      <c r="J443"/>
      <c r="K443"/>
      <c r="L443"/>
      <c r="M443"/>
    </row>
    <row r="444" spans="1:13" s="3" customFormat="1" ht="16" x14ac:dyDescent="0.4">
      <c r="A444" s="22"/>
      <c r="F444"/>
      <c r="G444"/>
      <c r="H444"/>
      <c r="I444"/>
      <c r="J444"/>
      <c r="K444"/>
      <c r="L444"/>
      <c r="M444"/>
    </row>
    <row r="445" spans="1:13" s="3" customFormat="1" ht="16" x14ac:dyDescent="0.4">
      <c r="A445" s="22"/>
      <c r="F445"/>
      <c r="G445"/>
      <c r="H445"/>
      <c r="I445"/>
      <c r="J445"/>
      <c r="K445"/>
      <c r="L445"/>
      <c r="M445"/>
    </row>
    <row r="446" spans="1:13" s="3" customFormat="1" ht="16" x14ac:dyDescent="0.4">
      <c r="A446" s="22"/>
      <c r="F446"/>
      <c r="G446"/>
      <c r="H446"/>
      <c r="I446"/>
      <c r="J446"/>
      <c r="K446"/>
      <c r="L446"/>
      <c r="M446"/>
    </row>
  </sheetData>
  <mergeCells count="1">
    <mergeCell ref="A1:I1"/>
  </mergeCells>
  <conditionalFormatting sqref="B395:B1048576 B4:B373 B2">
    <cfRule type="duplicateValues" dxfId="2" priority="1"/>
  </conditionalFormatting>
  <pageMargins left="0.7" right="0.7" top="0.75" bottom="0.75" header="0.3" footer="0.3"/>
  <pageSetup scale="2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7112-9181-4256-B0E4-44B3E94665D3}">
  <sheetPr>
    <pageSetUpPr fitToPage="1"/>
  </sheetPr>
  <dimension ref="A1:M439"/>
  <sheetViews>
    <sheetView tabSelected="1" zoomScale="80" zoomScaleNormal="80" workbookViewId="0">
      <selection activeCell="N11" sqref="N11"/>
    </sheetView>
  </sheetViews>
  <sheetFormatPr baseColWidth="10" defaultRowHeight="14.5" x14ac:dyDescent="0.35"/>
  <cols>
    <col min="1" max="1" width="5.1796875" customWidth="1"/>
    <col min="2" max="2" width="12.7265625" style="3" customWidth="1"/>
    <col min="3" max="3" width="12.7265625" style="3" hidden="1" customWidth="1"/>
    <col min="4" max="4" width="43.81640625" style="3" customWidth="1"/>
    <col min="5" max="5" width="6.54296875" style="3" customWidth="1"/>
    <col min="6" max="6" width="4.453125" bestFit="1" customWidth="1"/>
    <col min="7" max="7" width="10.453125" customWidth="1"/>
    <col min="8" max="8" width="11.81640625" bestFit="1" customWidth="1"/>
    <col min="9" max="9" width="14.54296875" bestFit="1" customWidth="1"/>
    <col min="10" max="10" width="17.26953125" customWidth="1"/>
    <col min="13" max="13" width="28.7265625" customWidth="1"/>
  </cols>
  <sheetData>
    <row r="1" spans="1:13" x14ac:dyDescent="0.35">
      <c r="H1" s="30" t="s">
        <v>795</v>
      </c>
    </row>
    <row r="2" spans="1:13" x14ac:dyDescent="0.35">
      <c r="H2" s="31" t="s">
        <v>796</v>
      </c>
      <c r="I2" s="31" t="s">
        <v>797</v>
      </c>
      <c r="J2" s="31" t="s">
        <v>798</v>
      </c>
      <c r="K2" s="31" t="s">
        <v>799</v>
      </c>
      <c r="M2" s="31" t="s">
        <v>800</v>
      </c>
    </row>
    <row r="3" spans="1:13" ht="18.75" customHeight="1" x14ac:dyDescent="0.35">
      <c r="A3" s="32"/>
      <c r="H3" s="33">
        <v>273</v>
      </c>
      <c r="I3" s="33" t="s">
        <v>801</v>
      </c>
      <c r="J3" s="34">
        <f>J5-J4</f>
        <v>211881483</v>
      </c>
      <c r="K3" s="35">
        <f>J3/J5</f>
        <v>0.12580951783786326</v>
      </c>
      <c r="M3" s="36">
        <v>15</v>
      </c>
    </row>
    <row r="4" spans="1:13" x14ac:dyDescent="0.35">
      <c r="A4" s="32"/>
      <c r="H4" s="33">
        <v>97</v>
      </c>
      <c r="I4" s="33" t="s">
        <v>802</v>
      </c>
      <c r="J4" s="37">
        <v>1472263617</v>
      </c>
      <c r="K4" s="35">
        <f>J4/J5</f>
        <v>0.87419048216213679</v>
      </c>
      <c r="M4" s="36">
        <v>5</v>
      </c>
    </row>
    <row r="5" spans="1:13" x14ac:dyDescent="0.35">
      <c r="A5" s="38" t="s">
        <v>803</v>
      </c>
      <c r="B5" s="39"/>
      <c r="C5" s="39"/>
      <c r="D5" s="39"/>
      <c r="H5" s="40">
        <f>SUM(H3:H4)</f>
        <v>370</v>
      </c>
      <c r="I5" s="40" t="s">
        <v>804</v>
      </c>
      <c r="J5" s="41">
        <f>I381</f>
        <v>1684145100</v>
      </c>
      <c r="K5" s="42">
        <v>1</v>
      </c>
      <c r="M5" s="36">
        <v>21</v>
      </c>
    </row>
    <row r="6" spans="1:13" x14ac:dyDescent="0.35">
      <c r="A6" s="43" t="s">
        <v>805</v>
      </c>
      <c r="B6" s="44"/>
      <c r="C6" s="44"/>
      <c r="D6" s="44"/>
    </row>
    <row r="7" spans="1:13" x14ac:dyDescent="0.35">
      <c r="A7" s="45" t="s">
        <v>806</v>
      </c>
      <c r="B7" s="39"/>
      <c r="C7" s="39"/>
      <c r="D7" s="39"/>
    </row>
    <row r="8" spans="1:13" x14ac:dyDescent="0.35">
      <c r="A8" s="46"/>
      <c r="B8" s="47"/>
      <c r="C8" s="47"/>
      <c r="D8" s="47"/>
      <c r="E8" s="47"/>
    </row>
    <row r="9" spans="1:13" x14ac:dyDescent="0.35">
      <c r="A9" s="2"/>
    </row>
    <row r="10" spans="1:13" s="6" customFormat="1" ht="56" x14ac:dyDescent="0.35">
      <c r="A10" s="48" t="s">
        <v>1</v>
      </c>
      <c r="B10" s="5" t="s">
        <v>2</v>
      </c>
      <c r="C10" s="5" t="s">
        <v>3</v>
      </c>
      <c r="D10" s="5" t="s">
        <v>4</v>
      </c>
      <c r="E10" s="4" t="s">
        <v>5</v>
      </c>
      <c r="F10" s="4" t="s">
        <v>6</v>
      </c>
      <c r="G10" s="5" t="s">
        <v>807</v>
      </c>
      <c r="H10" s="5" t="s">
        <v>808</v>
      </c>
      <c r="I10" s="5" t="s">
        <v>9</v>
      </c>
      <c r="J10" s="5" t="s">
        <v>2</v>
      </c>
      <c r="K10" s="48" t="s">
        <v>1</v>
      </c>
    </row>
    <row r="11" spans="1:13" s="13" customFormat="1" x14ac:dyDescent="0.35">
      <c r="A11" s="7" t="s">
        <v>10</v>
      </c>
      <c r="B11" s="8">
        <v>101047</v>
      </c>
      <c r="C11" s="8">
        <v>100004700</v>
      </c>
      <c r="D11" s="9" t="s">
        <v>11</v>
      </c>
      <c r="E11" s="9" t="s">
        <v>12</v>
      </c>
      <c r="F11" s="10" t="s">
        <v>13</v>
      </c>
      <c r="G11" s="10">
        <v>22080</v>
      </c>
      <c r="H11" s="49">
        <v>845</v>
      </c>
      <c r="I11" s="12">
        <f t="shared" ref="I11:I74" si="0">G11*H11</f>
        <v>18657600</v>
      </c>
      <c r="J11" s="8">
        <v>101047</v>
      </c>
      <c r="K11" s="7" t="s">
        <v>10</v>
      </c>
    </row>
    <row r="12" spans="1:13" s="13" customFormat="1" x14ac:dyDescent="0.35">
      <c r="A12" s="7" t="s">
        <v>14</v>
      </c>
      <c r="B12" s="8">
        <v>102038</v>
      </c>
      <c r="C12" s="8">
        <v>100000009</v>
      </c>
      <c r="D12" s="9" t="s">
        <v>15</v>
      </c>
      <c r="E12" s="9" t="s">
        <v>12</v>
      </c>
      <c r="F12" s="10" t="s">
        <v>62</v>
      </c>
      <c r="G12" s="10">
        <v>747</v>
      </c>
      <c r="H12" s="49">
        <v>81</v>
      </c>
      <c r="I12" s="12">
        <f t="shared" si="0"/>
        <v>60507</v>
      </c>
      <c r="J12" s="8">
        <v>102038</v>
      </c>
      <c r="K12" s="7" t="s">
        <v>14</v>
      </c>
    </row>
    <row r="13" spans="1:13" s="13" customFormat="1" x14ac:dyDescent="0.35">
      <c r="A13" s="7" t="s">
        <v>17</v>
      </c>
      <c r="B13" s="8">
        <v>103001</v>
      </c>
      <c r="C13" s="8">
        <v>100000013</v>
      </c>
      <c r="D13" s="9" t="s">
        <v>18</v>
      </c>
      <c r="E13" s="9" t="s">
        <v>12</v>
      </c>
      <c r="F13" s="10" t="s">
        <v>62</v>
      </c>
      <c r="G13" s="10">
        <v>16145</v>
      </c>
      <c r="H13" s="49">
        <v>67</v>
      </c>
      <c r="I13" s="12">
        <f t="shared" si="0"/>
        <v>1081715</v>
      </c>
      <c r="J13" s="8">
        <v>103001</v>
      </c>
      <c r="K13" s="7" t="s">
        <v>17</v>
      </c>
    </row>
    <row r="14" spans="1:13" s="13" customFormat="1" x14ac:dyDescent="0.35">
      <c r="A14" s="7" t="s">
        <v>19</v>
      </c>
      <c r="B14" s="8">
        <v>103039</v>
      </c>
      <c r="C14" s="8" t="s">
        <v>20</v>
      </c>
      <c r="D14" s="9" t="s">
        <v>21</v>
      </c>
      <c r="E14" s="9" t="s">
        <v>22</v>
      </c>
      <c r="F14" s="10" t="s">
        <v>62</v>
      </c>
      <c r="G14" s="10">
        <v>26</v>
      </c>
      <c r="H14" s="49">
        <v>1398</v>
      </c>
      <c r="I14" s="12">
        <f t="shared" si="0"/>
        <v>36348</v>
      </c>
      <c r="J14" s="8">
        <v>103039</v>
      </c>
      <c r="K14" s="7" t="s">
        <v>19</v>
      </c>
    </row>
    <row r="15" spans="1:13" s="13" customFormat="1" x14ac:dyDescent="0.35">
      <c r="A15" s="7" t="s">
        <v>23</v>
      </c>
      <c r="B15" s="8">
        <v>102037</v>
      </c>
      <c r="C15" s="8">
        <v>100000003</v>
      </c>
      <c r="D15" s="9" t="s">
        <v>24</v>
      </c>
      <c r="E15" s="9" t="s">
        <v>12</v>
      </c>
      <c r="F15" s="10" t="s">
        <v>62</v>
      </c>
      <c r="G15" s="10">
        <v>8380</v>
      </c>
      <c r="H15" s="49">
        <v>8</v>
      </c>
      <c r="I15" s="12">
        <f t="shared" si="0"/>
        <v>67040</v>
      </c>
      <c r="J15" s="8">
        <v>102037</v>
      </c>
      <c r="K15" s="7" t="s">
        <v>23</v>
      </c>
    </row>
    <row r="16" spans="1:13" s="13" customFormat="1" x14ac:dyDescent="0.35">
      <c r="A16" s="7" t="s">
        <v>25</v>
      </c>
      <c r="B16" s="8">
        <v>104001</v>
      </c>
      <c r="C16" s="8">
        <v>100000021</v>
      </c>
      <c r="D16" s="9" t="s">
        <v>26</v>
      </c>
      <c r="E16" s="9" t="s">
        <v>12</v>
      </c>
      <c r="F16" s="10" t="s">
        <v>62</v>
      </c>
      <c r="G16" s="10">
        <v>12035</v>
      </c>
      <c r="H16" s="49">
        <v>22</v>
      </c>
      <c r="I16" s="12">
        <f t="shared" si="0"/>
        <v>264770</v>
      </c>
      <c r="J16" s="8">
        <v>104001</v>
      </c>
      <c r="K16" s="7" t="s">
        <v>25</v>
      </c>
    </row>
    <row r="17" spans="1:11" s="13" customFormat="1" x14ac:dyDescent="0.35">
      <c r="A17" s="7" t="s">
        <v>27</v>
      </c>
      <c r="B17" s="8">
        <v>104055</v>
      </c>
      <c r="C17" s="8">
        <v>100000022</v>
      </c>
      <c r="D17" s="9" t="s">
        <v>28</v>
      </c>
      <c r="E17" s="9" t="s">
        <v>12</v>
      </c>
      <c r="F17" s="10" t="s">
        <v>62</v>
      </c>
      <c r="G17" s="10">
        <v>4613</v>
      </c>
      <c r="H17" s="49">
        <v>17</v>
      </c>
      <c r="I17" s="12">
        <f t="shared" si="0"/>
        <v>78421</v>
      </c>
      <c r="J17" s="8">
        <v>104055</v>
      </c>
      <c r="K17" s="7" t="s">
        <v>27</v>
      </c>
    </row>
    <row r="18" spans="1:11" s="13" customFormat="1" x14ac:dyDescent="0.35">
      <c r="A18" s="7" t="s">
        <v>29</v>
      </c>
      <c r="B18" s="8">
        <v>106019</v>
      </c>
      <c r="C18" s="8">
        <v>100002000</v>
      </c>
      <c r="D18" s="9" t="s">
        <v>30</v>
      </c>
      <c r="E18" s="9" t="s">
        <v>31</v>
      </c>
      <c r="F18" s="10" t="s">
        <v>62</v>
      </c>
      <c r="G18" s="10">
        <v>518</v>
      </c>
      <c r="H18" s="49">
        <v>583</v>
      </c>
      <c r="I18" s="12">
        <f t="shared" si="0"/>
        <v>301994</v>
      </c>
      <c r="J18" s="8">
        <v>106019</v>
      </c>
      <c r="K18" s="7" t="s">
        <v>29</v>
      </c>
    </row>
    <row r="19" spans="1:11" s="13" customFormat="1" x14ac:dyDescent="0.35">
      <c r="A19" s="7" t="s">
        <v>32</v>
      </c>
      <c r="B19" s="8">
        <v>101030</v>
      </c>
      <c r="C19" s="8">
        <v>100000028</v>
      </c>
      <c r="D19" s="9" t="s">
        <v>33</v>
      </c>
      <c r="E19" s="9" t="s">
        <v>12</v>
      </c>
      <c r="F19" s="10" t="s">
        <v>62</v>
      </c>
      <c r="G19" s="10">
        <v>601</v>
      </c>
      <c r="H19" s="49">
        <v>899</v>
      </c>
      <c r="I19" s="12">
        <f t="shared" si="0"/>
        <v>540299</v>
      </c>
      <c r="J19" s="8">
        <v>101030</v>
      </c>
      <c r="K19" s="7" t="s">
        <v>32</v>
      </c>
    </row>
    <row r="20" spans="1:11" s="13" customFormat="1" x14ac:dyDescent="0.35">
      <c r="A20" s="7" t="s">
        <v>34</v>
      </c>
      <c r="B20" s="8">
        <v>209052</v>
      </c>
      <c r="C20" s="8">
        <v>100000036</v>
      </c>
      <c r="D20" s="9" t="s">
        <v>35</v>
      </c>
      <c r="E20" s="9" t="s">
        <v>36</v>
      </c>
      <c r="F20" s="10" t="s">
        <v>13</v>
      </c>
      <c r="G20" s="10">
        <v>179</v>
      </c>
      <c r="H20" s="49">
        <v>7878</v>
      </c>
      <c r="I20" s="12">
        <f t="shared" si="0"/>
        <v>1410162</v>
      </c>
      <c r="J20" s="8">
        <v>209052</v>
      </c>
      <c r="K20" s="7" t="s">
        <v>34</v>
      </c>
    </row>
    <row r="21" spans="1:11" s="13" customFormat="1" x14ac:dyDescent="0.35">
      <c r="A21" s="7" t="s">
        <v>37</v>
      </c>
      <c r="B21" s="8">
        <v>101035</v>
      </c>
      <c r="C21" s="8">
        <v>100000038</v>
      </c>
      <c r="D21" s="9" t="s">
        <v>38</v>
      </c>
      <c r="E21" s="9" t="s">
        <v>39</v>
      </c>
      <c r="F21" s="10" t="s">
        <v>62</v>
      </c>
      <c r="G21" s="10">
        <v>21</v>
      </c>
      <c r="H21" s="49">
        <v>1488</v>
      </c>
      <c r="I21" s="12">
        <f t="shared" si="0"/>
        <v>31248</v>
      </c>
      <c r="J21" s="8">
        <v>101035</v>
      </c>
      <c r="K21" s="7" t="s">
        <v>37</v>
      </c>
    </row>
    <row r="22" spans="1:11" s="13" customFormat="1" x14ac:dyDescent="0.35">
      <c r="A22" s="7" t="s">
        <v>40</v>
      </c>
      <c r="B22" s="8">
        <v>101058</v>
      </c>
      <c r="C22" s="8">
        <v>100004982</v>
      </c>
      <c r="D22" s="9" t="s">
        <v>41</v>
      </c>
      <c r="E22" s="9" t="s">
        <v>12</v>
      </c>
      <c r="F22" s="10" t="s">
        <v>13</v>
      </c>
      <c r="G22" s="10">
        <v>84</v>
      </c>
      <c r="H22" s="49">
        <v>45026</v>
      </c>
      <c r="I22" s="12">
        <f t="shared" si="0"/>
        <v>3782184</v>
      </c>
      <c r="J22" s="8">
        <v>101058</v>
      </c>
      <c r="K22" s="7" t="s">
        <v>40</v>
      </c>
    </row>
    <row r="23" spans="1:11" s="13" customFormat="1" x14ac:dyDescent="0.35">
      <c r="A23" s="7" t="s">
        <v>42</v>
      </c>
      <c r="B23" s="8">
        <v>106001</v>
      </c>
      <c r="C23" s="8">
        <v>100000046</v>
      </c>
      <c r="D23" s="9" t="s">
        <v>46</v>
      </c>
      <c r="E23" s="9" t="s">
        <v>31</v>
      </c>
      <c r="F23" s="10" t="s">
        <v>62</v>
      </c>
      <c r="G23" s="10">
        <v>1780</v>
      </c>
      <c r="H23" s="49">
        <v>238</v>
      </c>
      <c r="I23" s="12">
        <f t="shared" si="0"/>
        <v>423640</v>
      </c>
      <c r="J23" s="8">
        <v>106001</v>
      </c>
      <c r="K23" s="7" t="s">
        <v>42</v>
      </c>
    </row>
    <row r="24" spans="1:11" s="13" customFormat="1" x14ac:dyDescent="0.35">
      <c r="A24" s="7" t="s">
        <v>45</v>
      </c>
      <c r="B24" s="8">
        <v>108017</v>
      </c>
      <c r="C24" s="8">
        <v>100000044</v>
      </c>
      <c r="D24" s="9" t="s">
        <v>43</v>
      </c>
      <c r="E24" s="9" t="s">
        <v>44</v>
      </c>
      <c r="F24" s="10" t="s">
        <v>62</v>
      </c>
      <c r="G24" s="10">
        <v>45</v>
      </c>
      <c r="H24" s="49">
        <v>643</v>
      </c>
      <c r="I24" s="12">
        <f t="shared" si="0"/>
        <v>28935</v>
      </c>
      <c r="J24" s="8">
        <v>108017</v>
      </c>
      <c r="K24" s="7" t="s">
        <v>45</v>
      </c>
    </row>
    <row r="25" spans="1:11" s="13" customFormat="1" x14ac:dyDescent="0.35">
      <c r="A25" s="7" t="s">
        <v>47</v>
      </c>
      <c r="B25" s="8">
        <v>106073</v>
      </c>
      <c r="C25" s="8">
        <v>100000085</v>
      </c>
      <c r="D25" s="9" t="s">
        <v>48</v>
      </c>
      <c r="E25" s="9" t="s">
        <v>36</v>
      </c>
      <c r="F25" s="10" t="s">
        <v>62</v>
      </c>
      <c r="G25" s="10">
        <v>186</v>
      </c>
      <c r="H25" s="49">
        <v>21950</v>
      </c>
      <c r="I25" s="12">
        <f t="shared" si="0"/>
        <v>4082700</v>
      </c>
      <c r="J25" s="8">
        <v>106073</v>
      </c>
      <c r="K25" s="7" t="s">
        <v>47</v>
      </c>
    </row>
    <row r="26" spans="1:11" s="13" customFormat="1" x14ac:dyDescent="0.35">
      <c r="A26" s="7" t="s">
        <v>49</v>
      </c>
      <c r="B26" s="8">
        <v>101098</v>
      </c>
      <c r="C26" s="8">
        <v>100005325</v>
      </c>
      <c r="D26" s="9" t="s">
        <v>50</v>
      </c>
      <c r="E26" s="9" t="s">
        <v>51</v>
      </c>
      <c r="F26" s="10" t="s">
        <v>13</v>
      </c>
      <c r="G26" s="10">
        <v>1344</v>
      </c>
      <c r="H26" s="49">
        <v>13483</v>
      </c>
      <c r="I26" s="12">
        <f t="shared" si="0"/>
        <v>18121152</v>
      </c>
      <c r="J26" s="8">
        <v>101098</v>
      </c>
      <c r="K26" s="7" t="s">
        <v>49</v>
      </c>
    </row>
    <row r="27" spans="1:11" s="13" customFormat="1" x14ac:dyDescent="0.35">
      <c r="A27" s="7" t="s">
        <v>52</v>
      </c>
      <c r="B27" s="8">
        <v>109007</v>
      </c>
      <c r="C27" s="8">
        <v>100000100</v>
      </c>
      <c r="D27" s="9" t="s">
        <v>53</v>
      </c>
      <c r="E27" s="9" t="s">
        <v>12</v>
      </c>
      <c r="F27" s="10" t="s">
        <v>62</v>
      </c>
      <c r="G27" s="10">
        <v>1295</v>
      </c>
      <c r="H27" s="49">
        <v>20</v>
      </c>
      <c r="I27" s="12">
        <f t="shared" si="0"/>
        <v>25900</v>
      </c>
      <c r="J27" s="8">
        <v>109007</v>
      </c>
      <c r="K27" s="7" t="s">
        <v>52</v>
      </c>
    </row>
    <row r="28" spans="1:11" s="13" customFormat="1" x14ac:dyDescent="0.35">
      <c r="A28" s="7" t="s">
        <v>54</v>
      </c>
      <c r="B28" s="8">
        <v>109043</v>
      </c>
      <c r="C28" s="8">
        <v>100000101</v>
      </c>
      <c r="D28" s="9" t="s">
        <v>55</v>
      </c>
      <c r="E28" s="9" t="s">
        <v>12</v>
      </c>
      <c r="F28" s="10" t="s">
        <v>62</v>
      </c>
      <c r="G28" s="10">
        <v>2297</v>
      </c>
      <c r="H28" s="49">
        <v>34</v>
      </c>
      <c r="I28" s="12">
        <f t="shared" si="0"/>
        <v>78098</v>
      </c>
      <c r="J28" s="8">
        <v>109043</v>
      </c>
      <c r="K28" s="7" t="s">
        <v>54</v>
      </c>
    </row>
    <row r="29" spans="1:11" s="13" customFormat="1" x14ac:dyDescent="0.35">
      <c r="A29" s="7" t="s">
        <v>56</v>
      </c>
      <c r="B29" s="8">
        <v>102028</v>
      </c>
      <c r="C29" s="8">
        <v>100000103</v>
      </c>
      <c r="D29" s="9" t="s">
        <v>57</v>
      </c>
      <c r="E29" s="9" t="s">
        <v>12</v>
      </c>
      <c r="F29" s="10" t="s">
        <v>62</v>
      </c>
      <c r="G29" s="10">
        <v>15341</v>
      </c>
      <c r="H29" s="49">
        <v>15</v>
      </c>
      <c r="I29" s="12">
        <f t="shared" si="0"/>
        <v>230115</v>
      </c>
      <c r="J29" s="8">
        <v>102028</v>
      </c>
      <c r="K29" s="7" t="s">
        <v>56</v>
      </c>
    </row>
    <row r="30" spans="1:11" s="13" customFormat="1" x14ac:dyDescent="0.35">
      <c r="A30" s="7" t="s">
        <v>58</v>
      </c>
      <c r="B30" s="8">
        <v>103002</v>
      </c>
      <c r="C30" s="8">
        <v>100000113</v>
      </c>
      <c r="D30" s="9" t="s">
        <v>59</v>
      </c>
      <c r="E30" s="9" t="s">
        <v>31</v>
      </c>
      <c r="F30" s="10" t="s">
        <v>62</v>
      </c>
      <c r="G30" s="10">
        <v>317</v>
      </c>
      <c r="H30" s="49">
        <v>250</v>
      </c>
      <c r="I30" s="12">
        <f t="shared" si="0"/>
        <v>79250</v>
      </c>
      <c r="J30" s="8">
        <v>103002</v>
      </c>
      <c r="K30" s="7" t="s">
        <v>58</v>
      </c>
    </row>
    <row r="31" spans="1:11" s="13" customFormat="1" x14ac:dyDescent="0.35">
      <c r="A31" s="7" t="s">
        <v>60</v>
      </c>
      <c r="B31" s="8">
        <v>108001</v>
      </c>
      <c r="C31" s="8">
        <v>100000114</v>
      </c>
      <c r="D31" s="9" t="s">
        <v>61</v>
      </c>
      <c r="E31" s="9" t="s">
        <v>62</v>
      </c>
      <c r="F31" s="10" t="s">
        <v>62</v>
      </c>
      <c r="G31" s="10">
        <v>23</v>
      </c>
      <c r="H31" s="49">
        <v>4820</v>
      </c>
      <c r="I31" s="12">
        <f t="shared" si="0"/>
        <v>110860</v>
      </c>
      <c r="J31" s="8">
        <v>108001</v>
      </c>
      <c r="K31" s="7" t="s">
        <v>60</v>
      </c>
    </row>
    <row r="32" spans="1:11" s="13" customFormat="1" x14ac:dyDescent="0.35">
      <c r="A32" s="7" t="s">
        <v>63</v>
      </c>
      <c r="B32" s="8">
        <v>106003</v>
      </c>
      <c r="C32" s="8">
        <v>100000118</v>
      </c>
      <c r="D32" s="9" t="s">
        <v>64</v>
      </c>
      <c r="E32" s="9" t="s">
        <v>31</v>
      </c>
      <c r="F32" s="10" t="s">
        <v>62</v>
      </c>
      <c r="G32" s="10">
        <v>725</v>
      </c>
      <c r="H32" s="49">
        <v>363</v>
      </c>
      <c r="I32" s="12">
        <f t="shared" si="0"/>
        <v>263175</v>
      </c>
      <c r="J32" s="8">
        <v>106003</v>
      </c>
      <c r="K32" s="7" t="s">
        <v>63</v>
      </c>
    </row>
    <row r="33" spans="1:11" s="13" customFormat="1" x14ac:dyDescent="0.35">
      <c r="A33" s="7" t="s">
        <v>65</v>
      </c>
      <c r="B33" s="8">
        <v>104003</v>
      </c>
      <c r="C33" s="8">
        <v>100000119</v>
      </c>
      <c r="D33" s="9" t="s">
        <v>66</v>
      </c>
      <c r="E33" s="9" t="s">
        <v>12</v>
      </c>
      <c r="F33" s="10" t="s">
        <v>62</v>
      </c>
      <c r="G33" s="10">
        <v>1713</v>
      </c>
      <c r="H33" s="49">
        <v>83</v>
      </c>
      <c r="I33" s="12">
        <f t="shared" si="0"/>
        <v>142179</v>
      </c>
      <c r="J33" s="8">
        <v>104003</v>
      </c>
      <c r="K33" s="7" t="s">
        <v>65</v>
      </c>
    </row>
    <row r="34" spans="1:11" s="13" customFormat="1" x14ac:dyDescent="0.35">
      <c r="A34" s="7" t="s">
        <v>67</v>
      </c>
      <c r="B34" s="8">
        <v>104004</v>
      </c>
      <c r="C34" s="8">
        <v>100000120</v>
      </c>
      <c r="D34" s="9" t="s">
        <v>68</v>
      </c>
      <c r="E34" s="9" t="s">
        <v>12</v>
      </c>
      <c r="F34" s="10" t="s">
        <v>62</v>
      </c>
      <c r="G34" s="10">
        <v>6001</v>
      </c>
      <c r="H34" s="49">
        <v>29</v>
      </c>
      <c r="I34" s="12">
        <f t="shared" si="0"/>
        <v>174029</v>
      </c>
      <c r="J34" s="8">
        <v>104004</v>
      </c>
      <c r="K34" s="7" t="s">
        <v>67</v>
      </c>
    </row>
    <row r="35" spans="1:11" s="13" customFormat="1" x14ac:dyDescent="0.35">
      <c r="A35" s="7" t="s">
        <v>69</v>
      </c>
      <c r="B35" s="8">
        <v>103036</v>
      </c>
      <c r="C35" s="8">
        <v>100000122</v>
      </c>
      <c r="D35" s="9" t="s">
        <v>72</v>
      </c>
      <c r="E35" s="9" t="s">
        <v>51</v>
      </c>
      <c r="F35" s="10" t="s">
        <v>62</v>
      </c>
      <c r="G35" s="10">
        <v>1243</v>
      </c>
      <c r="H35" s="49">
        <v>46</v>
      </c>
      <c r="I35" s="12">
        <f t="shared" si="0"/>
        <v>57178</v>
      </c>
      <c r="J35" s="8">
        <v>103036</v>
      </c>
      <c r="K35" s="7" t="s">
        <v>69</v>
      </c>
    </row>
    <row r="36" spans="1:11" s="13" customFormat="1" x14ac:dyDescent="0.35">
      <c r="A36" s="7" t="s">
        <v>71</v>
      </c>
      <c r="B36" s="8">
        <v>103047</v>
      </c>
      <c r="C36" s="8">
        <v>100000126</v>
      </c>
      <c r="D36" s="9" t="s">
        <v>70</v>
      </c>
      <c r="E36" s="9" t="s">
        <v>12</v>
      </c>
      <c r="F36" s="10" t="s">
        <v>62</v>
      </c>
      <c r="G36" s="10">
        <v>2812</v>
      </c>
      <c r="H36" s="49">
        <v>162</v>
      </c>
      <c r="I36" s="12">
        <f t="shared" si="0"/>
        <v>455544</v>
      </c>
      <c r="J36" s="8">
        <v>103047</v>
      </c>
      <c r="K36" s="7" t="s">
        <v>71</v>
      </c>
    </row>
    <row r="37" spans="1:11" s="13" customFormat="1" x14ac:dyDescent="0.35">
      <c r="A37" s="7" t="s">
        <v>73</v>
      </c>
      <c r="B37" s="8">
        <v>103037</v>
      </c>
      <c r="C37" s="8">
        <v>100002167</v>
      </c>
      <c r="D37" s="9" t="s">
        <v>74</v>
      </c>
      <c r="E37" s="9" t="s">
        <v>36</v>
      </c>
      <c r="F37" s="10" t="s">
        <v>62</v>
      </c>
      <c r="G37" s="10">
        <v>100</v>
      </c>
      <c r="H37" s="49">
        <v>476</v>
      </c>
      <c r="I37" s="12">
        <f t="shared" si="0"/>
        <v>47600</v>
      </c>
      <c r="J37" s="8">
        <v>103037</v>
      </c>
      <c r="K37" s="7" t="s">
        <v>73</v>
      </c>
    </row>
    <row r="38" spans="1:11" s="13" customFormat="1" x14ac:dyDescent="0.35">
      <c r="A38" s="7" t="s">
        <v>75</v>
      </c>
      <c r="B38" s="8">
        <v>102175</v>
      </c>
      <c r="C38" s="8">
        <v>100001363</v>
      </c>
      <c r="D38" s="9" t="s">
        <v>76</v>
      </c>
      <c r="E38" s="9" t="s">
        <v>36</v>
      </c>
      <c r="F38" s="10" t="s">
        <v>62</v>
      </c>
      <c r="G38" s="10">
        <v>310</v>
      </c>
      <c r="H38" s="49">
        <v>672</v>
      </c>
      <c r="I38" s="12">
        <f t="shared" si="0"/>
        <v>208320</v>
      </c>
      <c r="J38" s="8">
        <v>102175</v>
      </c>
      <c r="K38" s="7" t="s">
        <v>75</v>
      </c>
    </row>
    <row r="39" spans="1:11" s="13" customFormat="1" x14ac:dyDescent="0.35">
      <c r="A39" s="7" t="s">
        <v>77</v>
      </c>
      <c r="B39" s="8">
        <v>209092</v>
      </c>
      <c r="C39" s="8">
        <v>100002022</v>
      </c>
      <c r="D39" s="9" t="s">
        <v>78</v>
      </c>
      <c r="E39" s="9" t="s">
        <v>12</v>
      </c>
      <c r="F39" s="10" t="s">
        <v>13</v>
      </c>
      <c r="G39" s="10">
        <v>25710</v>
      </c>
      <c r="H39" s="49">
        <v>153</v>
      </c>
      <c r="I39" s="12">
        <f t="shared" si="0"/>
        <v>3933630</v>
      </c>
      <c r="J39" s="8">
        <v>209092</v>
      </c>
      <c r="K39" s="7" t="s">
        <v>77</v>
      </c>
    </row>
    <row r="40" spans="1:11" s="13" customFormat="1" x14ac:dyDescent="0.35">
      <c r="A40" s="7" t="s">
        <v>79</v>
      </c>
      <c r="B40" s="8">
        <v>102062</v>
      </c>
      <c r="C40" s="8">
        <v>100003405</v>
      </c>
      <c r="D40" s="9" t="s">
        <v>80</v>
      </c>
      <c r="E40" s="9" t="s">
        <v>36</v>
      </c>
      <c r="F40" s="10" t="s">
        <v>62</v>
      </c>
      <c r="G40" s="10">
        <v>3</v>
      </c>
      <c r="H40" s="49">
        <v>65331</v>
      </c>
      <c r="I40" s="12">
        <f t="shared" si="0"/>
        <v>195993</v>
      </c>
      <c r="J40" s="8">
        <v>102062</v>
      </c>
      <c r="K40" s="7" t="s">
        <v>79</v>
      </c>
    </row>
    <row r="41" spans="1:11" s="13" customFormat="1" x14ac:dyDescent="0.35">
      <c r="A41" s="7" t="s">
        <v>81</v>
      </c>
      <c r="B41" s="8">
        <v>104006</v>
      </c>
      <c r="C41" s="8">
        <v>100000165</v>
      </c>
      <c r="D41" s="9" t="s">
        <v>82</v>
      </c>
      <c r="E41" s="9" t="s">
        <v>12</v>
      </c>
      <c r="F41" s="10" t="s">
        <v>62</v>
      </c>
      <c r="G41" s="10">
        <v>755</v>
      </c>
      <c r="H41" s="49">
        <v>11</v>
      </c>
      <c r="I41" s="12">
        <f t="shared" si="0"/>
        <v>8305</v>
      </c>
      <c r="J41" s="8">
        <v>104006</v>
      </c>
      <c r="K41" s="7" t="s">
        <v>81</v>
      </c>
    </row>
    <row r="42" spans="1:11" s="13" customFormat="1" x14ac:dyDescent="0.35">
      <c r="A42" s="7" t="s">
        <v>83</v>
      </c>
      <c r="B42" s="8">
        <v>102067</v>
      </c>
      <c r="C42" s="8">
        <v>100002074</v>
      </c>
      <c r="D42" s="9" t="s">
        <v>84</v>
      </c>
      <c r="E42" s="9" t="s">
        <v>12</v>
      </c>
      <c r="F42" s="10" t="s">
        <v>62</v>
      </c>
      <c r="G42" s="10">
        <v>3003</v>
      </c>
      <c r="H42" s="49">
        <v>23</v>
      </c>
      <c r="I42" s="12">
        <f t="shared" si="0"/>
        <v>69069</v>
      </c>
      <c r="J42" s="8">
        <v>102067</v>
      </c>
      <c r="K42" s="7" t="s">
        <v>83</v>
      </c>
    </row>
    <row r="43" spans="1:11" s="13" customFormat="1" x14ac:dyDescent="0.35">
      <c r="A43" s="7" t="s">
        <v>85</v>
      </c>
      <c r="B43" s="8">
        <v>106054</v>
      </c>
      <c r="C43" s="8">
        <v>100000170</v>
      </c>
      <c r="D43" s="9" t="s">
        <v>86</v>
      </c>
      <c r="E43" s="9" t="s">
        <v>31</v>
      </c>
      <c r="F43" s="10" t="s">
        <v>62</v>
      </c>
      <c r="G43" s="10">
        <v>516</v>
      </c>
      <c r="H43" s="49">
        <v>169</v>
      </c>
      <c r="I43" s="12">
        <f t="shared" si="0"/>
        <v>87204</v>
      </c>
      <c r="J43" s="8">
        <v>106054</v>
      </c>
      <c r="K43" s="7" t="s">
        <v>85</v>
      </c>
    </row>
    <row r="44" spans="1:11" s="13" customFormat="1" x14ac:dyDescent="0.35">
      <c r="A44" s="7" t="s">
        <v>87</v>
      </c>
      <c r="B44" s="8">
        <v>104005</v>
      </c>
      <c r="C44" s="8">
        <v>100000172</v>
      </c>
      <c r="D44" s="9" t="s">
        <v>88</v>
      </c>
      <c r="E44" s="9" t="s">
        <v>12</v>
      </c>
      <c r="F44" s="10" t="s">
        <v>62</v>
      </c>
      <c r="G44" s="10">
        <v>4727</v>
      </c>
      <c r="H44" s="49">
        <v>37</v>
      </c>
      <c r="I44" s="12">
        <f t="shared" si="0"/>
        <v>174899</v>
      </c>
      <c r="J44" s="8">
        <v>104005</v>
      </c>
      <c r="K44" s="7" t="s">
        <v>87</v>
      </c>
    </row>
    <row r="45" spans="1:11" s="13" customFormat="1" x14ac:dyDescent="0.35">
      <c r="A45" s="7" t="s">
        <v>89</v>
      </c>
      <c r="B45" s="8">
        <v>101097</v>
      </c>
      <c r="C45" s="8">
        <v>100003907</v>
      </c>
      <c r="D45" s="9" t="s">
        <v>90</v>
      </c>
      <c r="E45" s="9" t="s">
        <v>36</v>
      </c>
      <c r="F45" s="10" t="s">
        <v>13</v>
      </c>
      <c r="G45" s="10">
        <v>2</v>
      </c>
      <c r="H45" s="49">
        <v>22064</v>
      </c>
      <c r="I45" s="12">
        <f t="shared" si="0"/>
        <v>44128</v>
      </c>
      <c r="J45" s="8">
        <v>101097</v>
      </c>
      <c r="K45" s="7" t="s">
        <v>89</v>
      </c>
    </row>
    <row r="46" spans="1:11" s="13" customFormat="1" x14ac:dyDescent="0.35">
      <c r="A46" s="7" t="s">
        <v>91</v>
      </c>
      <c r="B46" s="8">
        <v>106076</v>
      </c>
      <c r="C46" s="8" t="s">
        <v>20</v>
      </c>
      <c r="D46" s="9" t="s">
        <v>94</v>
      </c>
      <c r="E46" s="9" t="s">
        <v>31</v>
      </c>
      <c r="F46" s="10" t="s">
        <v>62</v>
      </c>
      <c r="G46" s="10">
        <v>52</v>
      </c>
      <c r="H46" s="49">
        <v>29750</v>
      </c>
      <c r="I46" s="12">
        <f t="shared" si="0"/>
        <v>1547000</v>
      </c>
      <c r="J46" s="8">
        <v>106076</v>
      </c>
      <c r="K46" s="7" t="s">
        <v>91</v>
      </c>
    </row>
    <row r="47" spans="1:11" s="13" customFormat="1" x14ac:dyDescent="0.35">
      <c r="A47" s="7" t="s">
        <v>93</v>
      </c>
      <c r="B47" s="8">
        <v>201032</v>
      </c>
      <c r="C47" s="8">
        <v>100005737</v>
      </c>
      <c r="D47" s="9" t="s">
        <v>92</v>
      </c>
      <c r="E47" s="9" t="s">
        <v>36</v>
      </c>
      <c r="F47" s="10" t="s">
        <v>62</v>
      </c>
      <c r="G47" s="10">
        <v>0</v>
      </c>
      <c r="H47" s="49">
        <v>5593</v>
      </c>
      <c r="I47" s="12">
        <f t="shared" si="0"/>
        <v>0</v>
      </c>
      <c r="J47" s="8">
        <v>201032</v>
      </c>
      <c r="K47" s="7" t="s">
        <v>93</v>
      </c>
    </row>
    <row r="48" spans="1:11" s="13" customFormat="1" x14ac:dyDescent="0.35">
      <c r="A48" s="7" t="s">
        <v>95</v>
      </c>
      <c r="B48" s="8">
        <v>106068</v>
      </c>
      <c r="C48" s="8" t="s">
        <v>20</v>
      </c>
      <c r="D48" s="9" t="s">
        <v>96</v>
      </c>
      <c r="E48" s="9" t="s">
        <v>31</v>
      </c>
      <c r="F48" s="10" t="s">
        <v>62</v>
      </c>
      <c r="G48" s="10">
        <v>19</v>
      </c>
      <c r="H48" s="49">
        <v>2440</v>
      </c>
      <c r="I48" s="12">
        <f t="shared" si="0"/>
        <v>46360</v>
      </c>
      <c r="J48" s="8">
        <v>106068</v>
      </c>
      <c r="K48" s="7" t="s">
        <v>95</v>
      </c>
    </row>
    <row r="49" spans="1:11" s="13" customFormat="1" x14ac:dyDescent="0.35">
      <c r="A49" s="7" t="s">
        <v>97</v>
      </c>
      <c r="B49" s="8">
        <v>101072</v>
      </c>
      <c r="C49" s="8">
        <v>100005268</v>
      </c>
      <c r="D49" s="9" t="s">
        <v>98</v>
      </c>
      <c r="E49" s="9" t="s">
        <v>36</v>
      </c>
      <c r="F49" s="10" t="s">
        <v>13</v>
      </c>
      <c r="G49" s="10">
        <v>138</v>
      </c>
      <c r="H49" s="49">
        <v>128520</v>
      </c>
      <c r="I49" s="12">
        <f t="shared" si="0"/>
        <v>17735760</v>
      </c>
      <c r="J49" s="8">
        <v>101072</v>
      </c>
      <c r="K49" s="7" t="s">
        <v>97</v>
      </c>
    </row>
    <row r="50" spans="1:11" s="13" customFormat="1" x14ac:dyDescent="0.35">
      <c r="A50" s="7" t="s">
        <v>99</v>
      </c>
      <c r="B50" s="8">
        <v>102179</v>
      </c>
      <c r="C50" s="8">
        <v>100000197</v>
      </c>
      <c r="D50" s="9" t="s">
        <v>102</v>
      </c>
      <c r="E50" s="9" t="s">
        <v>36</v>
      </c>
      <c r="F50" s="10" t="s">
        <v>62</v>
      </c>
      <c r="G50" s="10">
        <v>42</v>
      </c>
      <c r="H50" s="49">
        <v>11305</v>
      </c>
      <c r="I50" s="12">
        <f t="shared" si="0"/>
        <v>474810</v>
      </c>
      <c r="J50" s="8">
        <v>102179</v>
      </c>
      <c r="K50" s="7" t="s">
        <v>99</v>
      </c>
    </row>
    <row r="51" spans="1:11" s="13" customFormat="1" x14ac:dyDescent="0.35">
      <c r="A51" s="7" t="s">
        <v>101</v>
      </c>
      <c r="B51" s="8">
        <v>106004</v>
      </c>
      <c r="C51" s="8">
        <v>100000194</v>
      </c>
      <c r="D51" s="9" t="s">
        <v>100</v>
      </c>
      <c r="E51" s="9" t="s">
        <v>31</v>
      </c>
      <c r="F51" s="10" t="s">
        <v>62</v>
      </c>
      <c r="G51" s="10">
        <v>410</v>
      </c>
      <c r="H51" s="49">
        <v>80</v>
      </c>
      <c r="I51" s="12">
        <f t="shared" si="0"/>
        <v>32800</v>
      </c>
      <c r="J51" s="8">
        <v>106004</v>
      </c>
      <c r="K51" s="7" t="s">
        <v>101</v>
      </c>
    </row>
    <row r="52" spans="1:11" s="13" customFormat="1" x14ac:dyDescent="0.35">
      <c r="A52" s="7" t="s">
        <v>103</v>
      </c>
      <c r="B52" s="8">
        <v>101045</v>
      </c>
      <c r="C52" s="8">
        <v>100004156</v>
      </c>
      <c r="D52" s="9" t="s">
        <v>104</v>
      </c>
      <c r="E52" s="9" t="s">
        <v>12</v>
      </c>
      <c r="F52" s="10" t="s">
        <v>13</v>
      </c>
      <c r="G52" s="10">
        <v>1992</v>
      </c>
      <c r="H52" s="49">
        <v>988</v>
      </c>
      <c r="I52" s="12">
        <f t="shared" si="0"/>
        <v>1968096</v>
      </c>
      <c r="J52" s="8">
        <v>101045</v>
      </c>
      <c r="K52" s="7" t="s">
        <v>103</v>
      </c>
    </row>
    <row r="53" spans="1:11" s="13" customFormat="1" x14ac:dyDescent="0.35">
      <c r="A53" s="7" t="s">
        <v>105</v>
      </c>
      <c r="B53" s="8">
        <v>101022</v>
      </c>
      <c r="C53" s="8">
        <v>100003892</v>
      </c>
      <c r="D53" s="9" t="s">
        <v>106</v>
      </c>
      <c r="E53" s="9" t="s">
        <v>12</v>
      </c>
      <c r="F53" s="10" t="s">
        <v>13</v>
      </c>
      <c r="G53" s="10">
        <v>1819</v>
      </c>
      <c r="H53" s="49">
        <v>194</v>
      </c>
      <c r="I53" s="12">
        <f t="shared" si="0"/>
        <v>352886</v>
      </c>
      <c r="J53" s="8">
        <v>101022</v>
      </c>
      <c r="K53" s="7" t="s">
        <v>105</v>
      </c>
    </row>
    <row r="54" spans="1:11" s="13" customFormat="1" x14ac:dyDescent="0.35">
      <c r="A54" s="7" t="s">
        <v>107</v>
      </c>
      <c r="B54" s="8">
        <v>209003</v>
      </c>
      <c r="C54" s="8">
        <v>100002092</v>
      </c>
      <c r="D54" s="9" t="s">
        <v>110</v>
      </c>
      <c r="E54" s="9" t="s">
        <v>36</v>
      </c>
      <c r="F54" s="10" t="s">
        <v>13</v>
      </c>
      <c r="G54" s="10">
        <v>284</v>
      </c>
      <c r="H54" s="49">
        <v>29869</v>
      </c>
      <c r="I54" s="12">
        <f t="shared" si="0"/>
        <v>8482796</v>
      </c>
      <c r="J54" s="8">
        <v>209003</v>
      </c>
      <c r="K54" s="7" t="s">
        <v>107</v>
      </c>
    </row>
    <row r="55" spans="1:11" s="13" customFormat="1" x14ac:dyDescent="0.35">
      <c r="A55" s="7" t="s">
        <v>109</v>
      </c>
      <c r="B55" s="8">
        <v>101039</v>
      </c>
      <c r="C55" s="8">
        <v>100003428</v>
      </c>
      <c r="D55" s="9" t="s">
        <v>112</v>
      </c>
      <c r="E55" s="9" t="s">
        <v>36</v>
      </c>
      <c r="F55" s="10" t="s">
        <v>13</v>
      </c>
      <c r="G55" s="10">
        <v>171</v>
      </c>
      <c r="H55" s="49">
        <v>10520</v>
      </c>
      <c r="I55" s="12">
        <f t="shared" si="0"/>
        <v>1798920</v>
      </c>
      <c r="J55" s="8">
        <v>101039</v>
      </c>
      <c r="K55" s="7" t="s">
        <v>109</v>
      </c>
    </row>
    <row r="56" spans="1:11" s="13" customFormat="1" x14ac:dyDescent="0.35">
      <c r="A56" s="7" t="s">
        <v>111</v>
      </c>
      <c r="B56" s="8">
        <v>107002</v>
      </c>
      <c r="C56" s="8">
        <v>100000236</v>
      </c>
      <c r="D56" s="9" t="s">
        <v>114</v>
      </c>
      <c r="E56" s="9" t="s">
        <v>62</v>
      </c>
      <c r="F56" s="10" t="s">
        <v>62</v>
      </c>
      <c r="G56" s="10">
        <v>72</v>
      </c>
      <c r="H56" s="49">
        <v>660</v>
      </c>
      <c r="I56" s="12">
        <f t="shared" si="0"/>
        <v>47520</v>
      </c>
      <c r="J56" s="8">
        <v>107002</v>
      </c>
      <c r="K56" s="7" t="s">
        <v>111</v>
      </c>
    </row>
    <row r="57" spans="1:11" s="13" customFormat="1" x14ac:dyDescent="0.35">
      <c r="A57" s="7" t="s">
        <v>113</v>
      </c>
      <c r="B57" s="8">
        <v>106006</v>
      </c>
      <c r="C57" s="8">
        <v>100000241</v>
      </c>
      <c r="D57" s="9" t="s">
        <v>116</v>
      </c>
      <c r="E57" s="9" t="s">
        <v>31</v>
      </c>
      <c r="F57" s="10" t="s">
        <v>62</v>
      </c>
      <c r="G57" s="10">
        <v>657</v>
      </c>
      <c r="H57" s="49">
        <v>393</v>
      </c>
      <c r="I57" s="12">
        <f t="shared" si="0"/>
        <v>258201</v>
      </c>
      <c r="J57" s="8">
        <v>106006</v>
      </c>
      <c r="K57" s="7" t="s">
        <v>113</v>
      </c>
    </row>
    <row r="58" spans="1:11" s="13" customFormat="1" x14ac:dyDescent="0.35">
      <c r="A58" s="7" t="s">
        <v>115</v>
      </c>
      <c r="B58" s="8">
        <v>106007</v>
      </c>
      <c r="C58" s="8">
        <v>100000243</v>
      </c>
      <c r="D58" s="9" t="s">
        <v>118</v>
      </c>
      <c r="E58" s="9" t="s">
        <v>31</v>
      </c>
      <c r="F58" s="10" t="s">
        <v>62</v>
      </c>
      <c r="G58" s="10">
        <v>243</v>
      </c>
      <c r="H58" s="49">
        <v>1035</v>
      </c>
      <c r="I58" s="12">
        <f t="shared" si="0"/>
        <v>251505</v>
      </c>
      <c r="J58" s="8">
        <v>106007</v>
      </c>
      <c r="K58" s="7" t="s">
        <v>115</v>
      </c>
    </row>
    <row r="59" spans="1:11" s="13" customFormat="1" x14ac:dyDescent="0.35">
      <c r="A59" s="7" t="s">
        <v>117</v>
      </c>
      <c r="B59" s="8">
        <v>102146</v>
      </c>
      <c r="C59" s="8">
        <v>100005282</v>
      </c>
      <c r="D59" s="9" t="s">
        <v>120</v>
      </c>
      <c r="E59" s="9" t="s">
        <v>121</v>
      </c>
      <c r="F59" s="10" t="s">
        <v>62</v>
      </c>
      <c r="G59" s="10">
        <v>163</v>
      </c>
      <c r="H59" s="49">
        <v>5950</v>
      </c>
      <c r="I59" s="12">
        <f t="shared" si="0"/>
        <v>969850</v>
      </c>
      <c r="J59" s="8">
        <v>102146</v>
      </c>
      <c r="K59" s="7" t="s">
        <v>117</v>
      </c>
    </row>
    <row r="60" spans="1:11" s="13" customFormat="1" x14ac:dyDescent="0.35">
      <c r="A60" s="7" t="s">
        <v>119</v>
      </c>
      <c r="B60" s="8">
        <v>102027</v>
      </c>
      <c r="C60" s="8">
        <v>100000244</v>
      </c>
      <c r="D60" s="9" t="s">
        <v>123</v>
      </c>
      <c r="E60" s="9" t="s">
        <v>121</v>
      </c>
      <c r="F60" s="10" t="s">
        <v>62</v>
      </c>
      <c r="G60" s="10">
        <v>1257</v>
      </c>
      <c r="H60" s="49">
        <v>3808</v>
      </c>
      <c r="I60" s="12">
        <f t="shared" si="0"/>
        <v>4786656</v>
      </c>
      <c r="J60" s="8">
        <v>102027</v>
      </c>
      <c r="K60" s="7" t="s">
        <v>119</v>
      </c>
    </row>
    <row r="61" spans="1:11" s="13" customFormat="1" x14ac:dyDescent="0.35">
      <c r="A61" s="7" t="s">
        <v>122</v>
      </c>
      <c r="B61" s="8">
        <v>201043</v>
      </c>
      <c r="C61" s="8" t="s">
        <v>20</v>
      </c>
      <c r="D61" s="9" t="s">
        <v>125</v>
      </c>
      <c r="E61" s="9" t="s">
        <v>36</v>
      </c>
      <c r="F61" s="10" t="s">
        <v>13</v>
      </c>
      <c r="G61" s="10">
        <v>21</v>
      </c>
      <c r="H61" s="49">
        <v>1231650</v>
      </c>
      <c r="I61" s="12">
        <f t="shared" si="0"/>
        <v>25864650</v>
      </c>
      <c r="J61" s="8">
        <v>201043</v>
      </c>
      <c r="K61" s="7" t="s">
        <v>122</v>
      </c>
    </row>
    <row r="62" spans="1:11" s="13" customFormat="1" x14ac:dyDescent="0.35">
      <c r="A62" s="7" t="s">
        <v>124</v>
      </c>
      <c r="B62" s="8">
        <v>101033</v>
      </c>
      <c r="C62" s="8">
        <v>100001902</v>
      </c>
      <c r="D62" s="9" t="s">
        <v>129</v>
      </c>
      <c r="E62" s="9" t="s">
        <v>12</v>
      </c>
      <c r="F62" s="10" t="s">
        <v>62</v>
      </c>
      <c r="G62" s="10">
        <v>129032</v>
      </c>
      <c r="H62" s="49">
        <v>18</v>
      </c>
      <c r="I62" s="12">
        <f t="shared" si="0"/>
        <v>2322576</v>
      </c>
      <c r="J62" s="8">
        <v>101033</v>
      </c>
      <c r="K62" s="7" t="s">
        <v>124</v>
      </c>
    </row>
    <row r="63" spans="1:11" s="13" customFormat="1" x14ac:dyDescent="0.35">
      <c r="A63" s="7" t="s">
        <v>126</v>
      </c>
      <c r="B63" s="8">
        <v>106008</v>
      </c>
      <c r="C63" s="8">
        <v>100000279</v>
      </c>
      <c r="D63" s="9" t="s">
        <v>127</v>
      </c>
      <c r="E63" s="9" t="s">
        <v>31</v>
      </c>
      <c r="F63" s="10" t="s">
        <v>62</v>
      </c>
      <c r="G63" s="10">
        <v>315</v>
      </c>
      <c r="H63" s="49">
        <v>238</v>
      </c>
      <c r="I63" s="12">
        <f t="shared" si="0"/>
        <v>74970</v>
      </c>
      <c r="J63" s="8">
        <v>106008</v>
      </c>
      <c r="K63" s="7" t="s">
        <v>126</v>
      </c>
    </row>
    <row r="64" spans="1:11" s="13" customFormat="1" x14ac:dyDescent="0.35">
      <c r="A64" s="7" t="s">
        <v>128</v>
      </c>
      <c r="B64" s="8">
        <v>102133</v>
      </c>
      <c r="C64" s="8">
        <v>100000281</v>
      </c>
      <c r="D64" s="9" t="s">
        <v>131</v>
      </c>
      <c r="E64" s="9" t="s">
        <v>51</v>
      </c>
      <c r="F64" s="10" t="s">
        <v>62</v>
      </c>
      <c r="G64" s="10">
        <v>1844</v>
      </c>
      <c r="H64" s="49">
        <v>151</v>
      </c>
      <c r="I64" s="12">
        <f t="shared" si="0"/>
        <v>278444</v>
      </c>
      <c r="J64" s="8">
        <v>102133</v>
      </c>
      <c r="K64" s="7" t="s">
        <v>128</v>
      </c>
    </row>
    <row r="65" spans="1:11" s="13" customFormat="1" x14ac:dyDescent="0.35">
      <c r="A65" s="7" t="s">
        <v>130</v>
      </c>
      <c r="B65" s="8">
        <v>209105</v>
      </c>
      <c r="C65" s="8">
        <v>100003422</v>
      </c>
      <c r="D65" s="9" t="s">
        <v>133</v>
      </c>
      <c r="E65" s="9" t="s">
        <v>12</v>
      </c>
      <c r="F65" s="10" t="s">
        <v>13</v>
      </c>
      <c r="G65" s="10">
        <v>6373</v>
      </c>
      <c r="H65" s="49">
        <v>593</v>
      </c>
      <c r="I65" s="12">
        <f t="shared" si="0"/>
        <v>3779189</v>
      </c>
      <c r="J65" s="8">
        <v>209105</v>
      </c>
      <c r="K65" s="7" t="s">
        <v>130</v>
      </c>
    </row>
    <row r="66" spans="1:11" s="13" customFormat="1" x14ac:dyDescent="0.35">
      <c r="A66" s="7" t="s">
        <v>132</v>
      </c>
      <c r="B66" s="8">
        <v>209117</v>
      </c>
      <c r="C66" s="8">
        <v>100002025</v>
      </c>
      <c r="D66" s="9" t="s">
        <v>135</v>
      </c>
      <c r="E66" s="9" t="s">
        <v>12</v>
      </c>
      <c r="F66" s="10" t="s">
        <v>13</v>
      </c>
      <c r="G66" s="10">
        <v>4690</v>
      </c>
      <c r="H66" s="49">
        <v>671</v>
      </c>
      <c r="I66" s="12">
        <f t="shared" si="0"/>
        <v>3146990</v>
      </c>
      <c r="J66" s="8">
        <v>209117</v>
      </c>
      <c r="K66" s="7" t="s">
        <v>132</v>
      </c>
    </row>
    <row r="67" spans="1:11" s="13" customFormat="1" x14ac:dyDescent="0.35">
      <c r="A67" s="7" t="s">
        <v>134</v>
      </c>
      <c r="B67" s="8">
        <v>104047</v>
      </c>
      <c r="C67" s="8">
        <v>100000306</v>
      </c>
      <c r="D67" s="9" t="s">
        <v>137</v>
      </c>
      <c r="E67" s="9" t="s">
        <v>12</v>
      </c>
      <c r="F67" s="10" t="s">
        <v>62</v>
      </c>
      <c r="G67" s="10">
        <v>505</v>
      </c>
      <c r="H67" s="49">
        <v>36</v>
      </c>
      <c r="I67" s="12">
        <f t="shared" si="0"/>
        <v>18180</v>
      </c>
      <c r="J67" s="8">
        <v>104047</v>
      </c>
      <c r="K67" s="7" t="s">
        <v>134</v>
      </c>
    </row>
    <row r="68" spans="1:11" s="13" customFormat="1" x14ac:dyDescent="0.35">
      <c r="A68" s="7" t="s">
        <v>136</v>
      </c>
      <c r="B68" s="8">
        <v>104007</v>
      </c>
      <c r="C68" s="8">
        <v>100000309</v>
      </c>
      <c r="D68" s="9" t="s">
        <v>139</v>
      </c>
      <c r="E68" s="9" t="s">
        <v>12</v>
      </c>
      <c r="F68" s="10" t="s">
        <v>62</v>
      </c>
      <c r="G68" s="10">
        <v>1591</v>
      </c>
      <c r="H68" s="49">
        <v>34</v>
      </c>
      <c r="I68" s="12">
        <f t="shared" si="0"/>
        <v>54094</v>
      </c>
      <c r="J68" s="8">
        <v>104007</v>
      </c>
      <c r="K68" s="7" t="s">
        <v>136</v>
      </c>
    </row>
    <row r="69" spans="1:11" s="13" customFormat="1" x14ac:dyDescent="0.35">
      <c r="A69" s="7" t="s">
        <v>138</v>
      </c>
      <c r="B69" s="8">
        <v>209007</v>
      </c>
      <c r="C69" s="8">
        <v>100002347</v>
      </c>
      <c r="D69" s="9" t="s">
        <v>141</v>
      </c>
      <c r="E69" s="9" t="s">
        <v>36</v>
      </c>
      <c r="F69" s="10" t="s">
        <v>13</v>
      </c>
      <c r="G69" s="10">
        <v>546</v>
      </c>
      <c r="H69" s="49">
        <v>23205</v>
      </c>
      <c r="I69" s="12">
        <f t="shared" si="0"/>
        <v>12669930</v>
      </c>
      <c r="J69" s="8">
        <v>209007</v>
      </c>
      <c r="K69" s="7" t="s">
        <v>138</v>
      </c>
    </row>
    <row r="70" spans="1:11" s="13" customFormat="1" x14ac:dyDescent="0.35">
      <c r="A70" s="7" t="s">
        <v>140</v>
      </c>
      <c r="B70" s="8">
        <v>102148</v>
      </c>
      <c r="C70" s="8">
        <v>100002004</v>
      </c>
      <c r="D70" s="9" t="s">
        <v>143</v>
      </c>
      <c r="E70" s="9" t="s">
        <v>12</v>
      </c>
      <c r="F70" s="10" t="s">
        <v>62</v>
      </c>
      <c r="G70" s="10">
        <v>1460</v>
      </c>
      <c r="H70" s="49">
        <v>19</v>
      </c>
      <c r="I70" s="12">
        <f t="shared" si="0"/>
        <v>27740</v>
      </c>
      <c r="J70" s="8">
        <v>102148</v>
      </c>
      <c r="K70" s="7" t="s">
        <v>140</v>
      </c>
    </row>
    <row r="71" spans="1:11" s="13" customFormat="1" x14ac:dyDescent="0.35">
      <c r="A71" s="7" t="s">
        <v>142</v>
      </c>
      <c r="B71" s="8">
        <v>102060</v>
      </c>
      <c r="C71" s="8">
        <v>100000352</v>
      </c>
      <c r="D71" s="9" t="s">
        <v>145</v>
      </c>
      <c r="E71" s="9" t="s">
        <v>146</v>
      </c>
      <c r="F71" s="10" t="s">
        <v>62</v>
      </c>
      <c r="G71" s="10">
        <v>5323</v>
      </c>
      <c r="H71" s="49">
        <v>121</v>
      </c>
      <c r="I71" s="12">
        <f t="shared" si="0"/>
        <v>644083</v>
      </c>
      <c r="J71" s="8">
        <v>102060</v>
      </c>
      <c r="K71" s="7" t="s">
        <v>142</v>
      </c>
    </row>
    <row r="72" spans="1:11" s="13" customFormat="1" x14ac:dyDescent="0.35">
      <c r="A72" s="7" t="s">
        <v>144</v>
      </c>
      <c r="B72" s="8">
        <v>103005</v>
      </c>
      <c r="C72" s="8">
        <v>100000353</v>
      </c>
      <c r="D72" s="9" t="s">
        <v>148</v>
      </c>
      <c r="E72" s="9" t="s">
        <v>36</v>
      </c>
      <c r="F72" s="10" t="s">
        <v>62</v>
      </c>
      <c r="G72" s="10">
        <v>1619</v>
      </c>
      <c r="H72" s="49">
        <v>363</v>
      </c>
      <c r="I72" s="12">
        <f t="shared" si="0"/>
        <v>587697</v>
      </c>
      <c r="J72" s="8">
        <v>103005</v>
      </c>
      <c r="K72" s="7" t="s">
        <v>144</v>
      </c>
    </row>
    <row r="73" spans="1:11" s="13" customFormat="1" x14ac:dyDescent="0.35">
      <c r="A73" s="7" t="s">
        <v>147</v>
      </c>
      <c r="B73" s="8">
        <v>103006</v>
      </c>
      <c r="C73" s="8">
        <v>100000357</v>
      </c>
      <c r="D73" s="9" t="s">
        <v>152</v>
      </c>
      <c r="E73" s="9" t="s">
        <v>36</v>
      </c>
      <c r="F73" s="10" t="s">
        <v>62</v>
      </c>
      <c r="G73" s="10">
        <v>87</v>
      </c>
      <c r="H73" s="49">
        <v>690</v>
      </c>
      <c r="I73" s="12">
        <f t="shared" si="0"/>
        <v>60030</v>
      </c>
      <c r="J73" s="8">
        <v>103006</v>
      </c>
      <c r="K73" s="7" t="s">
        <v>147</v>
      </c>
    </row>
    <row r="74" spans="1:11" s="13" customFormat="1" x14ac:dyDescent="0.35">
      <c r="A74" s="7" t="s">
        <v>149</v>
      </c>
      <c r="B74" s="8">
        <v>101093</v>
      </c>
      <c r="C74" s="8">
        <v>100005535</v>
      </c>
      <c r="D74" s="9" t="s">
        <v>150</v>
      </c>
      <c r="E74" s="9" t="s">
        <v>36</v>
      </c>
      <c r="F74" s="10" t="s">
        <v>62</v>
      </c>
      <c r="G74" s="10">
        <v>37</v>
      </c>
      <c r="H74" s="49">
        <v>98854</v>
      </c>
      <c r="I74" s="12">
        <f t="shared" si="0"/>
        <v>3657598</v>
      </c>
      <c r="J74" s="8">
        <v>101093</v>
      </c>
      <c r="K74" s="7" t="s">
        <v>149</v>
      </c>
    </row>
    <row r="75" spans="1:11" s="13" customFormat="1" x14ac:dyDescent="0.35">
      <c r="A75" s="7" t="s">
        <v>151</v>
      </c>
      <c r="B75" s="8">
        <v>103007</v>
      </c>
      <c r="C75" s="8">
        <v>100000358</v>
      </c>
      <c r="D75" s="9" t="s">
        <v>154</v>
      </c>
      <c r="E75" s="9" t="s">
        <v>36</v>
      </c>
      <c r="F75" s="10" t="s">
        <v>62</v>
      </c>
      <c r="G75" s="10">
        <v>744</v>
      </c>
      <c r="H75" s="49">
        <v>267</v>
      </c>
      <c r="I75" s="12">
        <f t="shared" ref="I75:I138" si="1">G75*H75</f>
        <v>198648</v>
      </c>
      <c r="J75" s="8">
        <v>103007</v>
      </c>
      <c r="K75" s="7" t="s">
        <v>151</v>
      </c>
    </row>
    <row r="76" spans="1:11" s="13" customFormat="1" x14ac:dyDescent="0.35">
      <c r="A76" s="7" t="s">
        <v>153</v>
      </c>
      <c r="B76" s="8">
        <v>106009</v>
      </c>
      <c r="C76" s="8">
        <v>100000368</v>
      </c>
      <c r="D76" s="9" t="s">
        <v>156</v>
      </c>
      <c r="E76" s="9" t="s">
        <v>31</v>
      </c>
      <c r="F76" s="10" t="s">
        <v>62</v>
      </c>
      <c r="G76" s="10">
        <v>95</v>
      </c>
      <c r="H76" s="49">
        <v>580</v>
      </c>
      <c r="I76" s="12">
        <f t="shared" si="1"/>
        <v>55100</v>
      </c>
      <c r="J76" s="8">
        <v>106009</v>
      </c>
      <c r="K76" s="7" t="s">
        <v>153</v>
      </c>
    </row>
    <row r="77" spans="1:11" s="13" customFormat="1" x14ac:dyDescent="0.35">
      <c r="A77" s="7" t="s">
        <v>155</v>
      </c>
      <c r="B77" s="8">
        <v>209010</v>
      </c>
      <c r="C77" s="8">
        <v>100000370</v>
      </c>
      <c r="D77" s="9" t="s">
        <v>160</v>
      </c>
      <c r="E77" s="9" t="s">
        <v>161</v>
      </c>
      <c r="F77" s="10" t="s">
        <v>13</v>
      </c>
      <c r="G77" s="10">
        <v>108</v>
      </c>
      <c r="H77" s="49">
        <v>447</v>
      </c>
      <c r="I77" s="12">
        <f t="shared" si="1"/>
        <v>48276</v>
      </c>
      <c r="J77" s="8">
        <v>209010</v>
      </c>
      <c r="K77" s="7" t="s">
        <v>155</v>
      </c>
    </row>
    <row r="78" spans="1:11" s="13" customFormat="1" x14ac:dyDescent="0.35">
      <c r="A78" s="7" t="s">
        <v>157</v>
      </c>
      <c r="B78" s="8">
        <v>209008</v>
      </c>
      <c r="C78" s="8">
        <v>100000371</v>
      </c>
      <c r="D78" s="9" t="s">
        <v>158</v>
      </c>
      <c r="E78" s="9" t="s">
        <v>36</v>
      </c>
      <c r="F78" s="10" t="s">
        <v>13</v>
      </c>
      <c r="G78" s="10">
        <v>71</v>
      </c>
      <c r="H78" s="49">
        <v>12244</v>
      </c>
      <c r="I78" s="12">
        <f t="shared" si="1"/>
        <v>869324</v>
      </c>
      <c r="J78" s="8">
        <v>209008</v>
      </c>
      <c r="K78" s="7" t="s">
        <v>157</v>
      </c>
    </row>
    <row r="79" spans="1:11" s="13" customFormat="1" x14ac:dyDescent="0.35">
      <c r="A79" s="7" t="s">
        <v>159</v>
      </c>
      <c r="B79" s="8">
        <v>103033</v>
      </c>
      <c r="C79" s="8">
        <v>100000379</v>
      </c>
      <c r="D79" s="9" t="s">
        <v>163</v>
      </c>
      <c r="E79" s="9" t="s">
        <v>36</v>
      </c>
      <c r="F79" s="10" t="s">
        <v>62</v>
      </c>
      <c r="G79" s="10">
        <v>158</v>
      </c>
      <c r="H79" s="49">
        <v>1180</v>
      </c>
      <c r="I79" s="12">
        <f t="shared" si="1"/>
        <v>186440</v>
      </c>
      <c r="J79" s="8">
        <v>103033</v>
      </c>
      <c r="K79" s="7" t="s">
        <v>159</v>
      </c>
    </row>
    <row r="80" spans="1:11" s="13" customFormat="1" x14ac:dyDescent="0.35">
      <c r="A80" s="7" t="s">
        <v>162</v>
      </c>
      <c r="B80" s="8">
        <v>103008</v>
      </c>
      <c r="C80" s="8">
        <v>100000378</v>
      </c>
      <c r="D80" s="9" t="s">
        <v>165</v>
      </c>
      <c r="E80" s="9" t="s">
        <v>12</v>
      </c>
      <c r="F80" s="10" t="s">
        <v>62</v>
      </c>
      <c r="G80" s="10">
        <v>3482</v>
      </c>
      <c r="H80" s="49">
        <v>39</v>
      </c>
      <c r="I80" s="12">
        <f t="shared" si="1"/>
        <v>135798</v>
      </c>
      <c r="J80" s="8">
        <v>103008</v>
      </c>
      <c r="K80" s="7" t="s">
        <v>162</v>
      </c>
    </row>
    <row r="81" spans="1:11" s="13" customFormat="1" x14ac:dyDescent="0.35">
      <c r="A81" s="7" t="s">
        <v>164</v>
      </c>
      <c r="B81" s="8">
        <v>209014</v>
      </c>
      <c r="C81" s="8">
        <v>100000381</v>
      </c>
      <c r="D81" s="9" t="s">
        <v>167</v>
      </c>
      <c r="E81" s="9" t="s">
        <v>36</v>
      </c>
      <c r="F81" s="10" t="s">
        <v>13</v>
      </c>
      <c r="G81" s="10">
        <v>171</v>
      </c>
      <c r="H81" s="49">
        <v>11983</v>
      </c>
      <c r="I81" s="12">
        <f t="shared" si="1"/>
        <v>2049093</v>
      </c>
      <c r="J81" s="8">
        <v>209014</v>
      </c>
      <c r="K81" s="7" t="s">
        <v>164</v>
      </c>
    </row>
    <row r="82" spans="1:11" s="13" customFormat="1" x14ac:dyDescent="0.35">
      <c r="A82" s="7" t="s">
        <v>166</v>
      </c>
      <c r="B82" s="8">
        <v>209119</v>
      </c>
      <c r="C82" s="8">
        <v>100002349</v>
      </c>
      <c r="D82" s="9" t="s">
        <v>169</v>
      </c>
      <c r="E82" s="9" t="s">
        <v>36</v>
      </c>
      <c r="F82" s="10" t="s">
        <v>13</v>
      </c>
      <c r="G82" s="10">
        <v>11</v>
      </c>
      <c r="H82" s="49">
        <v>17180</v>
      </c>
      <c r="I82" s="12">
        <f t="shared" si="1"/>
        <v>188980</v>
      </c>
      <c r="J82" s="8">
        <v>209119</v>
      </c>
      <c r="K82" s="7" t="s">
        <v>166</v>
      </c>
    </row>
    <row r="83" spans="1:11" s="13" customFormat="1" x14ac:dyDescent="0.35">
      <c r="A83" s="7" t="s">
        <v>168</v>
      </c>
      <c r="B83" s="8">
        <v>201039</v>
      </c>
      <c r="C83" s="8" t="s">
        <v>20</v>
      </c>
      <c r="D83" s="9" t="s">
        <v>171</v>
      </c>
      <c r="E83" s="9" t="s">
        <v>36</v>
      </c>
      <c r="F83" s="10" t="s">
        <v>13</v>
      </c>
      <c r="G83" s="10">
        <v>0</v>
      </c>
      <c r="H83" s="49">
        <v>530588</v>
      </c>
      <c r="I83" s="12">
        <f t="shared" si="1"/>
        <v>0</v>
      </c>
      <c r="J83" s="8">
        <v>201039</v>
      </c>
      <c r="K83" s="7" t="s">
        <v>168</v>
      </c>
    </row>
    <row r="84" spans="1:11" s="13" customFormat="1" x14ac:dyDescent="0.35">
      <c r="A84" s="7" t="s">
        <v>170</v>
      </c>
      <c r="B84" s="8">
        <v>103045</v>
      </c>
      <c r="C84" s="8">
        <v>100000386</v>
      </c>
      <c r="D84" s="9" t="s">
        <v>173</v>
      </c>
      <c r="E84" s="9" t="s">
        <v>12</v>
      </c>
      <c r="F84" s="10" t="s">
        <v>62</v>
      </c>
      <c r="G84" s="10">
        <v>127</v>
      </c>
      <c r="H84" s="49">
        <v>196</v>
      </c>
      <c r="I84" s="12">
        <f t="shared" si="1"/>
        <v>24892</v>
      </c>
      <c r="J84" s="8">
        <v>103045</v>
      </c>
      <c r="K84" s="7" t="s">
        <v>170</v>
      </c>
    </row>
    <row r="85" spans="1:11" s="13" customFormat="1" x14ac:dyDescent="0.35">
      <c r="A85" s="7" t="s">
        <v>172</v>
      </c>
      <c r="B85" s="8">
        <v>101031</v>
      </c>
      <c r="C85" s="8">
        <v>100000389</v>
      </c>
      <c r="D85" s="9" t="s">
        <v>175</v>
      </c>
      <c r="E85" s="9" t="s">
        <v>51</v>
      </c>
      <c r="F85" s="10" t="s">
        <v>62</v>
      </c>
      <c r="G85" s="10">
        <v>663</v>
      </c>
      <c r="H85" s="49">
        <v>774</v>
      </c>
      <c r="I85" s="12">
        <f t="shared" si="1"/>
        <v>513162</v>
      </c>
      <c r="J85" s="8">
        <v>101031</v>
      </c>
      <c r="K85" s="7" t="s">
        <v>172</v>
      </c>
    </row>
    <row r="86" spans="1:11" s="13" customFormat="1" x14ac:dyDescent="0.35">
      <c r="A86" s="7" t="s">
        <v>174</v>
      </c>
      <c r="B86" s="8">
        <v>103009</v>
      </c>
      <c r="C86" s="8">
        <v>100000388</v>
      </c>
      <c r="D86" s="9" t="s">
        <v>177</v>
      </c>
      <c r="E86" s="9" t="s">
        <v>31</v>
      </c>
      <c r="F86" s="10" t="s">
        <v>62</v>
      </c>
      <c r="G86" s="10">
        <v>597</v>
      </c>
      <c r="H86" s="49">
        <v>571</v>
      </c>
      <c r="I86" s="12">
        <f t="shared" si="1"/>
        <v>340887</v>
      </c>
      <c r="J86" s="8">
        <v>103009</v>
      </c>
      <c r="K86" s="7" t="s">
        <v>174</v>
      </c>
    </row>
    <row r="87" spans="1:11" s="13" customFormat="1" x14ac:dyDescent="0.35">
      <c r="A87" s="7" t="s">
        <v>176</v>
      </c>
      <c r="B87" s="8">
        <v>102186</v>
      </c>
      <c r="C87" s="8">
        <v>100006806</v>
      </c>
      <c r="D87" s="9" t="s">
        <v>179</v>
      </c>
      <c r="E87" s="9" t="s">
        <v>22</v>
      </c>
      <c r="F87" s="10" t="s">
        <v>62</v>
      </c>
      <c r="G87" s="10">
        <v>41</v>
      </c>
      <c r="H87" s="49">
        <v>666</v>
      </c>
      <c r="I87" s="12">
        <f t="shared" si="1"/>
        <v>27306</v>
      </c>
      <c r="J87" s="8">
        <v>102186</v>
      </c>
      <c r="K87" s="7" t="s">
        <v>176</v>
      </c>
    </row>
    <row r="88" spans="1:11" s="13" customFormat="1" x14ac:dyDescent="0.35">
      <c r="A88" s="7" t="s">
        <v>178</v>
      </c>
      <c r="B88" s="8">
        <v>102083</v>
      </c>
      <c r="C88" s="8">
        <v>100003290</v>
      </c>
      <c r="D88" s="9" t="s">
        <v>181</v>
      </c>
      <c r="E88" s="9" t="s">
        <v>12</v>
      </c>
      <c r="F88" s="10" t="s">
        <v>62</v>
      </c>
      <c r="G88" s="10">
        <v>6615</v>
      </c>
      <c r="H88" s="49">
        <v>18</v>
      </c>
      <c r="I88" s="12">
        <f t="shared" si="1"/>
        <v>119070</v>
      </c>
      <c r="J88" s="8">
        <v>102083</v>
      </c>
      <c r="K88" s="7" t="s">
        <v>178</v>
      </c>
    </row>
    <row r="89" spans="1:11" s="13" customFormat="1" x14ac:dyDescent="0.35">
      <c r="A89" s="7" t="s">
        <v>180</v>
      </c>
      <c r="B89" s="8">
        <v>102066</v>
      </c>
      <c r="C89" s="8">
        <v>100000397</v>
      </c>
      <c r="D89" s="9" t="s">
        <v>183</v>
      </c>
      <c r="E89" s="9" t="s">
        <v>12</v>
      </c>
      <c r="F89" s="10" t="s">
        <v>62</v>
      </c>
      <c r="G89" s="10">
        <v>78</v>
      </c>
      <c r="H89" s="49">
        <v>51</v>
      </c>
      <c r="I89" s="12">
        <f t="shared" si="1"/>
        <v>3978</v>
      </c>
      <c r="J89" s="8">
        <v>102066</v>
      </c>
      <c r="K89" s="7" t="s">
        <v>180</v>
      </c>
    </row>
    <row r="90" spans="1:11" s="13" customFormat="1" x14ac:dyDescent="0.35">
      <c r="A90" s="7" t="s">
        <v>182</v>
      </c>
      <c r="B90" s="8">
        <v>209085</v>
      </c>
      <c r="C90" s="8">
        <v>100000398</v>
      </c>
      <c r="D90" s="9" t="s">
        <v>185</v>
      </c>
      <c r="E90" s="9" t="s">
        <v>12</v>
      </c>
      <c r="F90" s="10" t="s">
        <v>13</v>
      </c>
      <c r="G90" s="10">
        <v>440</v>
      </c>
      <c r="H90" s="49">
        <v>1187</v>
      </c>
      <c r="I90" s="12">
        <f t="shared" si="1"/>
        <v>522280</v>
      </c>
      <c r="J90" s="8">
        <v>209085</v>
      </c>
      <c r="K90" s="7" t="s">
        <v>182</v>
      </c>
    </row>
    <row r="91" spans="1:11" s="13" customFormat="1" x14ac:dyDescent="0.35">
      <c r="A91" s="7" t="s">
        <v>184</v>
      </c>
      <c r="B91" s="8">
        <v>103011</v>
      </c>
      <c r="C91" s="8">
        <v>100002324</v>
      </c>
      <c r="D91" s="9" t="s">
        <v>187</v>
      </c>
      <c r="E91" s="9" t="s">
        <v>62</v>
      </c>
      <c r="F91" s="10" t="s">
        <v>62</v>
      </c>
      <c r="G91" s="10">
        <v>28</v>
      </c>
      <c r="H91" s="49">
        <v>512</v>
      </c>
      <c r="I91" s="12">
        <f t="shared" si="1"/>
        <v>14336</v>
      </c>
      <c r="J91" s="8">
        <v>103011</v>
      </c>
      <c r="K91" s="7" t="s">
        <v>184</v>
      </c>
    </row>
    <row r="92" spans="1:11" s="13" customFormat="1" x14ac:dyDescent="0.35">
      <c r="A92" s="7" t="s">
        <v>186</v>
      </c>
      <c r="B92" s="8">
        <v>103013</v>
      </c>
      <c r="C92" s="8">
        <v>100001903</v>
      </c>
      <c r="D92" s="9" t="s">
        <v>189</v>
      </c>
      <c r="E92" s="9" t="s">
        <v>22</v>
      </c>
      <c r="F92" s="10" t="s">
        <v>62</v>
      </c>
      <c r="G92" s="10">
        <v>38</v>
      </c>
      <c r="H92" s="49">
        <v>343</v>
      </c>
      <c r="I92" s="12">
        <f t="shared" si="1"/>
        <v>13034</v>
      </c>
      <c r="J92" s="8">
        <v>103013</v>
      </c>
      <c r="K92" s="7" t="s">
        <v>186</v>
      </c>
    </row>
    <row r="93" spans="1:11" s="13" customFormat="1" x14ac:dyDescent="0.35">
      <c r="A93" s="7" t="s">
        <v>188</v>
      </c>
      <c r="B93" s="8">
        <v>106011</v>
      </c>
      <c r="C93" s="8">
        <v>100000403</v>
      </c>
      <c r="D93" s="9" t="s">
        <v>191</v>
      </c>
      <c r="E93" s="9" t="s">
        <v>31</v>
      </c>
      <c r="F93" s="10" t="s">
        <v>62</v>
      </c>
      <c r="G93" s="10">
        <v>1829</v>
      </c>
      <c r="H93" s="49">
        <v>81</v>
      </c>
      <c r="I93" s="12">
        <f t="shared" si="1"/>
        <v>148149</v>
      </c>
      <c r="J93" s="8">
        <v>106011</v>
      </c>
      <c r="K93" s="7" t="s">
        <v>188</v>
      </c>
    </row>
    <row r="94" spans="1:11" s="13" customFormat="1" x14ac:dyDescent="0.35">
      <c r="A94" s="7" t="s">
        <v>190</v>
      </c>
      <c r="B94" s="8">
        <v>104009</v>
      </c>
      <c r="C94" s="8">
        <v>100000404</v>
      </c>
      <c r="D94" s="9" t="s">
        <v>193</v>
      </c>
      <c r="E94" s="9" t="s">
        <v>12</v>
      </c>
      <c r="F94" s="10" t="s">
        <v>62</v>
      </c>
      <c r="G94" s="10">
        <v>6517</v>
      </c>
      <c r="H94" s="49">
        <v>7</v>
      </c>
      <c r="I94" s="12">
        <f t="shared" si="1"/>
        <v>45619</v>
      </c>
      <c r="J94" s="8">
        <v>104009</v>
      </c>
      <c r="K94" s="7" t="s">
        <v>190</v>
      </c>
    </row>
    <row r="95" spans="1:11" s="13" customFormat="1" x14ac:dyDescent="0.35">
      <c r="A95" s="7" t="s">
        <v>192</v>
      </c>
      <c r="B95" s="8">
        <v>102207</v>
      </c>
      <c r="C95" s="8">
        <v>100002007</v>
      </c>
      <c r="D95" s="9" t="s">
        <v>195</v>
      </c>
      <c r="E95" s="9" t="s">
        <v>62</v>
      </c>
      <c r="F95" s="10" t="s">
        <v>62</v>
      </c>
      <c r="G95" s="10">
        <v>0</v>
      </c>
      <c r="H95" s="49">
        <v>0</v>
      </c>
      <c r="I95" s="12">
        <f t="shared" si="1"/>
        <v>0</v>
      </c>
      <c r="J95" s="8">
        <v>102207</v>
      </c>
      <c r="K95" s="7" t="s">
        <v>192</v>
      </c>
    </row>
    <row r="96" spans="1:11" s="13" customFormat="1" x14ac:dyDescent="0.35">
      <c r="A96" s="7" t="s">
        <v>194</v>
      </c>
      <c r="B96" s="8">
        <v>106048</v>
      </c>
      <c r="C96" s="8">
        <v>100000410</v>
      </c>
      <c r="D96" s="9" t="s">
        <v>197</v>
      </c>
      <c r="E96" s="9" t="s">
        <v>31</v>
      </c>
      <c r="F96" s="10" t="s">
        <v>62</v>
      </c>
      <c r="G96" s="10">
        <v>0</v>
      </c>
      <c r="H96" s="49">
        <v>107</v>
      </c>
      <c r="I96" s="12">
        <f t="shared" si="1"/>
        <v>0</v>
      </c>
      <c r="J96" s="8">
        <v>106048</v>
      </c>
      <c r="K96" s="7" t="s">
        <v>194</v>
      </c>
    </row>
    <row r="97" spans="1:11" s="13" customFormat="1" x14ac:dyDescent="0.35">
      <c r="A97" s="7" t="s">
        <v>196</v>
      </c>
      <c r="B97" s="8">
        <v>103015</v>
      </c>
      <c r="C97" s="8">
        <v>100000419</v>
      </c>
      <c r="D97" s="9" t="s">
        <v>205</v>
      </c>
      <c r="E97" s="9" t="s">
        <v>36</v>
      </c>
      <c r="F97" s="10" t="s">
        <v>62</v>
      </c>
      <c r="G97" s="10">
        <v>1356</v>
      </c>
      <c r="H97" s="49">
        <v>225</v>
      </c>
      <c r="I97" s="12">
        <f t="shared" si="1"/>
        <v>305100</v>
      </c>
      <c r="J97" s="8">
        <v>103015</v>
      </c>
      <c r="K97" s="7" t="s">
        <v>196</v>
      </c>
    </row>
    <row r="98" spans="1:11" s="13" customFormat="1" x14ac:dyDescent="0.35">
      <c r="A98" s="7" t="s">
        <v>198</v>
      </c>
      <c r="B98" s="8">
        <v>102125</v>
      </c>
      <c r="C98" s="8">
        <v>100004356</v>
      </c>
      <c r="D98" s="9" t="s">
        <v>207</v>
      </c>
      <c r="E98" s="9" t="s">
        <v>36</v>
      </c>
      <c r="F98" s="10" t="s">
        <v>62</v>
      </c>
      <c r="G98" s="10">
        <v>8</v>
      </c>
      <c r="H98" s="49">
        <v>187611</v>
      </c>
      <c r="I98" s="12">
        <f t="shared" si="1"/>
        <v>1500888</v>
      </c>
      <c r="J98" s="8">
        <v>102125</v>
      </c>
      <c r="K98" s="7" t="s">
        <v>198</v>
      </c>
    </row>
    <row r="99" spans="1:11" s="13" customFormat="1" x14ac:dyDescent="0.35">
      <c r="A99" s="7" t="s">
        <v>200</v>
      </c>
      <c r="B99" s="8">
        <v>103049</v>
      </c>
      <c r="C99" s="8">
        <v>100001367</v>
      </c>
      <c r="D99" s="9" t="s">
        <v>209</v>
      </c>
      <c r="E99" s="9" t="s">
        <v>31</v>
      </c>
      <c r="F99" s="10" t="s">
        <v>62</v>
      </c>
      <c r="G99" s="10">
        <v>169</v>
      </c>
      <c r="H99" s="49">
        <v>655</v>
      </c>
      <c r="I99" s="12">
        <f t="shared" si="1"/>
        <v>110695</v>
      </c>
      <c r="J99" s="8">
        <v>103049</v>
      </c>
      <c r="K99" s="7" t="s">
        <v>200</v>
      </c>
    </row>
    <row r="100" spans="1:11" s="13" customFormat="1" x14ac:dyDescent="0.35">
      <c r="A100" s="7" t="s">
        <v>202</v>
      </c>
      <c r="B100" s="8">
        <v>103016</v>
      </c>
      <c r="C100" s="8">
        <v>100001368</v>
      </c>
      <c r="D100" s="9" t="s">
        <v>211</v>
      </c>
      <c r="E100" s="9" t="s">
        <v>12</v>
      </c>
      <c r="F100" s="10" t="s">
        <v>62</v>
      </c>
      <c r="G100" s="10">
        <v>4823</v>
      </c>
      <c r="H100" s="49">
        <v>157</v>
      </c>
      <c r="I100" s="12">
        <f t="shared" si="1"/>
        <v>757211</v>
      </c>
      <c r="J100" s="8">
        <v>103016</v>
      </c>
      <c r="K100" s="7" t="s">
        <v>202</v>
      </c>
    </row>
    <row r="101" spans="1:11" s="13" customFormat="1" x14ac:dyDescent="0.35">
      <c r="A101" s="7" t="s">
        <v>204</v>
      </c>
      <c r="B101" s="8">
        <v>101065</v>
      </c>
      <c r="C101" s="8">
        <v>100004643</v>
      </c>
      <c r="D101" s="9" t="s">
        <v>213</v>
      </c>
      <c r="E101" s="9" t="s">
        <v>51</v>
      </c>
      <c r="F101" s="10" t="s">
        <v>13</v>
      </c>
      <c r="G101" s="10">
        <v>180</v>
      </c>
      <c r="H101" s="49">
        <v>48616</v>
      </c>
      <c r="I101" s="12">
        <f t="shared" si="1"/>
        <v>8750880</v>
      </c>
      <c r="J101" s="8">
        <v>101065</v>
      </c>
      <c r="K101" s="7" t="s">
        <v>204</v>
      </c>
    </row>
    <row r="102" spans="1:11" s="13" customFormat="1" x14ac:dyDescent="0.35">
      <c r="A102" s="7" t="s">
        <v>206</v>
      </c>
      <c r="B102" s="8">
        <v>209064</v>
      </c>
      <c r="C102" s="8">
        <v>100002208</v>
      </c>
      <c r="D102" s="9" t="s">
        <v>215</v>
      </c>
      <c r="E102" s="9" t="s">
        <v>36</v>
      </c>
      <c r="F102" s="10" t="s">
        <v>13</v>
      </c>
      <c r="G102" s="10">
        <v>174</v>
      </c>
      <c r="H102" s="49">
        <v>11624</v>
      </c>
      <c r="I102" s="12">
        <f t="shared" si="1"/>
        <v>2022576</v>
      </c>
      <c r="J102" s="8">
        <v>209064</v>
      </c>
      <c r="K102" s="7" t="s">
        <v>206</v>
      </c>
    </row>
    <row r="103" spans="1:11" s="13" customFormat="1" x14ac:dyDescent="0.35">
      <c r="A103" s="7" t="s">
        <v>208</v>
      </c>
      <c r="B103" s="8">
        <v>101016</v>
      </c>
      <c r="C103" s="8">
        <v>100000486</v>
      </c>
      <c r="D103" s="9" t="s">
        <v>217</v>
      </c>
      <c r="E103" s="9" t="s">
        <v>36</v>
      </c>
      <c r="F103" s="10" t="s">
        <v>62</v>
      </c>
      <c r="G103" s="10">
        <v>30</v>
      </c>
      <c r="H103" s="49">
        <v>221578</v>
      </c>
      <c r="I103" s="12">
        <f t="shared" si="1"/>
        <v>6647340</v>
      </c>
      <c r="J103" s="8">
        <v>101016</v>
      </c>
      <c r="K103" s="7" t="s">
        <v>208</v>
      </c>
    </row>
    <row r="104" spans="1:11" s="13" customFormat="1" x14ac:dyDescent="0.35">
      <c r="A104" s="7" t="s">
        <v>210</v>
      </c>
      <c r="B104" s="8">
        <v>101034</v>
      </c>
      <c r="C104" s="8">
        <v>100002037</v>
      </c>
      <c r="D104" s="9" t="s">
        <v>219</v>
      </c>
      <c r="E104" s="9" t="s">
        <v>12</v>
      </c>
      <c r="F104" s="10" t="s">
        <v>13</v>
      </c>
      <c r="G104" s="10">
        <v>1350</v>
      </c>
      <c r="H104" s="49">
        <v>17472</v>
      </c>
      <c r="I104" s="12">
        <f t="shared" si="1"/>
        <v>23587200</v>
      </c>
      <c r="J104" s="8">
        <v>101034</v>
      </c>
      <c r="K104" s="7" t="s">
        <v>210</v>
      </c>
    </row>
    <row r="105" spans="1:11" s="13" customFormat="1" x14ac:dyDescent="0.35">
      <c r="A105" s="7" t="s">
        <v>212</v>
      </c>
      <c r="B105" s="8">
        <v>101103</v>
      </c>
      <c r="C105" s="8">
        <v>100004001</v>
      </c>
      <c r="D105" s="9" t="s">
        <v>221</v>
      </c>
      <c r="E105" s="9" t="s">
        <v>36</v>
      </c>
      <c r="F105" s="10" t="s">
        <v>13</v>
      </c>
      <c r="G105" s="10">
        <v>117</v>
      </c>
      <c r="H105" s="49">
        <v>181526</v>
      </c>
      <c r="I105" s="12">
        <f t="shared" si="1"/>
        <v>21238542</v>
      </c>
      <c r="J105" s="8">
        <v>101103</v>
      </c>
      <c r="K105" s="7" t="s">
        <v>212</v>
      </c>
    </row>
    <row r="106" spans="1:11" s="13" customFormat="1" x14ac:dyDescent="0.35">
      <c r="A106" s="7" t="s">
        <v>214</v>
      </c>
      <c r="B106" s="8">
        <v>101104</v>
      </c>
      <c r="C106" s="8">
        <v>100004000</v>
      </c>
      <c r="D106" s="9" t="s">
        <v>223</v>
      </c>
      <c r="E106" s="9" t="s">
        <v>36</v>
      </c>
      <c r="F106" s="10" t="s">
        <v>13</v>
      </c>
      <c r="G106" s="10">
        <v>0</v>
      </c>
      <c r="H106" s="49">
        <v>192236</v>
      </c>
      <c r="I106" s="12">
        <f t="shared" si="1"/>
        <v>0</v>
      </c>
      <c r="J106" s="8">
        <v>101104</v>
      </c>
      <c r="K106" s="7" t="s">
        <v>214</v>
      </c>
    </row>
    <row r="107" spans="1:11" s="13" customFormat="1" x14ac:dyDescent="0.35">
      <c r="A107" s="7" t="s">
        <v>216</v>
      </c>
      <c r="B107" s="8">
        <v>101044</v>
      </c>
      <c r="C107" s="8" t="s">
        <v>20</v>
      </c>
      <c r="D107" s="9" t="s">
        <v>225</v>
      </c>
      <c r="E107" s="9" t="s">
        <v>36</v>
      </c>
      <c r="F107" s="10" t="s">
        <v>13</v>
      </c>
      <c r="G107" s="10">
        <v>23</v>
      </c>
      <c r="H107" s="49">
        <v>305604</v>
      </c>
      <c r="I107" s="12">
        <f t="shared" si="1"/>
        <v>7028892</v>
      </c>
      <c r="J107" s="8">
        <v>101044</v>
      </c>
      <c r="K107" s="7" t="s">
        <v>216</v>
      </c>
    </row>
    <row r="108" spans="1:11" s="13" customFormat="1" x14ac:dyDescent="0.35">
      <c r="A108" s="7" t="s">
        <v>218</v>
      </c>
      <c r="B108" s="8">
        <v>104054</v>
      </c>
      <c r="C108" s="8">
        <v>100002088</v>
      </c>
      <c r="D108" s="9" t="s">
        <v>227</v>
      </c>
      <c r="E108" s="9" t="s">
        <v>12</v>
      </c>
      <c r="F108" s="10" t="s">
        <v>13</v>
      </c>
      <c r="G108" s="10">
        <v>11184</v>
      </c>
      <c r="H108" s="49">
        <v>464</v>
      </c>
      <c r="I108" s="12">
        <f t="shared" si="1"/>
        <v>5189376</v>
      </c>
      <c r="J108" s="8">
        <v>104054</v>
      </c>
      <c r="K108" s="7" t="s">
        <v>218</v>
      </c>
    </row>
    <row r="109" spans="1:11" s="13" customFormat="1" x14ac:dyDescent="0.35">
      <c r="A109" s="7" t="s">
        <v>220</v>
      </c>
      <c r="B109" s="8">
        <v>106058</v>
      </c>
      <c r="C109" s="8">
        <v>100000498</v>
      </c>
      <c r="D109" s="9" t="s">
        <v>229</v>
      </c>
      <c r="E109" s="9" t="s">
        <v>31</v>
      </c>
      <c r="F109" s="10" t="s">
        <v>62</v>
      </c>
      <c r="G109" s="10">
        <v>3448</v>
      </c>
      <c r="H109" s="49">
        <v>115</v>
      </c>
      <c r="I109" s="12">
        <f t="shared" si="1"/>
        <v>396520</v>
      </c>
      <c r="J109" s="8">
        <v>106058</v>
      </c>
      <c r="K109" s="7" t="s">
        <v>220</v>
      </c>
    </row>
    <row r="110" spans="1:11" s="13" customFormat="1" x14ac:dyDescent="0.35">
      <c r="A110" s="7" t="s">
        <v>222</v>
      </c>
      <c r="B110" s="8">
        <v>109050</v>
      </c>
      <c r="C110" s="8">
        <v>100003404</v>
      </c>
      <c r="D110" s="9" t="s">
        <v>231</v>
      </c>
      <c r="E110" s="9" t="s">
        <v>31</v>
      </c>
      <c r="F110" s="10" t="s">
        <v>62</v>
      </c>
      <c r="G110" s="10">
        <v>226</v>
      </c>
      <c r="H110" s="49">
        <v>1404</v>
      </c>
      <c r="I110" s="12">
        <f t="shared" si="1"/>
        <v>317304</v>
      </c>
      <c r="J110" s="8">
        <v>109050</v>
      </c>
      <c r="K110" s="7" t="s">
        <v>222</v>
      </c>
    </row>
    <row r="111" spans="1:11" s="13" customFormat="1" x14ac:dyDescent="0.35">
      <c r="A111" s="7" t="s">
        <v>224</v>
      </c>
      <c r="B111" s="8">
        <v>102049</v>
      </c>
      <c r="C111" s="8" t="s">
        <v>20</v>
      </c>
      <c r="D111" s="9" t="s">
        <v>233</v>
      </c>
      <c r="E111" s="9" t="s">
        <v>51</v>
      </c>
      <c r="F111" s="10" t="s">
        <v>62</v>
      </c>
      <c r="G111" s="10">
        <v>375</v>
      </c>
      <c r="H111" s="49">
        <v>334</v>
      </c>
      <c r="I111" s="12">
        <f t="shared" si="1"/>
        <v>125250</v>
      </c>
      <c r="J111" s="8">
        <v>102049</v>
      </c>
      <c r="K111" s="7" t="s">
        <v>224</v>
      </c>
    </row>
    <row r="112" spans="1:11" s="13" customFormat="1" x14ac:dyDescent="0.35">
      <c r="A112" s="7" t="s">
        <v>226</v>
      </c>
      <c r="B112" s="8">
        <v>106012</v>
      </c>
      <c r="C112" s="8">
        <v>100000519</v>
      </c>
      <c r="D112" s="9" t="s">
        <v>235</v>
      </c>
      <c r="E112" s="9" t="s">
        <v>31</v>
      </c>
      <c r="F112" s="10" t="s">
        <v>62</v>
      </c>
      <c r="G112" s="10">
        <v>51</v>
      </c>
      <c r="H112" s="49">
        <v>827</v>
      </c>
      <c r="I112" s="12">
        <f t="shared" si="1"/>
        <v>42177</v>
      </c>
      <c r="J112" s="8">
        <v>106012</v>
      </c>
      <c r="K112" s="7" t="s">
        <v>226</v>
      </c>
    </row>
    <row r="113" spans="1:11" s="13" customFormat="1" x14ac:dyDescent="0.35">
      <c r="A113" s="7" t="s">
        <v>228</v>
      </c>
      <c r="B113" s="8">
        <v>209146</v>
      </c>
      <c r="C113" s="8" t="s">
        <v>20</v>
      </c>
      <c r="D113" s="9" t="s">
        <v>237</v>
      </c>
      <c r="E113" s="9" t="s">
        <v>36</v>
      </c>
      <c r="F113" s="10" t="s">
        <v>13</v>
      </c>
      <c r="G113" s="10">
        <v>31</v>
      </c>
      <c r="H113" s="49">
        <v>99960</v>
      </c>
      <c r="I113" s="12">
        <f t="shared" si="1"/>
        <v>3098760</v>
      </c>
      <c r="J113" s="8">
        <v>209146</v>
      </c>
      <c r="K113" s="7" t="s">
        <v>228</v>
      </c>
    </row>
    <row r="114" spans="1:11" s="13" customFormat="1" x14ac:dyDescent="0.35">
      <c r="A114" s="7" t="s">
        <v>230</v>
      </c>
      <c r="B114" s="8">
        <v>209045</v>
      </c>
      <c r="C114" s="8">
        <v>100002220</v>
      </c>
      <c r="D114" s="9" t="s">
        <v>239</v>
      </c>
      <c r="E114" s="9" t="s">
        <v>36</v>
      </c>
      <c r="F114" s="10" t="s">
        <v>13</v>
      </c>
      <c r="G114" s="10">
        <v>69</v>
      </c>
      <c r="H114" s="49">
        <v>59405</v>
      </c>
      <c r="I114" s="12">
        <f t="shared" si="1"/>
        <v>4098945</v>
      </c>
      <c r="J114" s="8">
        <v>209045</v>
      </c>
      <c r="K114" s="7" t="s">
        <v>230</v>
      </c>
    </row>
    <row r="115" spans="1:11" s="13" customFormat="1" x14ac:dyDescent="0.35">
      <c r="A115" s="7" t="s">
        <v>232</v>
      </c>
      <c r="B115" s="8">
        <v>422002</v>
      </c>
      <c r="C115" s="8">
        <v>100000524</v>
      </c>
      <c r="D115" s="9" t="s">
        <v>241</v>
      </c>
      <c r="E115" s="9" t="s">
        <v>12</v>
      </c>
      <c r="F115" s="10" t="s">
        <v>62</v>
      </c>
      <c r="G115" s="10">
        <v>25878</v>
      </c>
      <c r="H115" s="49">
        <v>11</v>
      </c>
      <c r="I115" s="12">
        <f t="shared" si="1"/>
        <v>284658</v>
      </c>
      <c r="J115" s="8">
        <v>422002</v>
      </c>
      <c r="K115" s="7" t="s">
        <v>232</v>
      </c>
    </row>
    <row r="116" spans="1:11" s="13" customFormat="1" x14ac:dyDescent="0.35">
      <c r="A116" s="7" t="s">
        <v>234</v>
      </c>
      <c r="B116" s="8">
        <v>106013</v>
      </c>
      <c r="C116" s="8">
        <v>100000527</v>
      </c>
      <c r="D116" s="9" t="s">
        <v>243</v>
      </c>
      <c r="E116" s="9" t="s">
        <v>31</v>
      </c>
      <c r="F116" s="10" t="s">
        <v>62</v>
      </c>
      <c r="G116" s="10">
        <v>228</v>
      </c>
      <c r="H116" s="49">
        <v>405</v>
      </c>
      <c r="I116" s="12">
        <f t="shared" si="1"/>
        <v>92340</v>
      </c>
      <c r="J116" s="8">
        <v>106013</v>
      </c>
      <c r="K116" s="7" t="s">
        <v>234</v>
      </c>
    </row>
    <row r="117" spans="1:11" s="13" customFormat="1" x14ac:dyDescent="0.35">
      <c r="A117" s="7" t="s">
        <v>236</v>
      </c>
      <c r="B117" s="8">
        <v>102182</v>
      </c>
      <c r="C117" s="8">
        <v>100001960</v>
      </c>
      <c r="D117" s="9" t="s">
        <v>245</v>
      </c>
      <c r="E117" s="9" t="s">
        <v>146</v>
      </c>
      <c r="F117" s="10" t="s">
        <v>62</v>
      </c>
      <c r="G117" s="10">
        <v>430</v>
      </c>
      <c r="H117" s="49">
        <v>179</v>
      </c>
      <c r="I117" s="12">
        <f t="shared" si="1"/>
        <v>76970</v>
      </c>
      <c r="J117" s="8">
        <v>102182</v>
      </c>
      <c r="K117" s="7" t="s">
        <v>236</v>
      </c>
    </row>
    <row r="118" spans="1:11" s="13" customFormat="1" x14ac:dyDescent="0.35">
      <c r="A118" s="7" t="s">
        <v>238</v>
      </c>
      <c r="B118" s="8">
        <v>209123</v>
      </c>
      <c r="C118" s="8">
        <v>100002040</v>
      </c>
      <c r="D118" s="9" t="s">
        <v>247</v>
      </c>
      <c r="E118" s="9" t="s">
        <v>36</v>
      </c>
      <c r="F118" s="10" t="s">
        <v>13</v>
      </c>
      <c r="G118" s="10">
        <v>555</v>
      </c>
      <c r="H118" s="49">
        <v>9996</v>
      </c>
      <c r="I118" s="12">
        <f t="shared" si="1"/>
        <v>5547780</v>
      </c>
      <c r="J118" s="8">
        <v>209123</v>
      </c>
      <c r="K118" s="7" t="s">
        <v>238</v>
      </c>
    </row>
    <row r="119" spans="1:11" s="13" customFormat="1" x14ac:dyDescent="0.35">
      <c r="A119" s="7" t="s">
        <v>240</v>
      </c>
      <c r="B119" s="8">
        <v>209151</v>
      </c>
      <c r="C119" s="8">
        <v>100004355</v>
      </c>
      <c r="D119" s="9" t="s">
        <v>249</v>
      </c>
      <c r="E119" s="9" t="s">
        <v>36</v>
      </c>
      <c r="F119" s="10" t="s">
        <v>13</v>
      </c>
      <c r="G119" s="10">
        <v>80</v>
      </c>
      <c r="H119" s="49">
        <v>102222</v>
      </c>
      <c r="I119" s="12">
        <f t="shared" si="1"/>
        <v>8177760</v>
      </c>
      <c r="J119" s="8">
        <v>209151</v>
      </c>
      <c r="K119" s="7" t="s">
        <v>240</v>
      </c>
    </row>
    <row r="120" spans="1:11" s="13" customFormat="1" x14ac:dyDescent="0.35">
      <c r="A120" s="7" t="s">
        <v>242</v>
      </c>
      <c r="B120" s="8">
        <v>106014</v>
      </c>
      <c r="C120" s="8">
        <v>100000529</v>
      </c>
      <c r="D120" s="9" t="s">
        <v>251</v>
      </c>
      <c r="E120" s="9" t="s">
        <v>31</v>
      </c>
      <c r="F120" s="10" t="s">
        <v>62</v>
      </c>
      <c r="G120" s="10">
        <v>571</v>
      </c>
      <c r="H120" s="49">
        <v>414</v>
      </c>
      <c r="I120" s="12">
        <f t="shared" si="1"/>
        <v>236394</v>
      </c>
      <c r="J120" s="8">
        <v>106014</v>
      </c>
      <c r="K120" s="7" t="s">
        <v>242</v>
      </c>
    </row>
    <row r="121" spans="1:11" s="13" customFormat="1" x14ac:dyDescent="0.35">
      <c r="A121" s="7" t="s">
        <v>244</v>
      </c>
      <c r="B121" s="8">
        <v>101060</v>
      </c>
      <c r="C121" s="8">
        <v>100004005</v>
      </c>
      <c r="D121" s="9" t="s">
        <v>253</v>
      </c>
      <c r="E121" s="9" t="s">
        <v>146</v>
      </c>
      <c r="F121" s="10" t="s">
        <v>62</v>
      </c>
      <c r="G121" s="10">
        <v>8682</v>
      </c>
      <c r="H121" s="49">
        <v>67</v>
      </c>
      <c r="I121" s="12">
        <f t="shared" si="1"/>
        <v>581694</v>
      </c>
      <c r="J121" s="8">
        <v>101060</v>
      </c>
      <c r="K121" s="7" t="s">
        <v>244</v>
      </c>
    </row>
    <row r="122" spans="1:11" s="13" customFormat="1" x14ac:dyDescent="0.35">
      <c r="A122" s="7" t="s">
        <v>246</v>
      </c>
      <c r="B122" s="8">
        <v>102156</v>
      </c>
      <c r="C122" s="8">
        <v>100004006</v>
      </c>
      <c r="D122" s="9" t="s">
        <v>255</v>
      </c>
      <c r="E122" s="9" t="s">
        <v>146</v>
      </c>
      <c r="F122" s="10" t="s">
        <v>62</v>
      </c>
      <c r="G122" s="10">
        <v>2723</v>
      </c>
      <c r="H122" s="49">
        <v>74</v>
      </c>
      <c r="I122" s="12">
        <f t="shared" si="1"/>
        <v>201502</v>
      </c>
      <c r="J122" s="8">
        <v>102156</v>
      </c>
      <c r="K122" s="7" t="s">
        <v>246</v>
      </c>
    </row>
    <row r="123" spans="1:11" s="13" customFormat="1" x14ac:dyDescent="0.35">
      <c r="A123" s="7" t="s">
        <v>248</v>
      </c>
      <c r="B123" s="8">
        <v>106015</v>
      </c>
      <c r="C123" s="8">
        <v>100000535</v>
      </c>
      <c r="D123" s="9" t="s">
        <v>257</v>
      </c>
      <c r="E123" s="9" t="s">
        <v>31</v>
      </c>
      <c r="F123" s="10" t="s">
        <v>62</v>
      </c>
      <c r="G123" s="10">
        <v>1289</v>
      </c>
      <c r="H123" s="49">
        <v>239</v>
      </c>
      <c r="I123" s="12">
        <f t="shared" si="1"/>
        <v>308071</v>
      </c>
      <c r="J123" s="8">
        <v>106015</v>
      </c>
      <c r="K123" s="7" t="s">
        <v>248</v>
      </c>
    </row>
    <row r="124" spans="1:11" s="13" customFormat="1" x14ac:dyDescent="0.35">
      <c r="A124" s="7" t="s">
        <v>250</v>
      </c>
      <c r="B124" s="8">
        <v>104011</v>
      </c>
      <c r="C124" s="8">
        <v>100000547</v>
      </c>
      <c r="D124" s="9" t="s">
        <v>259</v>
      </c>
      <c r="E124" s="9" t="s">
        <v>12</v>
      </c>
      <c r="F124" s="10" t="s">
        <v>62</v>
      </c>
      <c r="G124" s="10">
        <v>1138</v>
      </c>
      <c r="H124" s="49">
        <v>5</v>
      </c>
      <c r="I124" s="12">
        <f t="shared" si="1"/>
        <v>5690</v>
      </c>
      <c r="J124" s="8">
        <v>104011</v>
      </c>
      <c r="K124" s="7" t="s">
        <v>250</v>
      </c>
    </row>
    <row r="125" spans="1:11" s="13" customFormat="1" x14ac:dyDescent="0.35">
      <c r="A125" s="7" t="s">
        <v>252</v>
      </c>
      <c r="B125" s="8">
        <v>101049</v>
      </c>
      <c r="C125" s="8">
        <v>100004644</v>
      </c>
      <c r="D125" s="9" t="s">
        <v>271</v>
      </c>
      <c r="E125" s="9" t="s">
        <v>51</v>
      </c>
      <c r="F125" s="10" t="s">
        <v>13</v>
      </c>
      <c r="G125" s="10">
        <v>1440</v>
      </c>
      <c r="H125" s="49">
        <v>8854</v>
      </c>
      <c r="I125" s="12">
        <f t="shared" si="1"/>
        <v>12749760</v>
      </c>
      <c r="J125" s="8">
        <v>101049</v>
      </c>
      <c r="K125" s="7" t="s">
        <v>252</v>
      </c>
    </row>
    <row r="126" spans="1:11" s="13" customFormat="1" x14ac:dyDescent="0.35">
      <c r="A126" s="7" t="s">
        <v>254</v>
      </c>
      <c r="B126" s="8">
        <v>106016</v>
      </c>
      <c r="C126" s="8">
        <v>100000559</v>
      </c>
      <c r="D126" s="9" t="s">
        <v>273</v>
      </c>
      <c r="E126" s="9" t="s">
        <v>31</v>
      </c>
      <c r="F126" s="10" t="s">
        <v>62</v>
      </c>
      <c r="G126" s="10">
        <v>479</v>
      </c>
      <c r="H126" s="49">
        <v>238</v>
      </c>
      <c r="I126" s="12">
        <f t="shared" si="1"/>
        <v>114002</v>
      </c>
      <c r="J126" s="8">
        <v>106016</v>
      </c>
      <c r="K126" s="7" t="s">
        <v>254</v>
      </c>
    </row>
    <row r="127" spans="1:11" s="13" customFormat="1" ht="21" x14ac:dyDescent="0.35">
      <c r="A127" s="7" t="s">
        <v>256</v>
      </c>
      <c r="B127" s="8">
        <v>102124</v>
      </c>
      <c r="C127" s="8">
        <v>100001916</v>
      </c>
      <c r="D127" s="9" t="s">
        <v>275</v>
      </c>
      <c r="E127" s="9" t="s">
        <v>36</v>
      </c>
      <c r="F127" s="10" t="s">
        <v>62</v>
      </c>
      <c r="G127" s="10">
        <v>855</v>
      </c>
      <c r="H127" s="49">
        <v>1348</v>
      </c>
      <c r="I127" s="12">
        <f t="shared" si="1"/>
        <v>1152540</v>
      </c>
      <c r="J127" s="8">
        <v>102124</v>
      </c>
      <c r="K127" s="7" t="s">
        <v>256</v>
      </c>
    </row>
    <row r="128" spans="1:11" s="13" customFormat="1" x14ac:dyDescent="0.35">
      <c r="A128" s="7" t="s">
        <v>258</v>
      </c>
      <c r="B128" s="8">
        <v>101020</v>
      </c>
      <c r="C128" s="8">
        <v>100004647</v>
      </c>
      <c r="D128" s="9" t="s">
        <v>277</v>
      </c>
      <c r="E128" s="9" t="s">
        <v>12</v>
      </c>
      <c r="F128" s="10" t="s">
        <v>13</v>
      </c>
      <c r="G128" s="10">
        <v>240</v>
      </c>
      <c r="H128" s="49">
        <v>8531</v>
      </c>
      <c r="I128" s="12">
        <f t="shared" si="1"/>
        <v>2047440</v>
      </c>
      <c r="J128" s="8">
        <v>101020</v>
      </c>
      <c r="K128" s="7" t="s">
        <v>258</v>
      </c>
    </row>
    <row r="129" spans="1:11" s="13" customFormat="1" x14ac:dyDescent="0.35">
      <c r="A129" s="7" t="s">
        <v>260</v>
      </c>
      <c r="B129" s="8">
        <v>103044</v>
      </c>
      <c r="C129" s="8">
        <v>100000582</v>
      </c>
      <c r="D129" s="9" t="s">
        <v>279</v>
      </c>
      <c r="E129" s="9" t="s">
        <v>36</v>
      </c>
      <c r="F129" s="10" t="s">
        <v>62</v>
      </c>
      <c r="G129" s="10">
        <v>43</v>
      </c>
      <c r="H129" s="49">
        <v>26073</v>
      </c>
      <c r="I129" s="12">
        <f t="shared" si="1"/>
        <v>1121139</v>
      </c>
      <c r="J129" s="8">
        <v>103044</v>
      </c>
      <c r="K129" s="7" t="s">
        <v>260</v>
      </c>
    </row>
    <row r="130" spans="1:11" s="13" customFormat="1" x14ac:dyDescent="0.35">
      <c r="A130" s="7" t="s">
        <v>262</v>
      </c>
      <c r="B130" s="8">
        <v>102153</v>
      </c>
      <c r="C130" s="8">
        <v>100003210</v>
      </c>
      <c r="D130" s="9" t="s">
        <v>281</v>
      </c>
      <c r="E130" s="9" t="s">
        <v>12</v>
      </c>
      <c r="F130" s="10" t="s">
        <v>62</v>
      </c>
      <c r="G130" s="10">
        <v>7655</v>
      </c>
      <c r="H130" s="49">
        <v>25</v>
      </c>
      <c r="I130" s="12">
        <f t="shared" si="1"/>
        <v>191375</v>
      </c>
      <c r="J130" s="8">
        <v>102153</v>
      </c>
      <c r="K130" s="7" t="s">
        <v>262</v>
      </c>
    </row>
    <row r="131" spans="1:11" s="13" customFormat="1" x14ac:dyDescent="0.35">
      <c r="A131" s="7" t="s">
        <v>264</v>
      </c>
      <c r="B131" s="8">
        <v>106072</v>
      </c>
      <c r="C131" s="8">
        <v>100000585</v>
      </c>
      <c r="D131" s="9" t="s">
        <v>283</v>
      </c>
      <c r="E131" s="9" t="s">
        <v>31</v>
      </c>
      <c r="F131" s="10" t="s">
        <v>62</v>
      </c>
      <c r="G131" s="10">
        <v>1366</v>
      </c>
      <c r="H131" s="49">
        <v>220</v>
      </c>
      <c r="I131" s="12">
        <f t="shared" si="1"/>
        <v>300520</v>
      </c>
      <c r="J131" s="8">
        <v>106072</v>
      </c>
      <c r="K131" s="7" t="s">
        <v>264</v>
      </c>
    </row>
    <row r="132" spans="1:11" s="13" customFormat="1" x14ac:dyDescent="0.35">
      <c r="A132" s="7" t="s">
        <v>266</v>
      </c>
      <c r="B132" s="8">
        <v>104045</v>
      </c>
      <c r="C132" s="8">
        <v>100000587</v>
      </c>
      <c r="D132" s="9" t="s">
        <v>285</v>
      </c>
      <c r="E132" s="9" t="s">
        <v>12</v>
      </c>
      <c r="F132" s="10" t="s">
        <v>62</v>
      </c>
      <c r="G132" s="10">
        <v>6881</v>
      </c>
      <c r="H132" s="49">
        <v>20</v>
      </c>
      <c r="I132" s="12">
        <f t="shared" si="1"/>
        <v>137620</v>
      </c>
      <c r="J132" s="8">
        <v>104045</v>
      </c>
      <c r="K132" s="7" t="s">
        <v>266</v>
      </c>
    </row>
    <row r="133" spans="1:11" s="13" customFormat="1" x14ac:dyDescent="0.35">
      <c r="A133" s="7" t="s">
        <v>268</v>
      </c>
      <c r="B133" s="8">
        <v>101006</v>
      </c>
      <c r="C133" s="8">
        <v>100000600</v>
      </c>
      <c r="D133" s="9" t="s">
        <v>287</v>
      </c>
      <c r="E133" s="9" t="s">
        <v>31</v>
      </c>
      <c r="F133" s="10" t="s">
        <v>62</v>
      </c>
      <c r="G133" s="10">
        <v>56</v>
      </c>
      <c r="H133" s="49">
        <v>2261</v>
      </c>
      <c r="I133" s="12">
        <f t="shared" si="1"/>
        <v>126616</v>
      </c>
      <c r="J133" s="8">
        <v>101006</v>
      </c>
      <c r="K133" s="7" t="s">
        <v>268</v>
      </c>
    </row>
    <row r="134" spans="1:11" s="13" customFormat="1" x14ac:dyDescent="0.35">
      <c r="A134" s="7" t="s">
        <v>270</v>
      </c>
      <c r="B134" s="8">
        <v>209019</v>
      </c>
      <c r="C134" s="8">
        <v>100000602</v>
      </c>
      <c r="D134" s="9" t="s">
        <v>289</v>
      </c>
      <c r="E134" s="9" t="s">
        <v>36</v>
      </c>
      <c r="F134" s="10" t="s">
        <v>13</v>
      </c>
      <c r="G134" s="10">
        <v>334</v>
      </c>
      <c r="H134" s="49">
        <v>6283</v>
      </c>
      <c r="I134" s="12">
        <f t="shared" si="1"/>
        <v>2098522</v>
      </c>
      <c r="J134" s="8">
        <v>209019</v>
      </c>
      <c r="K134" s="7" t="s">
        <v>270</v>
      </c>
    </row>
    <row r="135" spans="1:11" s="13" customFormat="1" x14ac:dyDescent="0.35">
      <c r="A135" s="7" t="s">
        <v>272</v>
      </c>
      <c r="B135" s="8">
        <v>209058</v>
      </c>
      <c r="C135" s="8">
        <v>100000604</v>
      </c>
      <c r="D135" s="9" t="s">
        <v>291</v>
      </c>
      <c r="E135" s="9" t="s">
        <v>12</v>
      </c>
      <c r="F135" s="10" t="s">
        <v>13</v>
      </c>
      <c r="G135" s="10">
        <v>9150</v>
      </c>
      <c r="H135" s="49">
        <v>583</v>
      </c>
      <c r="I135" s="12">
        <f t="shared" si="1"/>
        <v>5334450</v>
      </c>
      <c r="J135" s="8">
        <v>209058</v>
      </c>
      <c r="K135" s="7" t="s">
        <v>272</v>
      </c>
    </row>
    <row r="136" spans="1:11" s="13" customFormat="1" x14ac:dyDescent="0.35">
      <c r="A136" s="7" t="s">
        <v>274</v>
      </c>
      <c r="B136" s="8">
        <v>102144</v>
      </c>
      <c r="C136" s="8">
        <v>100000618</v>
      </c>
      <c r="D136" s="9" t="s">
        <v>293</v>
      </c>
      <c r="E136" s="9" t="s">
        <v>12</v>
      </c>
      <c r="F136" s="10" t="s">
        <v>62</v>
      </c>
      <c r="G136" s="10">
        <v>1236</v>
      </c>
      <c r="H136" s="49">
        <v>18</v>
      </c>
      <c r="I136" s="12">
        <f t="shared" si="1"/>
        <v>22248</v>
      </c>
      <c r="J136" s="8">
        <v>102144</v>
      </c>
      <c r="K136" s="7" t="s">
        <v>274</v>
      </c>
    </row>
    <row r="137" spans="1:11" s="13" customFormat="1" x14ac:dyDescent="0.35">
      <c r="A137" s="7" t="s">
        <v>276</v>
      </c>
      <c r="B137" s="8">
        <v>106066</v>
      </c>
      <c r="C137" s="8">
        <v>100002229</v>
      </c>
      <c r="D137" s="9" t="s">
        <v>295</v>
      </c>
      <c r="E137" s="9" t="s">
        <v>31</v>
      </c>
      <c r="F137" s="10" t="s">
        <v>62</v>
      </c>
      <c r="G137" s="10">
        <v>99</v>
      </c>
      <c r="H137" s="49">
        <v>3832</v>
      </c>
      <c r="I137" s="12">
        <f t="shared" si="1"/>
        <v>379368</v>
      </c>
      <c r="J137" s="8">
        <v>106066</v>
      </c>
      <c r="K137" s="7" t="s">
        <v>276</v>
      </c>
    </row>
    <row r="138" spans="1:11" s="13" customFormat="1" x14ac:dyDescent="0.35">
      <c r="A138" s="7" t="s">
        <v>278</v>
      </c>
      <c r="B138" s="8">
        <v>102034</v>
      </c>
      <c r="C138" s="8">
        <v>100000629</v>
      </c>
      <c r="D138" s="9" t="s">
        <v>299</v>
      </c>
      <c r="E138" s="9" t="s">
        <v>31</v>
      </c>
      <c r="F138" s="10" t="s">
        <v>62</v>
      </c>
      <c r="G138" s="10">
        <v>2341</v>
      </c>
      <c r="H138" s="49">
        <v>226</v>
      </c>
      <c r="I138" s="12">
        <f t="shared" si="1"/>
        <v>529066</v>
      </c>
      <c r="J138" s="8">
        <v>102034</v>
      </c>
      <c r="K138" s="7" t="s">
        <v>278</v>
      </c>
    </row>
    <row r="139" spans="1:11" s="13" customFormat="1" x14ac:dyDescent="0.35">
      <c r="A139" s="7" t="s">
        <v>280</v>
      </c>
      <c r="B139" s="8">
        <v>102033</v>
      </c>
      <c r="C139" s="8">
        <v>100002164</v>
      </c>
      <c r="D139" s="9" t="s">
        <v>301</v>
      </c>
      <c r="E139" s="9" t="s">
        <v>121</v>
      </c>
      <c r="F139" s="10" t="s">
        <v>62</v>
      </c>
      <c r="G139" s="10">
        <v>352</v>
      </c>
      <c r="H139" s="49">
        <v>3296</v>
      </c>
      <c r="I139" s="12">
        <f t="shared" ref="I139:I202" si="2">G139*H139</f>
        <v>1160192</v>
      </c>
      <c r="J139" s="8">
        <v>102033</v>
      </c>
      <c r="K139" s="7" t="s">
        <v>280</v>
      </c>
    </row>
    <row r="140" spans="1:11" s="13" customFormat="1" x14ac:dyDescent="0.35">
      <c r="A140" s="7" t="s">
        <v>282</v>
      </c>
      <c r="B140" s="8">
        <v>102007</v>
      </c>
      <c r="C140" s="8">
        <v>100000628</v>
      </c>
      <c r="D140" s="9" t="s">
        <v>297</v>
      </c>
      <c r="E140" s="9" t="s">
        <v>31</v>
      </c>
      <c r="F140" s="10" t="s">
        <v>62</v>
      </c>
      <c r="G140" s="10">
        <v>1176</v>
      </c>
      <c r="H140" s="49">
        <v>203</v>
      </c>
      <c r="I140" s="12">
        <f t="shared" si="2"/>
        <v>238728</v>
      </c>
      <c r="J140" s="8">
        <v>102007</v>
      </c>
      <c r="K140" s="7" t="s">
        <v>282</v>
      </c>
    </row>
    <row r="141" spans="1:11" s="13" customFormat="1" x14ac:dyDescent="0.35">
      <c r="A141" s="7" t="s">
        <v>284</v>
      </c>
      <c r="B141" s="8">
        <v>209039</v>
      </c>
      <c r="C141" s="8">
        <v>100000635</v>
      </c>
      <c r="D141" s="9" t="s">
        <v>303</v>
      </c>
      <c r="E141" s="9" t="s">
        <v>39</v>
      </c>
      <c r="F141" s="10" t="s">
        <v>13</v>
      </c>
      <c r="G141" s="10">
        <v>955</v>
      </c>
      <c r="H141" s="49">
        <v>34773</v>
      </c>
      <c r="I141" s="12">
        <f t="shared" si="2"/>
        <v>33208215</v>
      </c>
      <c r="J141" s="8">
        <v>209039</v>
      </c>
      <c r="K141" s="7" t="s">
        <v>284</v>
      </c>
    </row>
    <row r="142" spans="1:11" s="13" customFormat="1" x14ac:dyDescent="0.35">
      <c r="A142" s="7" t="s">
        <v>286</v>
      </c>
      <c r="B142" s="8">
        <v>102093</v>
      </c>
      <c r="C142" s="8">
        <v>100002903</v>
      </c>
      <c r="D142" s="9" t="s">
        <v>305</v>
      </c>
      <c r="E142" s="9" t="s">
        <v>31</v>
      </c>
      <c r="F142" s="10" t="s">
        <v>62</v>
      </c>
      <c r="G142" s="10">
        <v>8</v>
      </c>
      <c r="H142" s="49">
        <v>4305</v>
      </c>
      <c r="I142" s="12">
        <f t="shared" si="2"/>
        <v>34440</v>
      </c>
      <c r="J142" s="8">
        <v>102093</v>
      </c>
      <c r="K142" s="7" t="s">
        <v>286</v>
      </c>
    </row>
    <row r="143" spans="1:11" s="13" customFormat="1" x14ac:dyDescent="0.35">
      <c r="A143" s="7" t="s">
        <v>288</v>
      </c>
      <c r="B143" s="8">
        <v>102069</v>
      </c>
      <c r="C143" s="8">
        <v>100000642</v>
      </c>
      <c r="D143" s="9" t="s">
        <v>307</v>
      </c>
      <c r="E143" s="9" t="s">
        <v>146</v>
      </c>
      <c r="F143" s="10" t="s">
        <v>62</v>
      </c>
      <c r="G143" s="10">
        <v>716</v>
      </c>
      <c r="H143" s="49">
        <v>101</v>
      </c>
      <c r="I143" s="12">
        <f t="shared" si="2"/>
        <v>72316</v>
      </c>
      <c r="J143" s="8">
        <v>102069</v>
      </c>
      <c r="K143" s="7" t="s">
        <v>288</v>
      </c>
    </row>
    <row r="144" spans="1:11" s="13" customFormat="1" x14ac:dyDescent="0.35">
      <c r="A144" s="7" t="s">
        <v>290</v>
      </c>
      <c r="B144" s="8">
        <v>103018</v>
      </c>
      <c r="C144" s="8">
        <v>100000644</v>
      </c>
      <c r="D144" s="9" t="s">
        <v>309</v>
      </c>
      <c r="E144" s="9" t="s">
        <v>51</v>
      </c>
      <c r="F144" s="10" t="s">
        <v>62</v>
      </c>
      <c r="G144" s="10">
        <v>329</v>
      </c>
      <c r="H144" s="49">
        <v>107</v>
      </c>
      <c r="I144" s="12">
        <f t="shared" si="2"/>
        <v>35203</v>
      </c>
      <c r="J144" s="8">
        <v>103018</v>
      </c>
      <c r="K144" s="7" t="s">
        <v>290</v>
      </c>
    </row>
    <row r="145" spans="1:11" s="13" customFormat="1" x14ac:dyDescent="0.35">
      <c r="A145" s="7" t="s">
        <v>292</v>
      </c>
      <c r="B145" s="8">
        <v>103019</v>
      </c>
      <c r="C145" s="8">
        <v>100000645</v>
      </c>
      <c r="D145" s="9" t="s">
        <v>311</v>
      </c>
      <c r="E145" s="9" t="s">
        <v>36</v>
      </c>
      <c r="F145" s="10" t="s">
        <v>62</v>
      </c>
      <c r="G145" s="10">
        <v>301</v>
      </c>
      <c r="H145" s="49">
        <v>1050</v>
      </c>
      <c r="I145" s="12">
        <f t="shared" si="2"/>
        <v>316050</v>
      </c>
      <c r="J145" s="8">
        <v>103019</v>
      </c>
      <c r="K145" s="7" t="s">
        <v>292</v>
      </c>
    </row>
    <row r="146" spans="1:11" s="13" customFormat="1" x14ac:dyDescent="0.35">
      <c r="A146" s="7" t="s">
        <v>294</v>
      </c>
      <c r="B146" s="8">
        <v>102008</v>
      </c>
      <c r="C146" s="8">
        <v>100000649</v>
      </c>
      <c r="D146" s="9" t="s">
        <v>313</v>
      </c>
      <c r="E146" s="9" t="s">
        <v>31</v>
      </c>
      <c r="F146" s="10" t="s">
        <v>62</v>
      </c>
      <c r="G146" s="10">
        <v>23</v>
      </c>
      <c r="H146" s="49">
        <v>655</v>
      </c>
      <c r="I146" s="12">
        <f t="shared" si="2"/>
        <v>15065</v>
      </c>
      <c r="J146" s="8">
        <v>102008</v>
      </c>
      <c r="K146" s="7" t="s">
        <v>294</v>
      </c>
    </row>
    <row r="147" spans="1:11" s="13" customFormat="1" x14ac:dyDescent="0.35">
      <c r="A147" s="7" t="s">
        <v>296</v>
      </c>
      <c r="B147" s="8">
        <v>101027</v>
      </c>
      <c r="C147" s="8">
        <v>100003448</v>
      </c>
      <c r="D147" s="9" t="s">
        <v>315</v>
      </c>
      <c r="E147" s="9" t="s">
        <v>36</v>
      </c>
      <c r="F147" s="10" t="s">
        <v>13</v>
      </c>
      <c r="G147" s="10">
        <v>1038</v>
      </c>
      <c r="H147" s="49">
        <v>4046</v>
      </c>
      <c r="I147" s="12">
        <f t="shared" si="2"/>
        <v>4199748</v>
      </c>
      <c r="J147" s="8">
        <v>101027</v>
      </c>
      <c r="K147" s="7" t="s">
        <v>296</v>
      </c>
    </row>
    <row r="148" spans="1:11" s="13" customFormat="1" x14ac:dyDescent="0.35">
      <c r="A148" s="7" t="s">
        <v>298</v>
      </c>
      <c r="B148" s="8">
        <v>106021</v>
      </c>
      <c r="C148" s="8">
        <v>100000669</v>
      </c>
      <c r="D148" s="9" t="s">
        <v>317</v>
      </c>
      <c r="E148" s="9" t="s">
        <v>31</v>
      </c>
      <c r="F148" s="10" t="s">
        <v>62</v>
      </c>
      <c r="G148" s="10">
        <v>279</v>
      </c>
      <c r="H148" s="49">
        <v>500</v>
      </c>
      <c r="I148" s="12">
        <f t="shared" si="2"/>
        <v>139500</v>
      </c>
      <c r="J148" s="8">
        <v>106021</v>
      </c>
      <c r="K148" s="7" t="s">
        <v>298</v>
      </c>
    </row>
    <row r="149" spans="1:11" s="13" customFormat="1" x14ac:dyDescent="0.35">
      <c r="A149" s="7" t="s">
        <v>300</v>
      </c>
      <c r="B149" s="8">
        <v>105002</v>
      </c>
      <c r="C149" s="8">
        <v>100000548</v>
      </c>
      <c r="D149" s="9" t="s">
        <v>261</v>
      </c>
      <c r="E149" s="9" t="s">
        <v>62</v>
      </c>
      <c r="F149" s="10" t="s">
        <v>62</v>
      </c>
      <c r="G149" s="10">
        <v>102</v>
      </c>
      <c r="H149" s="49">
        <v>1131</v>
      </c>
      <c r="I149" s="12">
        <f t="shared" si="2"/>
        <v>115362</v>
      </c>
      <c r="J149" s="8">
        <v>105002</v>
      </c>
      <c r="K149" s="7" t="s">
        <v>300</v>
      </c>
    </row>
    <row r="150" spans="1:11" s="13" customFormat="1" x14ac:dyDescent="0.35">
      <c r="A150" s="7" t="s">
        <v>302</v>
      </c>
      <c r="B150" s="8">
        <v>104014</v>
      </c>
      <c r="C150" s="8">
        <v>100000688</v>
      </c>
      <c r="D150" s="9" t="s">
        <v>319</v>
      </c>
      <c r="E150" s="9" t="s">
        <v>146</v>
      </c>
      <c r="F150" s="10" t="s">
        <v>62</v>
      </c>
      <c r="G150" s="10">
        <v>11900</v>
      </c>
      <c r="H150" s="49">
        <v>70</v>
      </c>
      <c r="I150" s="12">
        <f t="shared" si="2"/>
        <v>833000</v>
      </c>
      <c r="J150" s="8">
        <v>104014</v>
      </c>
      <c r="K150" s="7" t="s">
        <v>302</v>
      </c>
    </row>
    <row r="151" spans="1:11" s="13" customFormat="1" x14ac:dyDescent="0.35">
      <c r="A151" s="7" t="s">
        <v>304</v>
      </c>
      <c r="B151" s="8">
        <v>106024</v>
      </c>
      <c r="C151" s="8">
        <v>100000693</v>
      </c>
      <c r="D151" s="9" t="s">
        <v>321</v>
      </c>
      <c r="E151" s="9" t="s">
        <v>31</v>
      </c>
      <c r="F151" s="10" t="s">
        <v>62</v>
      </c>
      <c r="G151" s="10">
        <v>466</v>
      </c>
      <c r="H151" s="49">
        <v>74</v>
      </c>
      <c r="I151" s="12">
        <f t="shared" si="2"/>
        <v>34484</v>
      </c>
      <c r="J151" s="8">
        <v>106024</v>
      </c>
      <c r="K151" s="7" t="s">
        <v>304</v>
      </c>
    </row>
    <row r="152" spans="1:11" s="13" customFormat="1" x14ac:dyDescent="0.35">
      <c r="A152" s="7" t="s">
        <v>306</v>
      </c>
      <c r="B152" s="8">
        <v>104016</v>
      </c>
      <c r="C152" s="8">
        <v>100000694</v>
      </c>
      <c r="D152" s="9" t="s">
        <v>323</v>
      </c>
      <c r="E152" s="9" t="s">
        <v>12</v>
      </c>
      <c r="F152" s="10" t="s">
        <v>62</v>
      </c>
      <c r="G152" s="10">
        <v>5182</v>
      </c>
      <c r="H152" s="49">
        <v>14</v>
      </c>
      <c r="I152" s="12">
        <f t="shared" si="2"/>
        <v>72548</v>
      </c>
      <c r="J152" s="8">
        <v>104016</v>
      </c>
      <c r="K152" s="7" t="s">
        <v>306</v>
      </c>
    </row>
    <row r="153" spans="1:11" s="13" customFormat="1" x14ac:dyDescent="0.35">
      <c r="A153" s="7" t="s">
        <v>308</v>
      </c>
      <c r="B153" s="8">
        <v>102177</v>
      </c>
      <c r="C153" s="8">
        <v>100000697</v>
      </c>
      <c r="D153" s="9" t="s">
        <v>325</v>
      </c>
      <c r="E153" s="9" t="s">
        <v>146</v>
      </c>
      <c r="F153" s="10" t="s">
        <v>62</v>
      </c>
      <c r="G153" s="10">
        <v>799</v>
      </c>
      <c r="H153" s="49">
        <v>66</v>
      </c>
      <c r="I153" s="12">
        <f t="shared" si="2"/>
        <v>52734</v>
      </c>
      <c r="J153" s="8">
        <v>102177</v>
      </c>
      <c r="K153" s="7" t="s">
        <v>308</v>
      </c>
    </row>
    <row r="154" spans="1:11" s="13" customFormat="1" x14ac:dyDescent="0.35">
      <c r="A154" s="7" t="s">
        <v>310</v>
      </c>
      <c r="B154" s="8">
        <v>209155</v>
      </c>
      <c r="C154" s="8">
        <v>100004642</v>
      </c>
      <c r="D154" s="9" t="s">
        <v>327</v>
      </c>
      <c r="E154" s="9" t="s">
        <v>12</v>
      </c>
      <c r="F154" s="10" t="s">
        <v>13</v>
      </c>
      <c r="G154" s="10">
        <v>30</v>
      </c>
      <c r="H154" s="49">
        <v>3451</v>
      </c>
      <c r="I154" s="12">
        <f t="shared" si="2"/>
        <v>103530</v>
      </c>
      <c r="J154" s="8">
        <v>209155</v>
      </c>
      <c r="K154" s="7" t="s">
        <v>310</v>
      </c>
    </row>
    <row r="155" spans="1:11" s="13" customFormat="1" x14ac:dyDescent="0.35">
      <c r="A155" s="7" t="s">
        <v>312</v>
      </c>
      <c r="B155" s="8">
        <v>102213</v>
      </c>
      <c r="C155" s="8">
        <v>100000924</v>
      </c>
      <c r="D155" s="9" t="s">
        <v>443</v>
      </c>
      <c r="E155" s="9" t="s">
        <v>39</v>
      </c>
      <c r="F155" s="10" t="s">
        <v>62</v>
      </c>
      <c r="G155" s="10">
        <v>0</v>
      </c>
      <c r="H155" s="49">
        <v>4760</v>
      </c>
      <c r="I155" s="12">
        <f t="shared" si="2"/>
        <v>0</v>
      </c>
      <c r="J155" s="8">
        <v>102213</v>
      </c>
      <c r="K155" s="7" t="s">
        <v>312</v>
      </c>
    </row>
    <row r="156" spans="1:11" s="13" customFormat="1" ht="21" x14ac:dyDescent="0.35">
      <c r="A156" s="7" t="s">
        <v>314</v>
      </c>
      <c r="B156" s="8">
        <v>353005</v>
      </c>
      <c r="C156" s="8" t="s">
        <v>20</v>
      </c>
      <c r="D156" s="9" t="s">
        <v>329</v>
      </c>
      <c r="E156" s="9" t="s">
        <v>330</v>
      </c>
      <c r="F156" s="10" t="s">
        <v>13</v>
      </c>
      <c r="G156" s="10">
        <v>128</v>
      </c>
      <c r="H156" s="49">
        <v>4522</v>
      </c>
      <c r="I156" s="12">
        <f t="shared" si="2"/>
        <v>578816</v>
      </c>
      <c r="J156" s="8">
        <v>353005</v>
      </c>
      <c r="K156" s="7" t="s">
        <v>314</v>
      </c>
    </row>
    <row r="157" spans="1:11" s="13" customFormat="1" x14ac:dyDescent="0.35">
      <c r="A157" s="7" t="s">
        <v>316</v>
      </c>
      <c r="B157" s="8">
        <v>103020</v>
      </c>
      <c r="C157" s="8">
        <v>100000715</v>
      </c>
      <c r="D157" s="9" t="s">
        <v>334</v>
      </c>
      <c r="E157" s="9" t="s">
        <v>31</v>
      </c>
      <c r="F157" s="10" t="s">
        <v>62</v>
      </c>
      <c r="G157" s="10">
        <v>48</v>
      </c>
      <c r="H157" s="49">
        <v>131</v>
      </c>
      <c r="I157" s="12">
        <f t="shared" si="2"/>
        <v>6288</v>
      </c>
      <c r="J157" s="8">
        <v>103020</v>
      </c>
      <c r="K157" s="7" t="s">
        <v>316</v>
      </c>
    </row>
    <row r="158" spans="1:11" s="13" customFormat="1" x14ac:dyDescent="0.35">
      <c r="A158" s="7" t="s">
        <v>318</v>
      </c>
      <c r="B158" s="8">
        <v>209051</v>
      </c>
      <c r="C158" s="8">
        <v>100006810</v>
      </c>
      <c r="D158" s="9" t="s">
        <v>332</v>
      </c>
      <c r="E158" s="9" t="s">
        <v>36</v>
      </c>
      <c r="F158" s="10" t="s">
        <v>13</v>
      </c>
      <c r="G158" s="10">
        <v>341</v>
      </c>
      <c r="H158" s="49">
        <v>22491</v>
      </c>
      <c r="I158" s="12">
        <f t="shared" si="2"/>
        <v>7669431</v>
      </c>
      <c r="J158" s="8">
        <v>209051</v>
      </c>
      <c r="K158" s="7" t="s">
        <v>318</v>
      </c>
    </row>
    <row r="159" spans="1:11" s="13" customFormat="1" x14ac:dyDescent="0.35">
      <c r="A159" s="7" t="s">
        <v>320</v>
      </c>
      <c r="B159" s="8">
        <v>106025</v>
      </c>
      <c r="C159" s="8">
        <v>100000730</v>
      </c>
      <c r="D159" s="9" t="s">
        <v>341</v>
      </c>
      <c r="E159" s="9" t="s">
        <v>31</v>
      </c>
      <c r="F159" s="10" t="s">
        <v>62</v>
      </c>
      <c r="G159" s="10">
        <v>8</v>
      </c>
      <c r="H159" s="49">
        <v>571</v>
      </c>
      <c r="I159" s="12">
        <f t="shared" si="2"/>
        <v>4568</v>
      </c>
      <c r="J159" s="8">
        <v>106025</v>
      </c>
      <c r="K159" s="7" t="s">
        <v>320</v>
      </c>
    </row>
    <row r="160" spans="1:11" s="13" customFormat="1" x14ac:dyDescent="0.35">
      <c r="A160" s="7" t="s">
        <v>322</v>
      </c>
      <c r="B160" s="8">
        <v>108003</v>
      </c>
      <c r="C160" s="8">
        <v>100000727</v>
      </c>
      <c r="D160" s="9" t="s">
        <v>339</v>
      </c>
      <c r="E160" s="9" t="s">
        <v>44</v>
      </c>
      <c r="F160" s="10" t="s">
        <v>62</v>
      </c>
      <c r="G160" s="10">
        <v>4</v>
      </c>
      <c r="H160" s="49">
        <v>655</v>
      </c>
      <c r="I160" s="12">
        <f t="shared" si="2"/>
        <v>2620</v>
      </c>
      <c r="J160" s="8">
        <v>108003</v>
      </c>
      <c r="K160" s="7" t="s">
        <v>322</v>
      </c>
    </row>
    <row r="161" spans="1:11" s="13" customFormat="1" x14ac:dyDescent="0.35">
      <c r="A161" s="7" t="s">
        <v>324</v>
      </c>
      <c r="B161" s="8">
        <v>108002</v>
      </c>
      <c r="C161" s="8">
        <v>100000729</v>
      </c>
      <c r="D161" s="9" t="s">
        <v>336</v>
      </c>
      <c r="E161" s="9" t="s">
        <v>337</v>
      </c>
      <c r="F161" s="10" t="s">
        <v>62</v>
      </c>
      <c r="G161" s="10">
        <v>87</v>
      </c>
      <c r="H161" s="49">
        <v>1250</v>
      </c>
      <c r="I161" s="12">
        <f t="shared" si="2"/>
        <v>108750</v>
      </c>
      <c r="J161" s="8">
        <v>108002</v>
      </c>
      <c r="K161" s="7" t="s">
        <v>324</v>
      </c>
    </row>
    <row r="162" spans="1:11" s="13" customFormat="1" x14ac:dyDescent="0.35">
      <c r="A162" s="7" t="s">
        <v>326</v>
      </c>
      <c r="B162" s="8">
        <v>108004</v>
      </c>
      <c r="C162" s="8">
        <v>100002361</v>
      </c>
      <c r="D162" s="9" t="s">
        <v>343</v>
      </c>
      <c r="E162" s="9" t="s">
        <v>44</v>
      </c>
      <c r="F162" s="10" t="s">
        <v>62</v>
      </c>
      <c r="G162" s="10">
        <v>24</v>
      </c>
      <c r="H162" s="49">
        <v>928</v>
      </c>
      <c r="I162" s="12">
        <f t="shared" si="2"/>
        <v>22272</v>
      </c>
      <c r="J162" s="8">
        <v>108004</v>
      </c>
      <c r="K162" s="7" t="s">
        <v>326</v>
      </c>
    </row>
    <row r="163" spans="1:11" s="13" customFormat="1" x14ac:dyDescent="0.35">
      <c r="A163" s="7" t="s">
        <v>328</v>
      </c>
      <c r="B163" s="8">
        <v>108027</v>
      </c>
      <c r="C163" s="8">
        <v>100000726</v>
      </c>
      <c r="D163" s="9" t="s">
        <v>347</v>
      </c>
      <c r="E163" s="9" t="s">
        <v>44</v>
      </c>
      <c r="F163" s="10" t="s">
        <v>62</v>
      </c>
      <c r="G163" s="10">
        <v>136</v>
      </c>
      <c r="H163" s="49">
        <v>1035</v>
      </c>
      <c r="I163" s="12">
        <f t="shared" si="2"/>
        <v>140760</v>
      </c>
      <c r="J163" s="8">
        <v>108027</v>
      </c>
      <c r="K163" s="7" t="s">
        <v>328</v>
      </c>
    </row>
    <row r="164" spans="1:11" s="13" customFormat="1" x14ac:dyDescent="0.35">
      <c r="A164" s="7" t="s">
        <v>331</v>
      </c>
      <c r="B164" s="8">
        <v>108006</v>
      </c>
      <c r="C164" s="8">
        <v>100000721</v>
      </c>
      <c r="D164" s="9" t="s">
        <v>349</v>
      </c>
      <c r="E164" s="9" t="s">
        <v>44</v>
      </c>
      <c r="F164" s="10" t="s">
        <v>62</v>
      </c>
      <c r="G164" s="10">
        <v>110</v>
      </c>
      <c r="H164" s="49">
        <v>696</v>
      </c>
      <c r="I164" s="12">
        <f t="shared" si="2"/>
        <v>76560</v>
      </c>
      <c r="J164" s="8">
        <v>108006</v>
      </c>
      <c r="K164" s="7" t="s">
        <v>331</v>
      </c>
    </row>
    <row r="165" spans="1:11" s="13" customFormat="1" x14ac:dyDescent="0.35">
      <c r="A165" s="7" t="s">
        <v>333</v>
      </c>
      <c r="B165" s="8">
        <v>108026</v>
      </c>
      <c r="C165" s="8" t="s">
        <v>20</v>
      </c>
      <c r="D165" s="9" t="s">
        <v>345</v>
      </c>
      <c r="E165" s="9" t="s">
        <v>44</v>
      </c>
      <c r="F165" s="10" t="s">
        <v>62</v>
      </c>
      <c r="G165" s="10">
        <v>44</v>
      </c>
      <c r="H165" s="49">
        <v>740</v>
      </c>
      <c r="I165" s="12">
        <f t="shared" si="2"/>
        <v>32560</v>
      </c>
      <c r="J165" s="8">
        <v>108026</v>
      </c>
      <c r="K165" s="7" t="s">
        <v>333</v>
      </c>
    </row>
    <row r="166" spans="1:11" s="13" customFormat="1" x14ac:dyDescent="0.35">
      <c r="A166" s="7" t="s">
        <v>335</v>
      </c>
      <c r="B166" s="8">
        <v>108009</v>
      </c>
      <c r="C166" s="8">
        <v>100000735</v>
      </c>
      <c r="D166" s="9" t="s">
        <v>353</v>
      </c>
      <c r="E166" s="9" t="s">
        <v>44</v>
      </c>
      <c r="F166" s="10" t="s">
        <v>62</v>
      </c>
      <c r="G166" s="10">
        <v>335</v>
      </c>
      <c r="H166" s="49">
        <v>696</v>
      </c>
      <c r="I166" s="12">
        <f t="shared" si="2"/>
        <v>233160</v>
      </c>
      <c r="J166" s="8">
        <v>108009</v>
      </c>
      <c r="K166" s="7" t="s">
        <v>335</v>
      </c>
    </row>
    <row r="167" spans="1:11" s="13" customFormat="1" x14ac:dyDescent="0.35">
      <c r="A167" s="7" t="s">
        <v>338</v>
      </c>
      <c r="B167" s="8">
        <v>108010</v>
      </c>
      <c r="C167" s="8">
        <v>100000733</v>
      </c>
      <c r="D167" s="9" t="s">
        <v>351</v>
      </c>
      <c r="E167" s="9" t="s">
        <v>44</v>
      </c>
      <c r="F167" s="10" t="s">
        <v>62</v>
      </c>
      <c r="G167" s="10">
        <v>131</v>
      </c>
      <c r="H167" s="49">
        <v>714</v>
      </c>
      <c r="I167" s="12">
        <f t="shared" si="2"/>
        <v>93534</v>
      </c>
      <c r="J167" s="8">
        <v>108010</v>
      </c>
      <c r="K167" s="7" t="s">
        <v>338</v>
      </c>
    </row>
    <row r="168" spans="1:11" s="13" customFormat="1" x14ac:dyDescent="0.35">
      <c r="A168" s="7" t="s">
        <v>340</v>
      </c>
      <c r="B168" s="8">
        <v>209148</v>
      </c>
      <c r="C168" s="8">
        <v>100002337</v>
      </c>
      <c r="D168" s="9" t="s">
        <v>355</v>
      </c>
      <c r="E168" s="9" t="s">
        <v>39</v>
      </c>
      <c r="F168" s="10" t="s">
        <v>13</v>
      </c>
      <c r="G168" s="10">
        <v>170</v>
      </c>
      <c r="H168" s="49">
        <v>89726</v>
      </c>
      <c r="I168" s="12">
        <f t="shared" si="2"/>
        <v>15253420</v>
      </c>
      <c r="J168" s="8">
        <v>209148</v>
      </c>
      <c r="K168" s="7" t="s">
        <v>340</v>
      </c>
    </row>
    <row r="169" spans="1:11" s="13" customFormat="1" x14ac:dyDescent="0.35">
      <c r="A169" s="7" t="s">
        <v>342</v>
      </c>
      <c r="B169" s="8">
        <v>104017</v>
      </c>
      <c r="C169" s="8">
        <v>100000764</v>
      </c>
      <c r="D169" s="9" t="s">
        <v>357</v>
      </c>
      <c r="E169" s="9" t="s">
        <v>12</v>
      </c>
      <c r="F169" s="10" t="s">
        <v>62</v>
      </c>
      <c r="G169" s="10">
        <v>414</v>
      </c>
      <c r="H169" s="49">
        <v>84</v>
      </c>
      <c r="I169" s="12">
        <f t="shared" si="2"/>
        <v>34776</v>
      </c>
      <c r="J169" s="8">
        <v>104017</v>
      </c>
      <c r="K169" s="7" t="s">
        <v>342</v>
      </c>
    </row>
    <row r="170" spans="1:11" s="13" customFormat="1" x14ac:dyDescent="0.35">
      <c r="A170" s="7" t="s">
        <v>344</v>
      </c>
      <c r="B170" s="8">
        <v>106026</v>
      </c>
      <c r="C170" s="8">
        <v>100000763</v>
      </c>
      <c r="D170" s="9" t="s">
        <v>359</v>
      </c>
      <c r="E170" s="9" t="s">
        <v>31</v>
      </c>
      <c r="F170" s="10" t="s">
        <v>62</v>
      </c>
      <c r="G170" s="10">
        <v>534</v>
      </c>
      <c r="H170" s="49">
        <v>125</v>
      </c>
      <c r="I170" s="12">
        <f t="shared" si="2"/>
        <v>66750</v>
      </c>
      <c r="J170" s="8">
        <v>106026</v>
      </c>
      <c r="K170" s="7" t="s">
        <v>344</v>
      </c>
    </row>
    <row r="171" spans="1:11" s="13" customFormat="1" x14ac:dyDescent="0.35">
      <c r="A171" s="7" t="s">
        <v>346</v>
      </c>
      <c r="B171" s="8">
        <v>106027</v>
      </c>
      <c r="C171" s="8">
        <v>100000766</v>
      </c>
      <c r="D171" s="9" t="s">
        <v>361</v>
      </c>
      <c r="E171" s="9" t="s">
        <v>36</v>
      </c>
      <c r="F171" s="10" t="s">
        <v>62</v>
      </c>
      <c r="G171" s="10">
        <v>529</v>
      </c>
      <c r="H171" s="49">
        <v>2678</v>
      </c>
      <c r="I171" s="12">
        <f t="shared" si="2"/>
        <v>1416662</v>
      </c>
      <c r="J171" s="8">
        <v>106027</v>
      </c>
      <c r="K171" s="7" t="s">
        <v>346</v>
      </c>
    </row>
    <row r="172" spans="1:11" s="13" customFormat="1" x14ac:dyDescent="0.35">
      <c r="A172" s="7" t="s">
        <v>348</v>
      </c>
      <c r="B172" s="8">
        <v>106085</v>
      </c>
      <c r="C172" s="8">
        <v>100000553</v>
      </c>
      <c r="D172" s="9" t="s">
        <v>269</v>
      </c>
      <c r="E172" s="9" t="s">
        <v>39</v>
      </c>
      <c r="F172" s="10" t="s">
        <v>62</v>
      </c>
      <c r="G172" s="10">
        <v>173</v>
      </c>
      <c r="H172" s="49">
        <v>4046</v>
      </c>
      <c r="I172" s="12">
        <f t="shared" si="2"/>
        <v>699958</v>
      </c>
      <c r="J172" s="8">
        <v>106085</v>
      </c>
      <c r="K172" s="7" t="s">
        <v>348</v>
      </c>
    </row>
    <row r="173" spans="1:11" s="13" customFormat="1" x14ac:dyDescent="0.35">
      <c r="A173" s="7" t="s">
        <v>350</v>
      </c>
      <c r="B173" s="8">
        <v>106022</v>
      </c>
      <c r="C173" s="8">
        <v>100000484</v>
      </c>
      <c r="D173" s="9" t="s">
        <v>263</v>
      </c>
      <c r="E173" s="9" t="s">
        <v>39</v>
      </c>
      <c r="F173" s="10" t="s">
        <v>62</v>
      </c>
      <c r="G173" s="10">
        <v>43</v>
      </c>
      <c r="H173" s="49">
        <v>2380</v>
      </c>
      <c r="I173" s="12">
        <f t="shared" si="2"/>
        <v>102340</v>
      </c>
      <c r="J173" s="8">
        <v>106022</v>
      </c>
      <c r="K173" s="7" t="s">
        <v>350</v>
      </c>
    </row>
    <row r="174" spans="1:11" s="13" customFormat="1" x14ac:dyDescent="0.35">
      <c r="A174" s="7" t="s">
        <v>352</v>
      </c>
      <c r="B174" s="8">
        <v>106023</v>
      </c>
      <c r="C174" s="8">
        <v>100000551</v>
      </c>
      <c r="D174" s="9" t="s">
        <v>265</v>
      </c>
      <c r="E174" s="9" t="s">
        <v>39</v>
      </c>
      <c r="F174" s="10" t="s">
        <v>62</v>
      </c>
      <c r="G174" s="10">
        <v>4887</v>
      </c>
      <c r="H174" s="49">
        <v>2023</v>
      </c>
      <c r="I174" s="12">
        <f t="shared" si="2"/>
        <v>9886401</v>
      </c>
      <c r="J174" s="8">
        <v>106023</v>
      </c>
      <c r="K174" s="7" t="s">
        <v>352</v>
      </c>
    </row>
    <row r="175" spans="1:11" s="13" customFormat="1" x14ac:dyDescent="0.35">
      <c r="A175" s="7" t="s">
        <v>354</v>
      </c>
      <c r="B175" s="8">
        <v>102035</v>
      </c>
      <c r="C175" s="8">
        <v>100000552</v>
      </c>
      <c r="D175" s="9" t="s">
        <v>267</v>
      </c>
      <c r="E175" s="9" t="s">
        <v>39</v>
      </c>
      <c r="F175" s="10" t="s">
        <v>62</v>
      </c>
      <c r="G175" s="10">
        <v>1300</v>
      </c>
      <c r="H175" s="49">
        <v>2737</v>
      </c>
      <c r="I175" s="12">
        <f t="shared" si="2"/>
        <v>3558100</v>
      </c>
      <c r="J175" s="8">
        <v>102035</v>
      </c>
      <c r="K175" s="7" t="s">
        <v>354</v>
      </c>
    </row>
    <row r="176" spans="1:11" s="13" customFormat="1" x14ac:dyDescent="0.35">
      <c r="A176" s="7" t="s">
        <v>356</v>
      </c>
      <c r="B176" s="8">
        <v>104035</v>
      </c>
      <c r="C176" s="8">
        <v>100000769</v>
      </c>
      <c r="D176" s="9" t="s">
        <v>363</v>
      </c>
      <c r="E176" s="9" t="s">
        <v>12</v>
      </c>
      <c r="F176" s="10" t="s">
        <v>62</v>
      </c>
      <c r="G176" s="10">
        <v>853</v>
      </c>
      <c r="H176" s="49">
        <v>8</v>
      </c>
      <c r="I176" s="12">
        <f t="shared" si="2"/>
        <v>6824</v>
      </c>
      <c r="J176" s="8">
        <v>104035</v>
      </c>
      <c r="K176" s="7" t="s">
        <v>356</v>
      </c>
    </row>
    <row r="177" spans="1:11" s="13" customFormat="1" x14ac:dyDescent="0.35">
      <c r="A177" s="7" t="s">
        <v>358</v>
      </c>
      <c r="B177" s="8">
        <v>102190</v>
      </c>
      <c r="C177" s="8">
        <v>100000771</v>
      </c>
      <c r="D177" s="9" t="s">
        <v>365</v>
      </c>
      <c r="E177" s="9" t="s">
        <v>22</v>
      </c>
      <c r="F177" s="10" t="s">
        <v>62</v>
      </c>
      <c r="G177" s="10">
        <v>49</v>
      </c>
      <c r="H177" s="49">
        <v>768</v>
      </c>
      <c r="I177" s="12">
        <f t="shared" si="2"/>
        <v>37632</v>
      </c>
      <c r="J177" s="8">
        <v>102190</v>
      </c>
      <c r="K177" s="7" t="s">
        <v>358</v>
      </c>
    </row>
    <row r="178" spans="1:11" s="13" customFormat="1" x14ac:dyDescent="0.35">
      <c r="A178" s="7" t="s">
        <v>360</v>
      </c>
      <c r="B178" s="8">
        <v>106028</v>
      </c>
      <c r="C178" s="8">
        <v>100000772</v>
      </c>
      <c r="D178" s="9" t="s">
        <v>367</v>
      </c>
      <c r="E178" s="9" t="s">
        <v>36</v>
      </c>
      <c r="F178" s="10" t="s">
        <v>62</v>
      </c>
      <c r="G178" s="10">
        <v>304</v>
      </c>
      <c r="H178" s="49">
        <v>417</v>
      </c>
      <c r="I178" s="12">
        <f t="shared" si="2"/>
        <v>126768</v>
      </c>
      <c r="J178" s="8">
        <v>106028</v>
      </c>
      <c r="K178" s="7" t="s">
        <v>360</v>
      </c>
    </row>
    <row r="179" spans="1:11" s="13" customFormat="1" x14ac:dyDescent="0.35">
      <c r="A179" s="7" t="s">
        <v>362</v>
      </c>
      <c r="B179" s="8">
        <v>209164</v>
      </c>
      <c r="C179" s="8">
        <v>100000776</v>
      </c>
      <c r="D179" s="9" t="s">
        <v>369</v>
      </c>
      <c r="E179" s="9" t="s">
        <v>51</v>
      </c>
      <c r="F179" s="10" t="s">
        <v>13</v>
      </c>
      <c r="G179" s="10">
        <v>456</v>
      </c>
      <c r="H179" s="49">
        <v>353</v>
      </c>
      <c r="I179" s="12">
        <f t="shared" si="2"/>
        <v>160968</v>
      </c>
      <c r="J179" s="8">
        <v>209164</v>
      </c>
      <c r="K179" s="7" t="s">
        <v>362</v>
      </c>
    </row>
    <row r="180" spans="1:11" s="13" customFormat="1" x14ac:dyDescent="0.35">
      <c r="A180" s="7" t="s">
        <v>364</v>
      </c>
      <c r="B180" s="8">
        <v>106094</v>
      </c>
      <c r="C180" s="8">
        <v>100000777</v>
      </c>
      <c r="D180" s="9" t="s">
        <v>371</v>
      </c>
      <c r="E180" s="9" t="s">
        <v>31</v>
      </c>
      <c r="F180" s="10" t="s">
        <v>62</v>
      </c>
      <c r="G180" s="10">
        <v>29</v>
      </c>
      <c r="H180" s="49">
        <v>619</v>
      </c>
      <c r="I180" s="12">
        <f t="shared" si="2"/>
        <v>17951</v>
      </c>
      <c r="J180" s="8">
        <v>106094</v>
      </c>
      <c r="K180" s="7" t="s">
        <v>364</v>
      </c>
    </row>
    <row r="181" spans="1:11" s="13" customFormat="1" x14ac:dyDescent="0.35">
      <c r="A181" s="7" t="s">
        <v>366</v>
      </c>
      <c r="B181" s="8">
        <v>104018</v>
      </c>
      <c r="C181" s="8">
        <v>100000806</v>
      </c>
      <c r="D181" s="9" t="s">
        <v>373</v>
      </c>
      <c r="E181" s="9" t="s">
        <v>12</v>
      </c>
      <c r="F181" s="10" t="s">
        <v>62</v>
      </c>
      <c r="G181" s="10">
        <v>7525</v>
      </c>
      <c r="H181" s="49">
        <v>17</v>
      </c>
      <c r="I181" s="12">
        <f t="shared" si="2"/>
        <v>127925</v>
      </c>
      <c r="J181" s="8">
        <v>104018</v>
      </c>
      <c r="K181" s="7" t="s">
        <v>366</v>
      </c>
    </row>
    <row r="182" spans="1:11" s="13" customFormat="1" x14ac:dyDescent="0.35">
      <c r="A182" s="7" t="s">
        <v>368</v>
      </c>
      <c r="B182" s="8">
        <v>209059</v>
      </c>
      <c r="C182" s="8">
        <v>100002238</v>
      </c>
      <c r="D182" s="9" t="s">
        <v>375</v>
      </c>
      <c r="E182" s="9" t="s">
        <v>36</v>
      </c>
      <c r="F182" s="10" t="s">
        <v>13</v>
      </c>
      <c r="G182" s="10">
        <v>1037</v>
      </c>
      <c r="H182" s="49">
        <v>55066</v>
      </c>
      <c r="I182" s="12">
        <f t="shared" si="2"/>
        <v>57103442</v>
      </c>
      <c r="J182" s="8">
        <v>209059</v>
      </c>
      <c r="K182" s="7" t="s">
        <v>368</v>
      </c>
    </row>
    <row r="183" spans="1:11" s="13" customFormat="1" x14ac:dyDescent="0.35">
      <c r="A183" s="7" t="s">
        <v>370</v>
      </c>
      <c r="B183" s="8">
        <v>101017</v>
      </c>
      <c r="C183" s="8">
        <v>100000809</v>
      </c>
      <c r="D183" s="9" t="s">
        <v>377</v>
      </c>
      <c r="E183" s="9" t="s">
        <v>12</v>
      </c>
      <c r="F183" s="10" t="s">
        <v>13</v>
      </c>
      <c r="G183" s="10">
        <v>660</v>
      </c>
      <c r="H183" s="49">
        <v>1663</v>
      </c>
      <c r="I183" s="12">
        <f t="shared" si="2"/>
        <v>1097580</v>
      </c>
      <c r="J183" s="8">
        <v>101017</v>
      </c>
      <c r="K183" s="7" t="s">
        <v>370</v>
      </c>
    </row>
    <row r="184" spans="1:11" s="13" customFormat="1" x14ac:dyDescent="0.35">
      <c r="A184" s="7" t="s">
        <v>372</v>
      </c>
      <c r="B184" s="8">
        <v>101015</v>
      </c>
      <c r="C184" s="8">
        <v>100002047</v>
      </c>
      <c r="D184" s="9" t="s">
        <v>379</v>
      </c>
      <c r="E184" s="9" t="s">
        <v>12</v>
      </c>
      <c r="F184" s="10" t="s">
        <v>13</v>
      </c>
      <c r="G184" s="10">
        <v>2760</v>
      </c>
      <c r="H184" s="49">
        <v>771</v>
      </c>
      <c r="I184" s="12">
        <f t="shared" si="2"/>
        <v>2127960</v>
      </c>
      <c r="J184" s="8">
        <v>101015</v>
      </c>
      <c r="K184" s="7" t="s">
        <v>372</v>
      </c>
    </row>
    <row r="185" spans="1:11" s="13" customFormat="1" x14ac:dyDescent="0.35">
      <c r="A185" s="7" t="s">
        <v>374</v>
      </c>
      <c r="B185" s="8">
        <v>103029</v>
      </c>
      <c r="C185" s="8">
        <v>100000810</v>
      </c>
      <c r="D185" s="9" t="s">
        <v>381</v>
      </c>
      <c r="E185" s="9" t="s">
        <v>36</v>
      </c>
      <c r="F185" s="10" t="s">
        <v>62</v>
      </c>
      <c r="G185" s="10">
        <v>23</v>
      </c>
      <c r="H185" s="49">
        <v>2975</v>
      </c>
      <c r="I185" s="12">
        <f t="shared" si="2"/>
        <v>68425</v>
      </c>
      <c r="J185" s="8">
        <v>103029</v>
      </c>
      <c r="K185" s="7" t="s">
        <v>374</v>
      </c>
    </row>
    <row r="186" spans="1:11" s="13" customFormat="1" x14ac:dyDescent="0.35">
      <c r="A186" s="7" t="s">
        <v>376</v>
      </c>
      <c r="B186" s="8">
        <v>102158</v>
      </c>
      <c r="C186" s="8" t="s">
        <v>20</v>
      </c>
      <c r="D186" s="9" t="s">
        <v>383</v>
      </c>
      <c r="E186" s="9" t="s">
        <v>22</v>
      </c>
      <c r="F186" s="10" t="s">
        <v>62</v>
      </c>
      <c r="G186" s="10">
        <v>7</v>
      </c>
      <c r="H186" s="49">
        <v>13792</v>
      </c>
      <c r="I186" s="12">
        <f t="shared" si="2"/>
        <v>96544</v>
      </c>
      <c r="J186" s="8">
        <v>102158</v>
      </c>
      <c r="K186" s="7" t="s">
        <v>376</v>
      </c>
    </row>
    <row r="187" spans="1:11" s="13" customFormat="1" x14ac:dyDescent="0.35">
      <c r="A187" s="7" t="s">
        <v>378</v>
      </c>
      <c r="B187" s="8">
        <v>106056</v>
      </c>
      <c r="C187" s="8">
        <v>100000822</v>
      </c>
      <c r="D187" s="9" t="s">
        <v>389</v>
      </c>
      <c r="E187" s="9" t="s">
        <v>36</v>
      </c>
      <c r="F187" s="10" t="s">
        <v>62</v>
      </c>
      <c r="G187" s="10">
        <v>33</v>
      </c>
      <c r="H187" s="49">
        <v>4986</v>
      </c>
      <c r="I187" s="12">
        <f t="shared" si="2"/>
        <v>164538</v>
      </c>
      <c r="J187" s="8">
        <v>106056</v>
      </c>
      <c r="K187" s="7" t="s">
        <v>378</v>
      </c>
    </row>
    <row r="188" spans="1:11" s="13" customFormat="1" x14ac:dyDescent="0.35">
      <c r="A188" s="7" t="s">
        <v>380</v>
      </c>
      <c r="B188" s="8">
        <v>102192</v>
      </c>
      <c r="C188" s="8">
        <v>100004060</v>
      </c>
      <c r="D188" s="9" t="s">
        <v>385</v>
      </c>
      <c r="E188" s="9" t="s">
        <v>39</v>
      </c>
      <c r="F188" s="10" t="s">
        <v>62</v>
      </c>
      <c r="G188" s="10">
        <v>64</v>
      </c>
      <c r="H188" s="49">
        <v>16797</v>
      </c>
      <c r="I188" s="12">
        <f t="shared" si="2"/>
        <v>1075008</v>
      </c>
      <c r="J188" s="8">
        <v>102192</v>
      </c>
      <c r="K188" s="7" t="s">
        <v>380</v>
      </c>
    </row>
    <row r="189" spans="1:11" s="13" customFormat="1" x14ac:dyDescent="0.35">
      <c r="A189" s="7" t="s">
        <v>382</v>
      </c>
      <c r="B189" s="8">
        <v>102193</v>
      </c>
      <c r="C189" s="8">
        <v>100006440</v>
      </c>
      <c r="D189" s="9" t="s">
        <v>387</v>
      </c>
      <c r="E189" s="9" t="s">
        <v>39</v>
      </c>
      <c r="F189" s="10" t="s">
        <v>62</v>
      </c>
      <c r="G189" s="10">
        <v>20</v>
      </c>
      <c r="H189" s="49">
        <v>4510</v>
      </c>
      <c r="I189" s="12">
        <f t="shared" si="2"/>
        <v>90200</v>
      </c>
      <c r="J189" s="8">
        <v>102193</v>
      </c>
      <c r="K189" s="7" t="s">
        <v>382</v>
      </c>
    </row>
    <row r="190" spans="1:11" s="13" customFormat="1" x14ac:dyDescent="0.35">
      <c r="A190" s="7" t="s">
        <v>384</v>
      </c>
      <c r="B190" s="8">
        <v>106057</v>
      </c>
      <c r="C190" s="8">
        <v>100000824</v>
      </c>
      <c r="D190" s="9" t="s">
        <v>391</v>
      </c>
      <c r="E190" s="9" t="s">
        <v>36</v>
      </c>
      <c r="F190" s="10" t="s">
        <v>62</v>
      </c>
      <c r="G190" s="10">
        <v>39</v>
      </c>
      <c r="H190" s="49">
        <v>4165</v>
      </c>
      <c r="I190" s="12">
        <f t="shared" si="2"/>
        <v>162435</v>
      </c>
      <c r="J190" s="8">
        <v>106057</v>
      </c>
      <c r="K190" s="7" t="s">
        <v>384</v>
      </c>
    </row>
    <row r="191" spans="1:11" s="13" customFormat="1" x14ac:dyDescent="0.35">
      <c r="A191" s="7" t="s">
        <v>386</v>
      </c>
      <c r="B191" s="8">
        <v>105018</v>
      </c>
      <c r="C191" s="8">
        <v>100000829</v>
      </c>
      <c r="D191" s="9" t="s">
        <v>395</v>
      </c>
      <c r="E191" s="9" t="s">
        <v>62</v>
      </c>
      <c r="F191" s="10" t="s">
        <v>62</v>
      </c>
      <c r="G191" s="10">
        <v>71</v>
      </c>
      <c r="H191" s="49">
        <v>5116</v>
      </c>
      <c r="I191" s="12">
        <f t="shared" si="2"/>
        <v>363236</v>
      </c>
      <c r="J191" s="8">
        <v>105018</v>
      </c>
      <c r="K191" s="7" t="s">
        <v>386</v>
      </c>
    </row>
    <row r="192" spans="1:11" s="13" customFormat="1" x14ac:dyDescent="0.35">
      <c r="A192" s="7" t="s">
        <v>388</v>
      </c>
      <c r="B192" s="8">
        <v>102123</v>
      </c>
      <c r="C192" s="8">
        <v>100000830</v>
      </c>
      <c r="D192" s="9" t="s">
        <v>393</v>
      </c>
      <c r="E192" s="9" t="s">
        <v>62</v>
      </c>
      <c r="F192" s="10" t="s">
        <v>62</v>
      </c>
      <c r="G192" s="10">
        <v>49</v>
      </c>
      <c r="H192" s="49">
        <v>1904</v>
      </c>
      <c r="I192" s="12">
        <f t="shared" si="2"/>
        <v>93296</v>
      </c>
      <c r="J192" s="8">
        <v>102123</v>
      </c>
      <c r="K192" s="7" t="s">
        <v>388</v>
      </c>
    </row>
    <row r="193" spans="1:11" s="13" customFormat="1" x14ac:dyDescent="0.35">
      <c r="A193" s="7" t="s">
        <v>390</v>
      </c>
      <c r="B193" s="8">
        <v>209161</v>
      </c>
      <c r="C193" s="8">
        <v>100002241</v>
      </c>
      <c r="D193" s="9" t="s">
        <v>397</v>
      </c>
      <c r="E193" s="9" t="s">
        <v>36</v>
      </c>
      <c r="F193" s="10" t="s">
        <v>13</v>
      </c>
      <c r="G193" s="10">
        <v>142</v>
      </c>
      <c r="H193" s="49">
        <v>24752</v>
      </c>
      <c r="I193" s="12">
        <f t="shared" si="2"/>
        <v>3514784</v>
      </c>
      <c r="J193" s="8">
        <v>209161</v>
      </c>
      <c r="K193" s="7" t="s">
        <v>390</v>
      </c>
    </row>
    <row r="194" spans="1:11" s="13" customFormat="1" x14ac:dyDescent="0.35">
      <c r="A194" s="7" t="s">
        <v>392</v>
      </c>
      <c r="B194" s="8">
        <v>106081</v>
      </c>
      <c r="C194" s="8">
        <v>100000865</v>
      </c>
      <c r="D194" s="9" t="s">
        <v>399</v>
      </c>
      <c r="E194" s="9" t="s">
        <v>36</v>
      </c>
      <c r="F194" s="10" t="s">
        <v>62</v>
      </c>
      <c r="G194" s="10">
        <v>28</v>
      </c>
      <c r="H194" s="49">
        <v>2694</v>
      </c>
      <c r="I194" s="12">
        <f t="shared" si="2"/>
        <v>75432</v>
      </c>
      <c r="J194" s="8">
        <v>106081</v>
      </c>
      <c r="K194" s="7" t="s">
        <v>392</v>
      </c>
    </row>
    <row r="195" spans="1:11" s="13" customFormat="1" x14ac:dyDescent="0.35">
      <c r="A195" s="7" t="s">
        <v>394</v>
      </c>
      <c r="B195" s="8">
        <v>103034</v>
      </c>
      <c r="C195" s="8">
        <v>100000867</v>
      </c>
      <c r="D195" s="9" t="s">
        <v>401</v>
      </c>
      <c r="E195" s="9" t="s">
        <v>31</v>
      </c>
      <c r="F195" s="10" t="s">
        <v>62</v>
      </c>
      <c r="G195" s="10">
        <v>1560</v>
      </c>
      <c r="H195" s="49">
        <v>207</v>
      </c>
      <c r="I195" s="12">
        <f t="shared" si="2"/>
        <v>322920</v>
      </c>
      <c r="J195" s="8">
        <v>103034</v>
      </c>
      <c r="K195" s="7" t="s">
        <v>394</v>
      </c>
    </row>
    <row r="196" spans="1:11" s="13" customFormat="1" x14ac:dyDescent="0.35">
      <c r="A196" s="7" t="s">
        <v>396</v>
      </c>
      <c r="B196" s="8">
        <v>102107</v>
      </c>
      <c r="C196" s="8">
        <v>100000870</v>
      </c>
      <c r="D196" s="9" t="s">
        <v>403</v>
      </c>
      <c r="E196" s="9" t="s">
        <v>12</v>
      </c>
      <c r="F196" s="10" t="s">
        <v>62</v>
      </c>
      <c r="G196" s="10">
        <v>2301</v>
      </c>
      <c r="H196" s="49">
        <v>42</v>
      </c>
      <c r="I196" s="12">
        <f t="shared" si="2"/>
        <v>96642</v>
      </c>
      <c r="J196" s="8">
        <v>102107</v>
      </c>
      <c r="K196" s="7" t="s">
        <v>396</v>
      </c>
    </row>
    <row r="197" spans="1:11" s="13" customFormat="1" x14ac:dyDescent="0.35">
      <c r="A197" s="7" t="s">
        <v>398</v>
      </c>
      <c r="B197" s="8">
        <v>102040</v>
      </c>
      <c r="C197" s="8">
        <v>100000871</v>
      </c>
      <c r="D197" s="9" t="s">
        <v>405</v>
      </c>
      <c r="E197" s="9" t="s">
        <v>31</v>
      </c>
      <c r="F197" s="10" t="s">
        <v>62</v>
      </c>
      <c r="G197" s="10">
        <v>3587</v>
      </c>
      <c r="H197" s="49">
        <v>139</v>
      </c>
      <c r="I197" s="12">
        <f t="shared" si="2"/>
        <v>498593</v>
      </c>
      <c r="J197" s="8">
        <v>102040</v>
      </c>
      <c r="K197" s="7" t="s">
        <v>398</v>
      </c>
    </row>
    <row r="198" spans="1:11" s="13" customFormat="1" x14ac:dyDescent="0.35">
      <c r="A198" s="7" t="s">
        <v>400</v>
      </c>
      <c r="B198" s="8">
        <v>106096</v>
      </c>
      <c r="C198" s="8">
        <v>100000892</v>
      </c>
      <c r="D198" s="9" t="s">
        <v>407</v>
      </c>
      <c r="E198" s="9" t="s">
        <v>31</v>
      </c>
      <c r="F198" s="10" t="s">
        <v>62</v>
      </c>
      <c r="G198" s="10">
        <v>27</v>
      </c>
      <c r="H198" s="49">
        <v>1940</v>
      </c>
      <c r="I198" s="12">
        <f t="shared" si="2"/>
        <v>52380</v>
      </c>
      <c r="J198" s="8">
        <v>106096</v>
      </c>
      <c r="K198" s="7" t="s">
        <v>400</v>
      </c>
    </row>
    <row r="199" spans="1:11" s="13" customFormat="1" x14ac:dyDescent="0.35">
      <c r="A199" s="7" t="s">
        <v>402</v>
      </c>
      <c r="B199" s="8">
        <v>107006</v>
      </c>
      <c r="C199" s="8">
        <v>100000894</v>
      </c>
      <c r="D199" s="9" t="s">
        <v>409</v>
      </c>
      <c r="E199" s="9" t="s">
        <v>62</v>
      </c>
      <c r="F199" s="10" t="s">
        <v>62</v>
      </c>
      <c r="G199" s="10">
        <v>3987</v>
      </c>
      <c r="H199" s="49">
        <v>4126</v>
      </c>
      <c r="I199" s="12">
        <f t="shared" si="2"/>
        <v>16450362</v>
      </c>
      <c r="J199" s="8">
        <v>107006</v>
      </c>
      <c r="K199" s="7" t="s">
        <v>402</v>
      </c>
    </row>
    <row r="200" spans="1:11" s="13" customFormat="1" x14ac:dyDescent="0.35">
      <c r="A200" s="7" t="s">
        <v>404</v>
      </c>
      <c r="B200" s="8">
        <v>106029</v>
      </c>
      <c r="C200" s="8">
        <v>100000901</v>
      </c>
      <c r="D200" s="9" t="s">
        <v>411</v>
      </c>
      <c r="E200" s="9" t="s">
        <v>31</v>
      </c>
      <c r="F200" s="10" t="s">
        <v>62</v>
      </c>
      <c r="G200" s="10">
        <v>2</v>
      </c>
      <c r="H200" s="49">
        <v>1512</v>
      </c>
      <c r="I200" s="12">
        <f t="shared" si="2"/>
        <v>3024</v>
      </c>
      <c r="J200" s="8">
        <v>106029</v>
      </c>
      <c r="K200" s="7" t="s">
        <v>404</v>
      </c>
    </row>
    <row r="201" spans="1:11" s="13" customFormat="1" x14ac:dyDescent="0.35">
      <c r="A201" s="7" t="s">
        <v>406</v>
      </c>
      <c r="B201" s="8">
        <v>101079</v>
      </c>
      <c r="C201" s="8" t="s">
        <v>20</v>
      </c>
      <c r="D201" s="9" t="s">
        <v>413</v>
      </c>
      <c r="E201" s="9" t="s">
        <v>51</v>
      </c>
      <c r="F201" s="10" t="s">
        <v>13</v>
      </c>
      <c r="G201" s="10">
        <v>210</v>
      </c>
      <c r="H201" s="49">
        <v>5831</v>
      </c>
      <c r="I201" s="12">
        <f t="shared" si="2"/>
        <v>1224510</v>
      </c>
      <c r="J201" s="8">
        <v>101079</v>
      </c>
      <c r="K201" s="7" t="s">
        <v>406</v>
      </c>
    </row>
    <row r="202" spans="1:11" s="13" customFormat="1" x14ac:dyDescent="0.35">
      <c r="A202" s="7" t="s">
        <v>408</v>
      </c>
      <c r="B202" s="8">
        <v>101080</v>
      </c>
      <c r="C202" s="8">
        <v>100003431</v>
      </c>
      <c r="D202" s="9" t="s">
        <v>415</v>
      </c>
      <c r="E202" s="9" t="s">
        <v>51</v>
      </c>
      <c r="F202" s="10" t="s">
        <v>13</v>
      </c>
      <c r="G202" s="10">
        <v>2836</v>
      </c>
      <c r="H202" s="49">
        <v>2987</v>
      </c>
      <c r="I202" s="12">
        <f t="shared" si="2"/>
        <v>8471132</v>
      </c>
      <c r="J202" s="8">
        <v>101080</v>
      </c>
      <c r="K202" s="7" t="s">
        <v>408</v>
      </c>
    </row>
    <row r="203" spans="1:11" s="13" customFormat="1" x14ac:dyDescent="0.35">
      <c r="A203" s="7" t="s">
        <v>410</v>
      </c>
      <c r="B203" s="8">
        <v>101099</v>
      </c>
      <c r="C203" s="8" t="s">
        <v>20</v>
      </c>
      <c r="D203" s="9" t="s">
        <v>417</v>
      </c>
      <c r="E203" s="9" t="s">
        <v>51</v>
      </c>
      <c r="F203" s="10" t="s">
        <v>13</v>
      </c>
      <c r="G203" s="10">
        <v>780</v>
      </c>
      <c r="H203" s="49">
        <v>36315</v>
      </c>
      <c r="I203" s="12">
        <f t="shared" ref="I203:I266" si="3">G203*H203</f>
        <v>28325700</v>
      </c>
      <c r="J203" s="8">
        <v>101099</v>
      </c>
      <c r="K203" s="7" t="s">
        <v>410</v>
      </c>
    </row>
    <row r="204" spans="1:11" s="13" customFormat="1" x14ac:dyDescent="0.35">
      <c r="A204" s="7" t="s">
        <v>412</v>
      </c>
      <c r="B204" s="8">
        <v>201028</v>
      </c>
      <c r="C204" s="8" t="s">
        <v>20</v>
      </c>
      <c r="D204" s="9" t="s">
        <v>419</v>
      </c>
      <c r="E204" s="9" t="s">
        <v>51</v>
      </c>
      <c r="F204" s="10" t="s">
        <v>13</v>
      </c>
      <c r="G204" s="10">
        <v>150</v>
      </c>
      <c r="H204" s="49">
        <v>32629</v>
      </c>
      <c r="I204" s="12">
        <f t="shared" si="3"/>
        <v>4894350</v>
      </c>
      <c r="J204" s="8">
        <v>201028</v>
      </c>
      <c r="K204" s="7" t="s">
        <v>412</v>
      </c>
    </row>
    <row r="205" spans="1:11" s="13" customFormat="1" x14ac:dyDescent="0.35">
      <c r="A205" s="7" t="s">
        <v>414</v>
      </c>
      <c r="B205" s="8">
        <v>101028</v>
      </c>
      <c r="C205" s="8">
        <v>100000908</v>
      </c>
      <c r="D205" s="9" t="s">
        <v>421</v>
      </c>
      <c r="E205" s="9" t="s">
        <v>12</v>
      </c>
      <c r="F205" s="10" t="s">
        <v>13</v>
      </c>
      <c r="G205" s="10">
        <v>18930</v>
      </c>
      <c r="H205" s="49">
        <v>58</v>
      </c>
      <c r="I205" s="12">
        <f t="shared" si="3"/>
        <v>1097940</v>
      </c>
      <c r="J205" s="8">
        <v>101028</v>
      </c>
      <c r="K205" s="7" t="s">
        <v>414</v>
      </c>
    </row>
    <row r="206" spans="1:11" s="13" customFormat="1" x14ac:dyDescent="0.35">
      <c r="A206" s="7" t="s">
        <v>416</v>
      </c>
      <c r="B206" s="8">
        <v>209160</v>
      </c>
      <c r="C206" s="8">
        <v>100003423</v>
      </c>
      <c r="D206" s="9" t="s">
        <v>423</v>
      </c>
      <c r="E206" s="9" t="s">
        <v>36</v>
      </c>
      <c r="F206" s="10" t="s">
        <v>13</v>
      </c>
      <c r="G206" s="10">
        <v>126</v>
      </c>
      <c r="H206" s="49">
        <v>6426</v>
      </c>
      <c r="I206" s="12">
        <f t="shared" si="3"/>
        <v>809676</v>
      </c>
      <c r="J206" s="8">
        <v>209160</v>
      </c>
      <c r="K206" s="7" t="s">
        <v>416</v>
      </c>
    </row>
    <row r="207" spans="1:11" s="13" customFormat="1" x14ac:dyDescent="0.35">
      <c r="A207" s="7" t="s">
        <v>418</v>
      </c>
      <c r="B207" s="8">
        <v>102202</v>
      </c>
      <c r="C207" s="8">
        <v>100002070</v>
      </c>
      <c r="D207" s="9" t="s">
        <v>427</v>
      </c>
      <c r="E207" s="9" t="s">
        <v>12</v>
      </c>
      <c r="F207" s="10" t="s">
        <v>62</v>
      </c>
      <c r="G207" s="10">
        <v>0</v>
      </c>
      <c r="H207" s="49">
        <v>66</v>
      </c>
      <c r="I207" s="12">
        <f t="shared" si="3"/>
        <v>0</v>
      </c>
      <c r="J207" s="8">
        <v>102202</v>
      </c>
      <c r="K207" s="7" t="s">
        <v>418</v>
      </c>
    </row>
    <row r="208" spans="1:11" s="13" customFormat="1" x14ac:dyDescent="0.35">
      <c r="A208" s="7" t="s">
        <v>420</v>
      </c>
      <c r="B208" s="8">
        <v>102208</v>
      </c>
      <c r="C208" s="8">
        <v>100004372</v>
      </c>
      <c r="D208" s="9" t="s">
        <v>425</v>
      </c>
      <c r="E208" s="9" t="s">
        <v>36</v>
      </c>
      <c r="F208" s="10" t="s">
        <v>62</v>
      </c>
      <c r="G208" s="10">
        <v>0</v>
      </c>
      <c r="H208" s="49">
        <v>1684</v>
      </c>
      <c r="I208" s="12">
        <f t="shared" si="3"/>
        <v>0</v>
      </c>
      <c r="J208" s="8">
        <v>102208</v>
      </c>
      <c r="K208" s="7" t="s">
        <v>420</v>
      </c>
    </row>
    <row r="209" spans="1:11" s="13" customFormat="1" x14ac:dyDescent="0.35">
      <c r="A209" s="7" t="s">
        <v>422</v>
      </c>
      <c r="B209" s="8">
        <v>102183</v>
      </c>
      <c r="C209" s="8">
        <v>100003221</v>
      </c>
      <c r="D209" s="9" t="s">
        <v>429</v>
      </c>
      <c r="E209" s="9" t="s">
        <v>12</v>
      </c>
      <c r="F209" s="10" t="s">
        <v>62</v>
      </c>
      <c r="G209" s="10">
        <v>3363</v>
      </c>
      <c r="H209" s="49">
        <v>28</v>
      </c>
      <c r="I209" s="12">
        <f t="shared" si="3"/>
        <v>94164</v>
      </c>
      <c r="J209" s="8">
        <v>102183</v>
      </c>
      <c r="K209" s="7" t="s">
        <v>422</v>
      </c>
    </row>
    <row r="210" spans="1:11" s="13" customFormat="1" x14ac:dyDescent="0.35">
      <c r="A210" s="7" t="s">
        <v>424</v>
      </c>
      <c r="B210" s="8">
        <v>102061</v>
      </c>
      <c r="C210" s="8">
        <v>100000964</v>
      </c>
      <c r="D210" s="9" t="s">
        <v>431</v>
      </c>
      <c r="E210" s="9" t="s">
        <v>12</v>
      </c>
      <c r="F210" s="10" t="s">
        <v>62</v>
      </c>
      <c r="G210" s="10">
        <v>1390</v>
      </c>
      <c r="H210" s="49">
        <v>9</v>
      </c>
      <c r="I210" s="12">
        <f t="shared" si="3"/>
        <v>12510</v>
      </c>
      <c r="J210" s="8">
        <v>102061</v>
      </c>
      <c r="K210" s="7" t="s">
        <v>424</v>
      </c>
    </row>
    <row r="211" spans="1:11" s="13" customFormat="1" x14ac:dyDescent="0.35">
      <c r="A211" s="7" t="s">
        <v>426</v>
      </c>
      <c r="B211" s="8">
        <v>105004</v>
      </c>
      <c r="C211" s="8">
        <v>100001826</v>
      </c>
      <c r="D211" s="9" t="s">
        <v>433</v>
      </c>
      <c r="E211" s="9" t="s">
        <v>62</v>
      </c>
      <c r="F211" s="10" t="s">
        <v>62</v>
      </c>
      <c r="G211" s="10">
        <v>22</v>
      </c>
      <c r="H211" s="49">
        <v>8914</v>
      </c>
      <c r="I211" s="12">
        <f t="shared" si="3"/>
        <v>196108</v>
      </c>
      <c r="J211" s="8">
        <v>105004</v>
      </c>
      <c r="K211" s="7" t="s">
        <v>426</v>
      </c>
    </row>
    <row r="212" spans="1:11" s="13" customFormat="1" x14ac:dyDescent="0.35">
      <c r="A212" s="7" t="s">
        <v>428</v>
      </c>
      <c r="B212" s="8">
        <v>106030</v>
      </c>
      <c r="C212" s="8">
        <v>100000918</v>
      </c>
      <c r="D212" s="9" t="s">
        <v>435</v>
      </c>
      <c r="E212" s="9" t="s">
        <v>31</v>
      </c>
      <c r="F212" s="10" t="s">
        <v>62</v>
      </c>
      <c r="G212" s="10">
        <v>2066</v>
      </c>
      <c r="H212" s="49">
        <v>250</v>
      </c>
      <c r="I212" s="12">
        <f t="shared" si="3"/>
        <v>516500</v>
      </c>
      <c r="J212" s="8">
        <v>106030</v>
      </c>
      <c r="K212" s="7" t="s">
        <v>428</v>
      </c>
    </row>
    <row r="213" spans="1:11" s="13" customFormat="1" x14ac:dyDescent="0.35">
      <c r="A213" s="7" t="s">
        <v>430</v>
      </c>
      <c r="B213" s="8">
        <v>102164</v>
      </c>
      <c r="C213" s="8">
        <v>100000921</v>
      </c>
      <c r="D213" s="9" t="s">
        <v>437</v>
      </c>
      <c r="E213" s="9" t="s">
        <v>31</v>
      </c>
      <c r="F213" s="10" t="s">
        <v>62</v>
      </c>
      <c r="G213" s="10">
        <v>550</v>
      </c>
      <c r="H213" s="49">
        <v>358</v>
      </c>
      <c r="I213" s="12">
        <f t="shared" si="3"/>
        <v>196900</v>
      </c>
      <c r="J213" s="8">
        <v>102164</v>
      </c>
      <c r="K213" s="7" t="s">
        <v>430</v>
      </c>
    </row>
    <row r="214" spans="1:11" s="13" customFormat="1" x14ac:dyDescent="0.35">
      <c r="A214" s="7" t="s">
        <v>432</v>
      </c>
      <c r="B214" s="8">
        <v>105005</v>
      </c>
      <c r="C214" s="8" t="s">
        <v>20</v>
      </c>
      <c r="D214" s="9" t="s">
        <v>439</v>
      </c>
      <c r="E214" s="9" t="s">
        <v>22</v>
      </c>
      <c r="F214" s="10" t="s">
        <v>62</v>
      </c>
      <c r="G214" s="10">
        <v>46</v>
      </c>
      <c r="H214" s="49">
        <v>5047</v>
      </c>
      <c r="I214" s="12">
        <f t="shared" si="3"/>
        <v>232162</v>
      </c>
      <c r="J214" s="8">
        <v>105005</v>
      </c>
      <c r="K214" s="7" t="s">
        <v>432</v>
      </c>
    </row>
    <row r="215" spans="1:11" s="13" customFormat="1" x14ac:dyDescent="0.35">
      <c r="A215" s="7" t="s">
        <v>434</v>
      </c>
      <c r="B215" s="8">
        <v>105019</v>
      </c>
      <c r="C215" s="8">
        <v>100002244</v>
      </c>
      <c r="D215" s="9" t="s">
        <v>441</v>
      </c>
      <c r="E215" s="9" t="s">
        <v>121</v>
      </c>
      <c r="F215" s="10" t="s">
        <v>62</v>
      </c>
      <c r="G215" s="10">
        <v>1721</v>
      </c>
      <c r="H215" s="49">
        <v>1952</v>
      </c>
      <c r="I215" s="12">
        <f t="shared" si="3"/>
        <v>3359392</v>
      </c>
      <c r="J215" s="8">
        <v>105019</v>
      </c>
      <c r="K215" s="7" t="s">
        <v>434</v>
      </c>
    </row>
    <row r="216" spans="1:11" s="13" customFormat="1" x14ac:dyDescent="0.35">
      <c r="A216" s="7" t="s">
        <v>436</v>
      </c>
      <c r="B216" s="8">
        <v>103051</v>
      </c>
      <c r="C216" s="8">
        <v>100002049</v>
      </c>
      <c r="D216" s="9" t="s">
        <v>445</v>
      </c>
      <c r="E216" s="9" t="s">
        <v>44</v>
      </c>
      <c r="F216" s="10" t="s">
        <v>62</v>
      </c>
      <c r="G216" s="10">
        <v>221</v>
      </c>
      <c r="H216" s="49">
        <v>4879</v>
      </c>
      <c r="I216" s="12">
        <f t="shared" si="3"/>
        <v>1078259</v>
      </c>
      <c r="J216" s="8">
        <v>103051</v>
      </c>
      <c r="K216" s="7" t="s">
        <v>436</v>
      </c>
    </row>
    <row r="217" spans="1:11" s="13" customFormat="1" x14ac:dyDescent="0.35">
      <c r="A217" s="7" t="s">
        <v>438</v>
      </c>
      <c r="B217" s="8">
        <v>102108</v>
      </c>
      <c r="C217" s="8" t="s">
        <v>20</v>
      </c>
      <c r="D217" s="9" t="s">
        <v>449</v>
      </c>
      <c r="E217" s="9" t="s">
        <v>62</v>
      </c>
      <c r="F217" s="10" t="s">
        <v>62</v>
      </c>
      <c r="G217" s="10">
        <v>10</v>
      </c>
      <c r="H217" s="49">
        <v>8955</v>
      </c>
      <c r="I217" s="12">
        <f t="shared" si="3"/>
        <v>89550</v>
      </c>
      <c r="J217" s="8">
        <v>102108</v>
      </c>
      <c r="K217" s="7" t="s">
        <v>438</v>
      </c>
    </row>
    <row r="218" spans="1:11" s="13" customFormat="1" x14ac:dyDescent="0.35">
      <c r="A218" s="7" t="s">
        <v>440</v>
      </c>
      <c r="B218" s="8">
        <v>104019</v>
      </c>
      <c r="C218" s="8">
        <v>100000938</v>
      </c>
      <c r="D218" s="9" t="s">
        <v>451</v>
      </c>
      <c r="E218" s="9" t="s">
        <v>12</v>
      </c>
      <c r="F218" s="10" t="s">
        <v>62</v>
      </c>
      <c r="G218" s="10">
        <v>42391</v>
      </c>
      <c r="H218" s="49">
        <v>40</v>
      </c>
      <c r="I218" s="12">
        <f t="shared" si="3"/>
        <v>1695640</v>
      </c>
      <c r="J218" s="8">
        <v>104019</v>
      </c>
      <c r="K218" s="7" t="s">
        <v>440</v>
      </c>
    </row>
    <row r="219" spans="1:11" s="13" customFormat="1" x14ac:dyDescent="0.35">
      <c r="A219" s="7" t="s">
        <v>442</v>
      </c>
      <c r="B219" s="8">
        <v>102009</v>
      </c>
      <c r="C219" s="8">
        <v>100000944</v>
      </c>
      <c r="D219" s="9" t="s">
        <v>453</v>
      </c>
      <c r="E219" s="9" t="s">
        <v>12</v>
      </c>
      <c r="F219" s="10" t="s">
        <v>62</v>
      </c>
      <c r="G219" s="10">
        <v>1976</v>
      </c>
      <c r="H219" s="49">
        <v>48</v>
      </c>
      <c r="I219" s="12">
        <f t="shared" si="3"/>
        <v>94848</v>
      </c>
      <c r="J219" s="8">
        <v>102009</v>
      </c>
      <c r="K219" s="7" t="s">
        <v>442</v>
      </c>
    </row>
    <row r="220" spans="1:11" s="13" customFormat="1" x14ac:dyDescent="0.35">
      <c r="A220" s="7" t="s">
        <v>444</v>
      </c>
      <c r="B220" s="8">
        <v>102031</v>
      </c>
      <c r="C220" s="8">
        <v>100000943</v>
      </c>
      <c r="D220" s="9" t="s">
        <v>455</v>
      </c>
      <c r="E220" s="9" t="s">
        <v>31</v>
      </c>
      <c r="F220" s="10" t="s">
        <v>62</v>
      </c>
      <c r="G220" s="10">
        <v>349</v>
      </c>
      <c r="H220" s="49">
        <v>470</v>
      </c>
      <c r="I220" s="12">
        <f t="shared" si="3"/>
        <v>164030</v>
      </c>
      <c r="J220" s="8">
        <v>102031</v>
      </c>
      <c r="K220" s="7" t="s">
        <v>444</v>
      </c>
    </row>
    <row r="221" spans="1:11" s="13" customFormat="1" x14ac:dyDescent="0.35">
      <c r="A221" s="7" t="s">
        <v>446</v>
      </c>
      <c r="B221" s="8">
        <v>106031</v>
      </c>
      <c r="C221" s="8">
        <v>100000971</v>
      </c>
      <c r="D221" s="9" t="s">
        <v>459</v>
      </c>
      <c r="E221" s="9" t="s">
        <v>31</v>
      </c>
      <c r="F221" s="10" t="s">
        <v>62</v>
      </c>
      <c r="G221" s="10">
        <v>1355</v>
      </c>
      <c r="H221" s="49">
        <v>250</v>
      </c>
      <c r="I221" s="12">
        <f t="shared" si="3"/>
        <v>338750</v>
      </c>
      <c r="J221" s="8">
        <v>106031</v>
      </c>
      <c r="K221" s="7" t="s">
        <v>446</v>
      </c>
    </row>
    <row r="222" spans="1:11" s="13" customFormat="1" x14ac:dyDescent="0.35">
      <c r="A222" s="7" t="s">
        <v>448</v>
      </c>
      <c r="B222" s="8">
        <v>108012</v>
      </c>
      <c r="C222" s="8">
        <v>100000983</v>
      </c>
      <c r="D222" s="9" t="s">
        <v>461</v>
      </c>
      <c r="E222" s="9" t="s">
        <v>44</v>
      </c>
      <c r="F222" s="10" t="s">
        <v>62</v>
      </c>
      <c r="G222" s="10">
        <v>30</v>
      </c>
      <c r="H222" s="49">
        <v>1535</v>
      </c>
      <c r="I222" s="12">
        <f t="shared" si="3"/>
        <v>46050</v>
      </c>
      <c r="J222" s="8">
        <v>108012</v>
      </c>
      <c r="K222" s="7" t="s">
        <v>448</v>
      </c>
    </row>
    <row r="223" spans="1:11" s="13" customFormat="1" x14ac:dyDescent="0.35">
      <c r="A223" s="7" t="s">
        <v>450</v>
      </c>
      <c r="B223" s="8">
        <v>102105</v>
      </c>
      <c r="C223" s="8" t="s">
        <v>20</v>
      </c>
      <c r="D223" s="9" t="s">
        <v>467</v>
      </c>
      <c r="E223" s="9" t="s">
        <v>39</v>
      </c>
      <c r="F223" s="10" t="s">
        <v>62</v>
      </c>
      <c r="G223" s="10">
        <v>305</v>
      </c>
      <c r="H223" s="49">
        <v>30345</v>
      </c>
      <c r="I223" s="12">
        <f t="shared" si="3"/>
        <v>9255225</v>
      </c>
      <c r="J223" s="8">
        <v>102105</v>
      </c>
      <c r="K223" s="7" t="s">
        <v>450</v>
      </c>
    </row>
    <row r="224" spans="1:11" s="13" customFormat="1" x14ac:dyDescent="0.35">
      <c r="A224" s="7" t="s">
        <v>452</v>
      </c>
      <c r="B224" s="8">
        <v>109002</v>
      </c>
      <c r="C224" s="8" t="s">
        <v>20</v>
      </c>
      <c r="D224" s="9" t="s">
        <v>465</v>
      </c>
      <c r="E224" s="9" t="s">
        <v>36</v>
      </c>
      <c r="F224" s="10" t="s">
        <v>62</v>
      </c>
      <c r="G224" s="10">
        <v>0</v>
      </c>
      <c r="H224" s="49">
        <v>11329</v>
      </c>
      <c r="I224" s="12">
        <f t="shared" si="3"/>
        <v>0</v>
      </c>
      <c r="J224" s="8">
        <v>109002</v>
      </c>
      <c r="K224" s="7" t="s">
        <v>452</v>
      </c>
    </row>
    <row r="225" spans="1:11" s="13" customFormat="1" x14ac:dyDescent="0.35">
      <c r="A225" s="7" t="s">
        <v>454</v>
      </c>
      <c r="B225" s="8">
        <v>109046</v>
      </c>
      <c r="C225" s="8" t="s">
        <v>20</v>
      </c>
      <c r="D225" s="9" t="s">
        <v>463</v>
      </c>
      <c r="E225" s="9" t="s">
        <v>36</v>
      </c>
      <c r="F225" s="10" t="s">
        <v>62</v>
      </c>
      <c r="G225" s="10">
        <v>300</v>
      </c>
      <c r="H225" s="49">
        <v>22134</v>
      </c>
      <c r="I225" s="12">
        <f t="shared" si="3"/>
        <v>6640200</v>
      </c>
      <c r="J225" s="8">
        <v>109046</v>
      </c>
      <c r="K225" s="7" t="s">
        <v>454</v>
      </c>
    </row>
    <row r="226" spans="1:11" s="13" customFormat="1" x14ac:dyDescent="0.35">
      <c r="A226" s="7" t="s">
        <v>456</v>
      </c>
      <c r="B226" s="8">
        <v>102184</v>
      </c>
      <c r="C226" s="8">
        <v>100004066</v>
      </c>
      <c r="D226" s="9" t="s">
        <v>469</v>
      </c>
      <c r="E226" s="9" t="s">
        <v>51</v>
      </c>
      <c r="F226" s="10" t="s">
        <v>62</v>
      </c>
      <c r="G226" s="10">
        <v>341</v>
      </c>
      <c r="H226" s="49">
        <v>26</v>
      </c>
      <c r="I226" s="12">
        <f t="shared" si="3"/>
        <v>8866</v>
      </c>
      <c r="J226" s="8">
        <v>102184</v>
      </c>
      <c r="K226" s="7" t="s">
        <v>456</v>
      </c>
    </row>
    <row r="227" spans="1:11" s="13" customFormat="1" x14ac:dyDescent="0.35">
      <c r="A227" s="7" t="s">
        <v>458</v>
      </c>
      <c r="B227" s="8">
        <v>209118</v>
      </c>
      <c r="C227" s="8">
        <v>100001010</v>
      </c>
      <c r="D227" s="9" t="s">
        <v>471</v>
      </c>
      <c r="E227" s="9" t="s">
        <v>12</v>
      </c>
      <c r="F227" s="10" t="s">
        <v>13</v>
      </c>
      <c r="G227" s="10">
        <v>100</v>
      </c>
      <c r="H227" s="49">
        <v>1823</v>
      </c>
      <c r="I227" s="12">
        <f t="shared" si="3"/>
        <v>182300</v>
      </c>
      <c r="J227" s="8">
        <v>209118</v>
      </c>
      <c r="K227" s="7" t="s">
        <v>458</v>
      </c>
    </row>
    <row r="228" spans="1:11" s="13" customFormat="1" x14ac:dyDescent="0.35">
      <c r="A228" s="7" t="s">
        <v>460</v>
      </c>
      <c r="B228" s="8">
        <v>102134</v>
      </c>
      <c r="C228" s="8">
        <v>100003485</v>
      </c>
      <c r="D228" s="9" t="s">
        <v>473</v>
      </c>
      <c r="E228" s="9" t="s">
        <v>12</v>
      </c>
      <c r="F228" s="10" t="s">
        <v>62</v>
      </c>
      <c r="G228" s="10">
        <v>1871</v>
      </c>
      <c r="H228" s="49">
        <v>130</v>
      </c>
      <c r="I228" s="12">
        <f t="shared" si="3"/>
        <v>243230</v>
      </c>
      <c r="J228" s="8">
        <v>102134</v>
      </c>
      <c r="K228" s="7" t="s">
        <v>460</v>
      </c>
    </row>
    <row r="229" spans="1:11" s="13" customFormat="1" x14ac:dyDescent="0.35">
      <c r="A229" s="7" t="s">
        <v>462</v>
      </c>
      <c r="B229" s="8">
        <v>103022</v>
      </c>
      <c r="C229" s="8">
        <v>100001016</v>
      </c>
      <c r="D229" s="9" t="s">
        <v>475</v>
      </c>
      <c r="E229" s="9" t="s">
        <v>36</v>
      </c>
      <c r="F229" s="10" t="s">
        <v>62</v>
      </c>
      <c r="G229" s="10">
        <v>2163</v>
      </c>
      <c r="H229" s="49">
        <v>1981</v>
      </c>
      <c r="I229" s="12">
        <f t="shared" si="3"/>
        <v>4284903</v>
      </c>
      <c r="J229" s="8">
        <v>103022</v>
      </c>
      <c r="K229" s="7" t="s">
        <v>462</v>
      </c>
    </row>
    <row r="230" spans="1:11" s="13" customFormat="1" x14ac:dyDescent="0.35">
      <c r="A230" s="7" t="s">
        <v>464</v>
      </c>
      <c r="B230" s="8">
        <v>102176</v>
      </c>
      <c r="C230" s="8">
        <v>100003471</v>
      </c>
      <c r="D230" s="9" t="s">
        <v>477</v>
      </c>
      <c r="E230" s="9" t="s">
        <v>478</v>
      </c>
      <c r="F230" s="10" t="s">
        <v>62</v>
      </c>
      <c r="G230" s="10">
        <v>483</v>
      </c>
      <c r="H230" s="49">
        <v>975</v>
      </c>
      <c r="I230" s="12">
        <f t="shared" si="3"/>
        <v>470925</v>
      </c>
      <c r="J230" s="8">
        <v>102176</v>
      </c>
      <c r="K230" s="7" t="s">
        <v>464</v>
      </c>
    </row>
    <row r="231" spans="1:11" s="13" customFormat="1" x14ac:dyDescent="0.35">
      <c r="A231" s="7" t="s">
        <v>466</v>
      </c>
      <c r="B231" s="8">
        <v>209125</v>
      </c>
      <c r="C231" s="8">
        <v>100001013</v>
      </c>
      <c r="D231" s="9" t="s">
        <v>480</v>
      </c>
      <c r="E231" s="9" t="s">
        <v>31</v>
      </c>
      <c r="F231" s="10" t="s">
        <v>62</v>
      </c>
      <c r="G231" s="10">
        <v>2227</v>
      </c>
      <c r="H231" s="49">
        <v>2023</v>
      </c>
      <c r="I231" s="12">
        <f t="shared" si="3"/>
        <v>4505221</v>
      </c>
      <c r="J231" s="8">
        <v>209125</v>
      </c>
      <c r="K231" s="7" t="s">
        <v>466</v>
      </c>
    </row>
    <row r="232" spans="1:11" s="13" customFormat="1" x14ac:dyDescent="0.35">
      <c r="A232" s="7" t="s">
        <v>468</v>
      </c>
      <c r="B232" s="8">
        <v>102010</v>
      </c>
      <c r="C232" s="8">
        <v>100001018</v>
      </c>
      <c r="D232" s="9" t="s">
        <v>484</v>
      </c>
      <c r="E232" s="9" t="s">
        <v>31</v>
      </c>
      <c r="F232" s="10" t="s">
        <v>62</v>
      </c>
      <c r="G232" s="10">
        <v>1267</v>
      </c>
      <c r="H232" s="49">
        <v>243</v>
      </c>
      <c r="I232" s="12">
        <f t="shared" si="3"/>
        <v>307881</v>
      </c>
      <c r="J232" s="8">
        <v>102010</v>
      </c>
      <c r="K232" s="7" t="s">
        <v>468</v>
      </c>
    </row>
    <row r="233" spans="1:11" s="13" customFormat="1" x14ac:dyDescent="0.35">
      <c r="A233" s="7" t="s">
        <v>470</v>
      </c>
      <c r="B233" s="8">
        <v>102011</v>
      </c>
      <c r="C233" s="8">
        <v>100001019</v>
      </c>
      <c r="D233" s="9" t="s">
        <v>482</v>
      </c>
      <c r="E233" s="9" t="s">
        <v>12</v>
      </c>
      <c r="F233" s="10" t="s">
        <v>62</v>
      </c>
      <c r="G233" s="10">
        <v>4155</v>
      </c>
      <c r="H233" s="49">
        <v>1070</v>
      </c>
      <c r="I233" s="12">
        <f t="shared" si="3"/>
        <v>4445850</v>
      </c>
      <c r="J233" s="8">
        <v>102011</v>
      </c>
      <c r="K233" s="7" t="s">
        <v>470</v>
      </c>
    </row>
    <row r="234" spans="1:11" s="13" customFormat="1" x14ac:dyDescent="0.35">
      <c r="A234" s="7" t="s">
        <v>472</v>
      </c>
      <c r="B234" s="8">
        <v>106032</v>
      </c>
      <c r="C234" s="8">
        <v>100001020</v>
      </c>
      <c r="D234" s="9" t="s">
        <v>486</v>
      </c>
      <c r="E234" s="9" t="s">
        <v>31</v>
      </c>
      <c r="F234" s="10" t="s">
        <v>62</v>
      </c>
      <c r="G234" s="10">
        <v>20816</v>
      </c>
      <c r="H234" s="49">
        <v>200</v>
      </c>
      <c r="I234" s="12">
        <f t="shared" si="3"/>
        <v>4163200</v>
      </c>
      <c r="J234" s="8">
        <v>106032</v>
      </c>
      <c r="K234" s="7" t="s">
        <v>472</v>
      </c>
    </row>
    <row r="235" spans="1:11" s="13" customFormat="1" x14ac:dyDescent="0.35">
      <c r="A235" s="7" t="s">
        <v>474</v>
      </c>
      <c r="B235" s="8">
        <v>104020</v>
      </c>
      <c r="C235" s="8">
        <v>100001021</v>
      </c>
      <c r="D235" s="9" t="s">
        <v>488</v>
      </c>
      <c r="E235" s="9" t="s">
        <v>12</v>
      </c>
      <c r="F235" s="10" t="s">
        <v>62</v>
      </c>
      <c r="G235" s="10">
        <v>13061</v>
      </c>
      <c r="H235" s="49">
        <v>26</v>
      </c>
      <c r="I235" s="12">
        <f t="shared" si="3"/>
        <v>339586</v>
      </c>
      <c r="J235" s="8">
        <v>104020</v>
      </c>
      <c r="K235" s="7" t="s">
        <v>474</v>
      </c>
    </row>
    <row r="236" spans="1:11" s="13" customFormat="1" x14ac:dyDescent="0.35">
      <c r="A236" s="7" t="s">
        <v>476</v>
      </c>
      <c r="B236" s="8">
        <v>106074</v>
      </c>
      <c r="C236" s="8">
        <v>100001031</v>
      </c>
      <c r="D236" s="9" t="s">
        <v>490</v>
      </c>
      <c r="E236" s="9" t="s">
        <v>36</v>
      </c>
      <c r="F236" s="10" t="s">
        <v>62</v>
      </c>
      <c r="G236" s="10">
        <v>15</v>
      </c>
      <c r="H236" s="49">
        <v>3784</v>
      </c>
      <c r="I236" s="12">
        <f t="shared" si="3"/>
        <v>56760</v>
      </c>
      <c r="J236" s="8">
        <v>106074</v>
      </c>
      <c r="K236" s="7" t="s">
        <v>476</v>
      </c>
    </row>
    <row r="237" spans="1:11" s="13" customFormat="1" x14ac:dyDescent="0.35">
      <c r="A237" s="7" t="s">
        <v>479</v>
      </c>
      <c r="B237" s="8">
        <v>106033</v>
      </c>
      <c r="C237" s="8">
        <v>100001033</v>
      </c>
      <c r="D237" s="9" t="s">
        <v>494</v>
      </c>
      <c r="E237" s="9" t="s">
        <v>31</v>
      </c>
      <c r="F237" s="10" t="s">
        <v>62</v>
      </c>
      <c r="G237" s="10">
        <v>4812</v>
      </c>
      <c r="H237" s="49">
        <v>65</v>
      </c>
      <c r="I237" s="12">
        <f t="shared" si="3"/>
        <v>312780</v>
      </c>
      <c r="J237" s="8">
        <v>106033</v>
      </c>
      <c r="K237" s="7" t="s">
        <v>479</v>
      </c>
    </row>
    <row r="238" spans="1:11" s="13" customFormat="1" x14ac:dyDescent="0.35">
      <c r="A238" s="7" t="s">
        <v>481</v>
      </c>
      <c r="B238" s="8">
        <v>104021</v>
      </c>
      <c r="C238" s="8">
        <v>100001034</v>
      </c>
      <c r="D238" s="9" t="s">
        <v>492</v>
      </c>
      <c r="E238" s="9" t="s">
        <v>12</v>
      </c>
      <c r="F238" s="10" t="s">
        <v>62</v>
      </c>
      <c r="G238" s="10">
        <v>33185</v>
      </c>
      <c r="H238" s="49">
        <v>20</v>
      </c>
      <c r="I238" s="12">
        <f t="shared" si="3"/>
        <v>663700</v>
      </c>
      <c r="J238" s="8">
        <v>104021</v>
      </c>
      <c r="K238" s="7" t="s">
        <v>481</v>
      </c>
    </row>
    <row r="239" spans="1:11" s="13" customFormat="1" x14ac:dyDescent="0.35">
      <c r="A239" s="7" t="s">
        <v>483</v>
      </c>
      <c r="B239" s="8">
        <v>209033</v>
      </c>
      <c r="C239" s="8">
        <v>100001037</v>
      </c>
      <c r="D239" s="9" t="s">
        <v>496</v>
      </c>
      <c r="E239" s="9" t="s">
        <v>36</v>
      </c>
      <c r="F239" s="10" t="s">
        <v>13</v>
      </c>
      <c r="G239" s="10">
        <v>14</v>
      </c>
      <c r="H239" s="49">
        <v>13388</v>
      </c>
      <c r="I239" s="12">
        <f t="shared" si="3"/>
        <v>187432</v>
      </c>
      <c r="J239" s="8">
        <v>209033</v>
      </c>
      <c r="K239" s="7" t="s">
        <v>483</v>
      </c>
    </row>
    <row r="240" spans="1:11" s="13" customFormat="1" x14ac:dyDescent="0.35">
      <c r="A240" s="7" t="s">
        <v>485</v>
      </c>
      <c r="B240" s="8">
        <v>103024</v>
      </c>
      <c r="C240" s="8">
        <v>100001039</v>
      </c>
      <c r="D240" s="9" t="s">
        <v>503</v>
      </c>
      <c r="E240" s="9" t="s">
        <v>36</v>
      </c>
      <c r="F240" s="10" t="s">
        <v>62</v>
      </c>
      <c r="G240" s="10">
        <v>1220</v>
      </c>
      <c r="H240" s="49">
        <v>312</v>
      </c>
      <c r="I240" s="12">
        <f t="shared" si="3"/>
        <v>380640</v>
      </c>
      <c r="J240" s="8">
        <v>103024</v>
      </c>
      <c r="K240" s="7" t="s">
        <v>485</v>
      </c>
    </row>
    <row r="241" spans="1:11" s="13" customFormat="1" x14ac:dyDescent="0.35">
      <c r="A241" s="7" t="s">
        <v>487</v>
      </c>
      <c r="B241" s="8">
        <v>102081</v>
      </c>
      <c r="C241" s="8">
        <v>100001041</v>
      </c>
      <c r="D241" s="9" t="s">
        <v>498</v>
      </c>
      <c r="E241" s="9" t="s">
        <v>12</v>
      </c>
      <c r="F241" s="10" t="s">
        <v>62</v>
      </c>
      <c r="G241" s="10">
        <v>2046</v>
      </c>
      <c r="H241" s="49">
        <v>71</v>
      </c>
      <c r="I241" s="12">
        <f t="shared" si="3"/>
        <v>145266</v>
      </c>
      <c r="J241" s="8">
        <v>102081</v>
      </c>
      <c r="K241" s="7" t="s">
        <v>487</v>
      </c>
    </row>
    <row r="242" spans="1:11" s="13" customFormat="1" x14ac:dyDescent="0.35">
      <c r="A242" s="7" t="s">
        <v>489</v>
      </c>
      <c r="B242" s="8">
        <v>102178</v>
      </c>
      <c r="C242" s="8">
        <v>100001042</v>
      </c>
      <c r="D242" s="9" t="s">
        <v>500</v>
      </c>
      <c r="E242" s="9" t="s">
        <v>501</v>
      </c>
      <c r="F242" s="10" t="s">
        <v>62</v>
      </c>
      <c r="G242" s="10">
        <v>50</v>
      </c>
      <c r="H242" s="49">
        <v>105</v>
      </c>
      <c r="I242" s="12">
        <f t="shared" si="3"/>
        <v>5250</v>
      </c>
      <c r="J242" s="8">
        <v>102178</v>
      </c>
      <c r="K242" s="7" t="s">
        <v>489</v>
      </c>
    </row>
    <row r="243" spans="1:11" s="13" customFormat="1" x14ac:dyDescent="0.35">
      <c r="A243" s="7" t="s">
        <v>491</v>
      </c>
      <c r="B243" s="8">
        <v>104032</v>
      </c>
      <c r="C243" s="8">
        <v>100001045</v>
      </c>
      <c r="D243" s="9" t="s">
        <v>505</v>
      </c>
      <c r="E243" s="9" t="s">
        <v>31</v>
      </c>
      <c r="F243" s="10" t="s">
        <v>62</v>
      </c>
      <c r="G243" s="10">
        <v>1487</v>
      </c>
      <c r="H243" s="49">
        <v>300</v>
      </c>
      <c r="I243" s="12">
        <f t="shared" si="3"/>
        <v>446100</v>
      </c>
      <c r="J243" s="8">
        <v>104032</v>
      </c>
      <c r="K243" s="7" t="s">
        <v>491</v>
      </c>
    </row>
    <row r="244" spans="1:11" s="13" customFormat="1" x14ac:dyDescent="0.35">
      <c r="A244" s="7" t="s">
        <v>493</v>
      </c>
      <c r="B244" s="8">
        <v>104041</v>
      </c>
      <c r="C244" s="8">
        <v>100001047</v>
      </c>
      <c r="D244" s="9" t="s">
        <v>507</v>
      </c>
      <c r="E244" s="9" t="s">
        <v>31</v>
      </c>
      <c r="F244" s="10" t="s">
        <v>62</v>
      </c>
      <c r="G244" s="10">
        <v>643</v>
      </c>
      <c r="H244" s="49">
        <v>725</v>
      </c>
      <c r="I244" s="12">
        <f t="shared" si="3"/>
        <v>466175</v>
      </c>
      <c r="J244" s="8">
        <v>104041</v>
      </c>
      <c r="K244" s="7" t="s">
        <v>493</v>
      </c>
    </row>
    <row r="245" spans="1:11" s="13" customFormat="1" x14ac:dyDescent="0.35">
      <c r="A245" s="7" t="s">
        <v>495</v>
      </c>
      <c r="B245" s="8">
        <v>102084</v>
      </c>
      <c r="C245" s="8">
        <v>100003231</v>
      </c>
      <c r="D245" s="9" t="s">
        <v>509</v>
      </c>
      <c r="E245" s="9" t="s">
        <v>12</v>
      </c>
      <c r="F245" s="10" t="s">
        <v>62</v>
      </c>
      <c r="G245" s="10">
        <v>14534</v>
      </c>
      <c r="H245" s="49">
        <v>146</v>
      </c>
      <c r="I245" s="12">
        <f t="shared" si="3"/>
        <v>2121964</v>
      </c>
      <c r="J245" s="8">
        <v>102084</v>
      </c>
      <c r="K245" s="7" t="s">
        <v>495</v>
      </c>
    </row>
    <row r="246" spans="1:11" s="13" customFormat="1" x14ac:dyDescent="0.35">
      <c r="A246" s="7" t="s">
        <v>497</v>
      </c>
      <c r="B246" s="8">
        <v>209159</v>
      </c>
      <c r="C246" s="8" t="s">
        <v>20</v>
      </c>
      <c r="D246" s="9" t="s">
        <v>511</v>
      </c>
      <c r="E246" s="9" t="s">
        <v>36</v>
      </c>
      <c r="F246" s="10" t="s">
        <v>13</v>
      </c>
      <c r="G246" s="10">
        <v>2</v>
      </c>
      <c r="H246" s="49">
        <v>37525</v>
      </c>
      <c r="I246" s="12">
        <f t="shared" si="3"/>
        <v>75050</v>
      </c>
      <c r="J246" s="8">
        <v>209159</v>
      </c>
      <c r="K246" s="7" t="s">
        <v>497</v>
      </c>
    </row>
    <row r="247" spans="1:11" s="13" customFormat="1" x14ac:dyDescent="0.35">
      <c r="A247" s="7" t="s">
        <v>499</v>
      </c>
      <c r="B247" s="8">
        <v>102159</v>
      </c>
      <c r="C247" s="8">
        <v>100005299</v>
      </c>
      <c r="D247" s="9" t="s">
        <v>513</v>
      </c>
      <c r="E247" s="9" t="s">
        <v>31</v>
      </c>
      <c r="F247" s="10" t="s">
        <v>62</v>
      </c>
      <c r="G247" s="10">
        <v>21</v>
      </c>
      <c r="H247" s="49">
        <v>7364</v>
      </c>
      <c r="I247" s="12">
        <f t="shared" si="3"/>
        <v>154644</v>
      </c>
      <c r="J247" s="8">
        <v>102159</v>
      </c>
      <c r="K247" s="7" t="s">
        <v>499</v>
      </c>
    </row>
    <row r="248" spans="1:11" s="13" customFormat="1" x14ac:dyDescent="0.35">
      <c r="A248" s="7" t="s">
        <v>502</v>
      </c>
      <c r="B248" s="8">
        <v>102012</v>
      </c>
      <c r="C248" s="8">
        <v>100001052</v>
      </c>
      <c r="D248" s="9" t="s">
        <v>515</v>
      </c>
      <c r="E248" s="9" t="s">
        <v>31</v>
      </c>
      <c r="F248" s="10" t="s">
        <v>62</v>
      </c>
      <c r="G248" s="10">
        <v>2910</v>
      </c>
      <c r="H248" s="49">
        <v>225</v>
      </c>
      <c r="I248" s="12">
        <f t="shared" si="3"/>
        <v>654750</v>
      </c>
      <c r="J248" s="8">
        <v>102012</v>
      </c>
      <c r="K248" s="7" t="s">
        <v>502</v>
      </c>
    </row>
    <row r="249" spans="1:11" s="13" customFormat="1" x14ac:dyDescent="0.35">
      <c r="A249" s="7" t="s">
        <v>504</v>
      </c>
      <c r="B249" s="8">
        <v>102013</v>
      </c>
      <c r="C249" s="8">
        <v>100001053</v>
      </c>
      <c r="D249" s="9" t="s">
        <v>517</v>
      </c>
      <c r="E249" s="9" t="s">
        <v>31</v>
      </c>
      <c r="F249" s="10" t="s">
        <v>62</v>
      </c>
      <c r="G249" s="10">
        <v>1489</v>
      </c>
      <c r="H249" s="49">
        <v>184</v>
      </c>
      <c r="I249" s="12">
        <f t="shared" si="3"/>
        <v>273976</v>
      </c>
      <c r="J249" s="8">
        <v>102013</v>
      </c>
      <c r="K249" s="7" t="s">
        <v>504</v>
      </c>
    </row>
    <row r="250" spans="1:11" s="13" customFormat="1" x14ac:dyDescent="0.35">
      <c r="A250" s="7" t="s">
        <v>506</v>
      </c>
      <c r="B250" s="8">
        <v>209165</v>
      </c>
      <c r="C250" s="8">
        <v>100006870</v>
      </c>
      <c r="D250" s="9" t="s">
        <v>519</v>
      </c>
      <c r="E250" s="9" t="s">
        <v>62</v>
      </c>
      <c r="F250" s="10" t="s">
        <v>62</v>
      </c>
      <c r="G250" s="10">
        <v>227</v>
      </c>
      <c r="H250" s="49">
        <v>9496</v>
      </c>
      <c r="I250" s="12">
        <f t="shared" si="3"/>
        <v>2155592</v>
      </c>
      <c r="J250" s="8">
        <v>209165</v>
      </c>
      <c r="K250" s="7" t="s">
        <v>506</v>
      </c>
    </row>
    <row r="251" spans="1:11" s="13" customFormat="1" x14ac:dyDescent="0.35">
      <c r="A251" s="7" t="s">
        <v>508</v>
      </c>
      <c r="B251" s="8">
        <v>102136</v>
      </c>
      <c r="C251" s="8" t="s">
        <v>20</v>
      </c>
      <c r="D251" s="9" t="s">
        <v>523</v>
      </c>
      <c r="E251" s="9" t="s">
        <v>330</v>
      </c>
      <c r="F251" s="10" t="s">
        <v>62</v>
      </c>
      <c r="G251" s="10">
        <v>53</v>
      </c>
      <c r="H251" s="49">
        <v>490</v>
      </c>
      <c r="I251" s="12">
        <f t="shared" si="3"/>
        <v>25970</v>
      </c>
      <c r="J251" s="8">
        <v>102136</v>
      </c>
      <c r="K251" s="7" t="s">
        <v>508</v>
      </c>
    </row>
    <row r="252" spans="1:11" s="13" customFormat="1" x14ac:dyDescent="0.35">
      <c r="A252" s="7" t="s">
        <v>510</v>
      </c>
      <c r="B252" s="8">
        <v>103040</v>
      </c>
      <c r="C252" s="8">
        <v>100001063</v>
      </c>
      <c r="D252" s="9" t="s">
        <v>525</v>
      </c>
      <c r="E252" s="9" t="s">
        <v>31</v>
      </c>
      <c r="F252" s="10" t="s">
        <v>62</v>
      </c>
      <c r="G252" s="10">
        <v>48</v>
      </c>
      <c r="H252" s="49">
        <v>5486</v>
      </c>
      <c r="I252" s="12">
        <f t="shared" si="3"/>
        <v>263328</v>
      </c>
      <c r="J252" s="8">
        <v>103040</v>
      </c>
      <c r="K252" s="7" t="s">
        <v>510</v>
      </c>
    </row>
    <row r="253" spans="1:11" s="13" customFormat="1" x14ac:dyDescent="0.35">
      <c r="A253" s="7" t="s">
        <v>512</v>
      </c>
      <c r="B253" s="8">
        <v>106053</v>
      </c>
      <c r="C253" s="8">
        <v>100001068</v>
      </c>
      <c r="D253" s="9" t="s">
        <v>527</v>
      </c>
      <c r="E253" s="9" t="s">
        <v>31</v>
      </c>
      <c r="F253" s="10" t="s">
        <v>62</v>
      </c>
      <c r="G253" s="10">
        <v>243</v>
      </c>
      <c r="H253" s="49">
        <v>225</v>
      </c>
      <c r="I253" s="12">
        <f t="shared" si="3"/>
        <v>54675</v>
      </c>
      <c r="J253" s="8">
        <v>106053</v>
      </c>
      <c r="K253" s="7" t="s">
        <v>512</v>
      </c>
    </row>
    <row r="254" spans="1:11" s="13" customFormat="1" x14ac:dyDescent="0.35">
      <c r="A254" s="7" t="s">
        <v>514</v>
      </c>
      <c r="B254" s="8">
        <v>101081</v>
      </c>
      <c r="C254" s="8">
        <v>100006171</v>
      </c>
      <c r="D254" s="9" t="s">
        <v>529</v>
      </c>
      <c r="E254" s="9" t="s">
        <v>51</v>
      </c>
      <c r="F254" s="10" t="s">
        <v>13</v>
      </c>
      <c r="G254" s="10">
        <v>43</v>
      </c>
      <c r="H254" s="49">
        <v>70091</v>
      </c>
      <c r="I254" s="12">
        <f t="shared" si="3"/>
        <v>3013913</v>
      </c>
      <c r="J254" s="8">
        <v>101081</v>
      </c>
      <c r="K254" s="7" t="s">
        <v>514</v>
      </c>
    </row>
    <row r="255" spans="1:11" s="13" customFormat="1" x14ac:dyDescent="0.35">
      <c r="A255" s="7" t="s">
        <v>516</v>
      </c>
      <c r="B255" s="8">
        <v>101023</v>
      </c>
      <c r="C255" s="8">
        <v>100003439</v>
      </c>
      <c r="D255" s="9" t="s">
        <v>531</v>
      </c>
      <c r="E255" s="9" t="s">
        <v>51</v>
      </c>
      <c r="F255" s="10" t="s">
        <v>13</v>
      </c>
      <c r="G255" s="10">
        <v>932</v>
      </c>
      <c r="H255" s="49">
        <v>15374</v>
      </c>
      <c r="I255" s="12">
        <f t="shared" si="3"/>
        <v>14328568</v>
      </c>
      <c r="J255" s="8">
        <v>101023</v>
      </c>
      <c r="K255" s="7" t="s">
        <v>516</v>
      </c>
    </row>
    <row r="256" spans="1:11" s="13" customFormat="1" x14ac:dyDescent="0.35">
      <c r="A256" s="7" t="s">
        <v>518</v>
      </c>
      <c r="B256" s="8">
        <v>209167</v>
      </c>
      <c r="C256" s="8">
        <v>100002056</v>
      </c>
      <c r="D256" s="9" t="s">
        <v>533</v>
      </c>
      <c r="E256" s="9" t="s">
        <v>51</v>
      </c>
      <c r="F256" s="10" t="s">
        <v>13</v>
      </c>
      <c r="G256" s="10">
        <v>1562</v>
      </c>
      <c r="H256" s="49">
        <v>23903</v>
      </c>
      <c r="I256" s="12">
        <f t="shared" si="3"/>
        <v>37336486</v>
      </c>
      <c r="J256" s="8">
        <v>209167</v>
      </c>
      <c r="K256" s="7" t="s">
        <v>518</v>
      </c>
    </row>
    <row r="257" spans="1:11" s="13" customFormat="1" x14ac:dyDescent="0.35">
      <c r="A257" s="7" t="s">
        <v>520</v>
      </c>
      <c r="B257" s="8">
        <v>102161</v>
      </c>
      <c r="C257" s="8" t="s">
        <v>20</v>
      </c>
      <c r="D257" s="9" t="s">
        <v>535</v>
      </c>
      <c r="E257" s="9" t="s">
        <v>62</v>
      </c>
      <c r="F257" s="10" t="s">
        <v>62</v>
      </c>
      <c r="G257" s="10">
        <v>0</v>
      </c>
      <c r="H257" s="49">
        <v>17850</v>
      </c>
      <c r="I257" s="12">
        <f t="shared" si="3"/>
        <v>0</v>
      </c>
      <c r="J257" s="8">
        <v>102161</v>
      </c>
      <c r="K257" s="7" t="s">
        <v>520</v>
      </c>
    </row>
    <row r="258" spans="1:11" s="13" customFormat="1" x14ac:dyDescent="0.35">
      <c r="A258" s="7" t="s">
        <v>522</v>
      </c>
      <c r="B258" s="8">
        <v>104033</v>
      </c>
      <c r="C258" s="8">
        <v>100001084</v>
      </c>
      <c r="D258" s="9" t="s">
        <v>537</v>
      </c>
      <c r="E258" s="9" t="s">
        <v>146</v>
      </c>
      <c r="F258" s="10" t="s">
        <v>62</v>
      </c>
      <c r="G258" s="10">
        <v>1851</v>
      </c>
      <c r="H258" s="49">
        <v>66</v>
      </c>
      <c r="I258" s="12">
        <f t="shared" si="3"/>
        <v>122166</v>
      </c>
      <c r="J258" s="8">
        <v>104033</v>
      </c>
      <c r="K258" s="7" t="s">
        <v>522</v>
      </c>
    </row>
    <row r="259" spans="1:11" s="13" customFormat="1" x14ac:dyDescent="0.35">
      <c r="A259" s="7" t="s">
        <v>524</v>
      </c>
      <c r="B259" s="8">
        <v>106035</v>
      </c>
      <c r="C259" s="8" t="s">
        <v>20</v>
      </c>
      <c r="D259" s="9" t="s">
        <v>539</v>
      </c>
      <c r="E259" s="9" t="s">
        <v>31</v>
      </c>
      <c r="F259" s="10" t="s">
        <v>62</v>
      </c>
      <c r="G259" s="10">
        <v>3</v>
      </c>
      <c r="H259" s="49">
        <v>4060</v>
      </c>
      <c r="I259" s="12">
        <f t="shared" si="3"/>
        <v>12180</v>
      </c>
      <c r="J259" s="8">
        <v>106035</v>
      </c>
      <c r="K259" s="7" t="s">
        <v>524</v>
      </c>
    </row>
    <row r="260" spans="1:11" s="13" customFormat="1" x14ac:dyDescent="0.35">
      <c r="A260" s="7" t="s">
        <v>526</v>
      </c>
      <c r="B260" s="8">
        <v>106077</v>
      </c>
      <c r="C260" s="8">
        <v>100001087</v>
      </c>
      <c r="D260" s="9" t="s">
        <v>541</v>
      </c>
      <c r="E260" s="9" t="s">
        <v>36</v>
      </c>
      <c r="F260" s="10" t="s">
        <v>62</v>
      </c>
      <c r="G260" s="10">
        <v>36</v>
      </c>
      <c r="H260" s="49">
        <v>2618</v>
      </c>
      <c r="I260" s="12">
        <f t="shared" si="3"/>
        <v>94248</v>
      </c>
      <c r="J260" s="8">
        <v>106077</v>
      </c>
      <c r="K260" s="7" t="s">
        <v>526</v>
      </c>
    </row>
    <row r="261" spans="1:11" s="13" customFormat="1" x14ac:dyDescent="0.35">
      <c r="A261" s="7" t="s">
        <v>528</v>
      </c>
      <c r="B261" s="8">
        <v>101074</v>
      </c>
      <c r="C261" s="8">
        <v>100004632</v>
      </c>
      <c r="D261" s="9" t="s">
        <v>543</v>
      </c>
      <c r="E261" s="9" t="s">
        <v>36</v>
      </c>
      <c r="F261" s="10" t="s">
        <v>13</v>
      </c>
      <c r="G261" s="10">
        <v>179</v>
      </c>
      <c r="H261" s="49">
        <v>1010498</v>
      </c>
      <c r="I261" s="12">
        <f t="shared" si="3"/>
        <v>180879142</v>
      </c>
      <c r="J261" s="8">
        <v>101074</v>
      </c>
      <c r="K261" s="7" t="s">
        <v>528</v>
      </c>
    </row>
    <row r="262" spans="1:11" s="13" customFormat="1" x14ac:dyDescent="0.35">
      <c r="A262" s="7" t="s">
        <v>530</v>
      </c>
      <c r="B262" s="8">
        <v>101073</v>
      </c>
      <c r="C262" s="8">
        <v>100005302</v>
      </c>
      <c r="D262" s="9" t="s">
        <v>545</v>
      </c>
      <c r="E262" s="9" t="s">
        <v>36</v>
      </c>
      <c r="F262" s="10" t="s">
        <v>13</v>
      </c>
      <c r="G262" s="10">
        <v>75</v>
      </c>
      <c r="H262" s="49">
        <v>404198</v>
      </c>
      <c r="I262" s="12">
        <f t="shared" si="3"/>
        <v>30314850</v>
      </c>
      <c r="J262" s="8">
        <v>101073</v>
      </c>
      <c r="K262" s="7" t="s">
        <v>530</v>
      </c>
    </row>
    <row r="263" spans="1:11" s="13" customFormat="1" x14ac:dyDescent="0.35">
      <c r="A263" s="7" t="s">
        <v>532</v>
      </c>
      <c r="B263" s="8">
        <v>106078</v>
      </c>
      <c r="C263" s="8">
        <v>100001091</v>
      </c>
      <c r="D263" s="9" t="s">
        <v>547</v>
      </c>
      <c r="E263" s="9" t="s">
        <v>31</v>
      </c>
      <c r="F263" s="10" t="s">
        <v>62</v>
      </c>
      <c r="G263" s="10">
        <v>1495</v>
      </c>
      <c r="H263" s="49">
        <v>559</v>
      </c>
      <c r="I263" s="12">
        <f t="shared" si="3"/>
        <v>835705</v>
      </c>
      <c r="J263" s="8">
        <v>106078</v>
      </c>
      <c r="K263" s="7" t="s">
        <v>532</v>
      </c>
    </row>
    <row r="264" spans="1:11" s="13" customFormat="1" ht="21" x14ac:dyDescent="0.35">
      <c r="A264" s="7" t="s">
        <v>534</v>
      </c>
      <c r="B264" s="8">
        <v>108031</v>
      </c>
      <c r="C264" s="8" t="s">
        <v>20</v>
      </c>
      <c r="D264" s="9" t="s">
        <v>549</v>
      </c>
      <c r="E264" s="9" t="s">
        <v>44</v>
      </c>
      <c r="F264" s="10" t="s">
        <v>62</v>
      </c>
      <c r="G264" s="10">
        <v>60</v>
      </c>
      <c r="H264" s="49">
        <v>48106</v>
      </c>
      <c r="I264" s="12">
        <f t="shared" si="3"/>
        <v>2886360</v>
      </c>
      <c r="J264" s="8">
        <v>108031</v>
      </c>
      <c r="K264" s="7" t="s">
        <v>534</v>
      </c>
    </row>
    <row r="265" spans="1:11" s="13" customFormat="1" ht="21" x14ac:dyDescent="0.35">
      <c r="A265" s="7" t="s">
        <v>536</v>
      </c>
      <c r="B265" s="8">
        <v>102104</v>
      </c>
      <c r="C265" s="8" t="s">
        <v>20</v>
      </c>
      <c r="D265" s="9" t="s">
        <v>553</v>
      </c>
      <c r="E265" s="9" t="s">
        <v>44</v>
      </c>
      <c r="F265" s="10" t="s">
        <v>62</v>
      </c>
      <c r="G265" s="10">
        <v>44</v>
      </c>
      <c r="H265" s="49">
        <v>51230</v>
      </c>
      <c r="I265" s="12">
        <f t="shared" si="3"/>
        <v>2254120</v>
      </c>
      <c r="J265" s="8">
        <v>102104</v>
      </c>
      <c r="K265" s="7" t="s">
        <v>536</v>
      </c>
    </row>
    <row r="266" spans="1:11" s="13" customFormat="1" ht="21" x14ac:dyDescent="0.35">
      <c r="A266" s="7" t="s">
        <v>538</v>
      </c>
      <c r="B266" s="8">
        <v>108028</v>
      </c>
      <c r="C266" s="8" t="s">
        <v>20</v>
      </c>
      <c r="D266" s="9" t="s">
        <v>555</v>
      </c>
      <c r="E266" s="9" t="s">
        <v>44</v>
      </c>
      <c r="F266" s="10" t="s">
        <v>62</v>
      </c>
      <c r="G266" s="10">
        <v>45</v>
      </c>
      <c r="H266" s="49">
        <v>51230</v>
      </c>
      <c r="I266" s="12">
        <f t="shared" si="3"/>
        <v>2305350</v>
      </c>
      <c r="J266" s="8">
        <v>108028</v>
      </c>
      <c r="K266" s="7" t="s">
        <v>538</v>
      </c>
    </row>
    <row r="267" spans="1:11" s="13" customFormat="1" ht="21" x14ac:dyDescent="0.35">
      <c r="A267" s="7" t="s">
        <v>540</v>
      </c>
      <c r="B267" s="8">
        <v>102147</v>
      </c>
      <c r="C267" s="8" t="s">
        <v>20</v>
      </c>
      <c r="D267" s="9" t="s">
        <v>557</v>
      </c>
      <c r="E267" s="9" t="s">
        <v>44</v>
      </c>
      <c r="F267" s="10" t="s">
        <v>62</v>
      </c>
      <c r="G267" s="10">
        <v>10</v>
      </c>
      <c r="H267" s="49">
        <v>57477</v>
      </c>
      <c r="I267" s="12">
        <f t="shared" ref="I267:I330" si="4">G267*H267</f>
        <v>574770</v>
      </c>
      <c r="J267" s="8">
        <v>102147</v>
      </c>
      <c r="K267" s="7" t="s">
        <v>540</v>
      </c>
    </row>
    <row r="268" spans="1:11" s="13" customFormat="1" ht="21" x14ac:dyDescent="0.35">
      <c r="A268" s="7" t="s">
        <v>542</v>
      </c>
      <c r="B268" s="8">
        <v>102200</v>
      </c>
      <c r="C268" s="8" t="s">
        <v>20</v>
      </c>
      <c r="D268" s="9" t="s">
        <v>551</v>
      </c>
      <c r="E268" s="9" t="s">
        <v>44</v>
      </c>
      <c r="F268" s="10" t="s">
        <v>62</v>
      </c>
      <c r="G268" s="10">
        <v>34</v>
      </c>
      <c r="H268" s="49">
        <v>54353</v>
      </c>
      <c r="I268" s="12">
        <f t="shared" si="4"/>
        <v>1848002</v>
      </c>
      <c r="J268" s="8">
        <v>102200</v>
      </c>
      <c r="K268" s="7" t="s">
        <v>542</v>
      </c>
    </row>
    <row r="269" spans="1:11" s="13" customFormat="1" ht="21" x14ac:dyDescent="0.35">
      <c r="A269" s="7" t="s">
        <v>544</v>
      </c>
      <c r="B269" s="8">
        <v>102194</v>
      </c>
      <c r="C269" s="8" t="s">
        <v>20</v>
      </c>
      <c r="D269" s="9" t="s">
        <v>559</v>
      </c>
      <c r="E269" s="9" t="s">
        <v>44</v>
      </c>
      <c r="F269" s="10" t="s">
        <v>62</v>
      </c>
      <c r="G269" s="10">
        <v>17</v>
      </c>
      <c r="H269" s="49">
        <v>46232</v>
      </c>
      <c r="I269" s="12">
        <f t="shared" si="4"/>
        <v>785944</v>
      </c>
      <c r="J269" s="8">
        <v>102194</v>
      </c>
      <c r="K269" s="7" t="s">
        <v>544</v>
      </c>
    </row>
    <row r="270" spans="1:11" s="13" customFormat="1" x14ac:dyDescent="0.35">
      <c r="A270" s="7" t="s">
        <v>546</v>
      </c>
      <c r="B270" s="8">
        <v>108030</v>
      </c>
      <c r="C270" s="8" t="s">
        <v>20</v>
      </c>
      <c r="D270" s="9" t="s">
        <v>521</v>
      </c>
      <c r="E270" s="9" t="s">
        <v>44</v>
      </c>
      <c r="F270" s="10" t="s">
        <v>62</v>
      </c>
      <c r="G270" s="10">
        <v>229</v>
      </c>
      <c r="H270" s="49">
        <v>4373</v>
      </c>
      <c r="I270" s="12">
        <f t="shared" si="4"/>
        <v>1001417</v>
      </c>
      <c r="J270" s="8">
        <v>108030</v>
      </c>
      <c r="K270" s="7" t="s">
        <v>546</v>
      </c>
    </row>
    <row r="271" spans="1:11" s="13" customFormat="1" x14ac:dyDescent="0.35">
      <c r="A271" s="7" t="s">
        <v>548</v>
      </c>
      <c r="B271" s="8">
        <v>102151</v>
      </c>
      <c r="C271" s="8" t="s">
        <v>20</v>
      </c>
      <c r="D271" s="9" t="s">
        <v>561</v>
      </c>
      <c r="E271" s="9" t="s">
        <v>44</v>
      </c>
      <c r="F271" s="10" t="s">
        <v>62</v>
      </c>
      <c r="G271" s="10">
        <v>0</v>
      </c>
      <c r="H271" s="49">
        <v>119000</v>
      </c>
      <c r="I271" s="12">
        <f t="shared" si="4"/>
        <v>0</v>
      </c>
      <c r="J271" s="8">
        <v>102151</v>
      </c>
      <c r="K271" s="7" t="s">
        <v>548</v>
      </c>
    </row>
    <row r="272" spans="1:11" s="13" customFormat="1" x14ac:dyDescent="0.35">
      <c r="A272" s="7" t="s">
        <v>550</v>
      </c>
      <c r="B272" s="8">
        <v>106090</v>
      </c>
      <c r="C272" s="8">
        <v>100002254</v>
      </c>
      <c r="D272" s="9" t="s">
        <v>565</v>
      </c>
      <c r="E272" s="9" t="s">
        <v>36</v>
      </c>
      <c r="F272" s="10" t="s">
        <v>13</v>
      </c>
      <c r="G272" s="10">
        <v>0</v>
      </c>
      <c r="H272" s="49">
        <v>791357</v>
      </c>
      <c r="I272" s="12">
        <f t="shared" si="4"/>
        <v>0</v>
      </c>
      <c r="J272" s="8">
        <v>106090</v>
      </c>
      <c r="K272" s="7" t="s">
        <v>550</v>
      </c>
    </row>
    <row r="273" spans="1:11" s="13" customFormat="1" x14ac:dyDescent="0.35">
      <c r="A273" s="7" t="s">
        <v>552</v>
      </c>
      <c r="B273" s="8">
        <v>106040</v>
      </c>
      <c r="C273" s="8">
        <v>100002253</v>
      </c>
      <c r="D273" s="9" t="s">
        <v>563</v>
      </c>
      <c r="E273" s="9" t="s">
        <v>31</v>
      </c>
      <c r="F273" s="10" t="s">
        <v>62</v>
      </c>
      <c r="G273" s="10">
        <v>43</v>
      </c>
      <c r="H273" s="49">
        <v>4043</v>
      </c>
      <c r="I273" s="12">
        <f t="shared" si="4"/>
        <v>173849</v>
      </c>
      <c r="J273" s="8">
        <v>106040</v>
      </c>
      <c r="K273" s="7" t="s">
        <v>552</v>
      </c>
    </row>
    <row r="274" spans="1:11" s="13" customFormat="1" x14ac:dyDescent="0.35">
      <c r="A274" s="7" t="s">
        <v>554</v>
      </c>
      <c r="B274" s="8">
        <v>102187</v>
      </c>
      <c r="C274" s="8">
        <v>100003840</v>
      </c>
      <c r="D274" s="9" t="s">
        <v>567</v>
      </c>
      <c r="E274" s="9" t="s">
        <v>12</v>
      </c>
      <c r="F274" s="10" t="s">
        <v>62</v>
      </c>
      <c r="G274" s="10">
        <v>1899</v>
      </c>
      <c r="H274" s="49">
        <v>101</v>
      </c>
      <c r="I274" s="12">
        <f t="shared" si="4"/>
        <v>191799</v>
      </c>
      <c r="J274" s="8">
        <v>102187</v>
      </c>
      <c r="K274" s="7" t="s">
        <v>554</v>
      </c>
    </row>
    <row r="275" spans="1:11" s="13" customFormat="1" x14ac:dyDescent="0.35">
      <c r="A275" s="7" t="s">
        <v>556</v>
      </c>
      <c r="B275" s="8">
        <v>106065</v>
      </c>
      <c r="C275" s="8">
        <v>100001101</v>
      </c>
      <c r="D275" s="9" t="s">
        <v>569</v>
      </c>
      <c r="E275" s="9" t="s">
        <v>31</v>
      </c>
      <c r="F275" s="10" t="s">
        <v>62</v>
      </c>
      <c r="G275" s="10">
        <v>217</v>
      </c>
      <c r="H275" s="49">
        <v>4374</v>
      </c>
      <c r="I275" s="12">
        <f t="shared" si="4"/>
        <v>949158</v>
      </c>
      <c r="J275" s="8">
        <v>106065</v>
      </c>
      <c r="K275" s="7" t="s">
        <v>556</v>
      </c>
    </row>
    <row r="276" spans="1:11" s="13" customFormat="1" x14ac:dyDescent="0.35">
      <c r="A276" s="7" t="s">
        <v>558</v>
      </c>
      <c r="B276" s="8">
        <v>104046</v>
      </c>
      <c r="C276" s="8">
        <v>100001102</v>
      </c>
      <c r="D276" s="9" t="s">
        <v>571</v>
      </c>
      <c r="E276" s="9" t="s">
        <v>51</v>
      </c>
      <c r="F276" s="10" t="s">
        <v>62</v>
      </c>
      <c r="G276" s="10">
        <v>39111</v>
      </c>
      <c r="H276" s="49">
        <v>15</v>
      </c>
      <c r="I276" s="12">
        <f t="shared" si="4"/>
        <v>586665</v>
      </c>
      <c r="J276" s="8">
        <v>104046</v>
      </c>
      <c r="K276" s="7" t="s">
        <v>558</v>
      </c>
    </row>
    <row r="277" spans="1:11" s="13" customFormat="1" x14ac:dyDescent="0.35">
      <c r="A277" s="7" t="s">
        <v>560</v>
      </c>
      <c r="B277" s="8">
        <v>106095</v>
      </c>
      <c r="C277" s="8">
        <v>100001103</v>
      </c>
      <c r="D277" s="9" t="s">
        <v>573</v>
      </c>
      <c r="E277" s="9" t="s">
        <v>36</v>
      </c>
      <c r="F277" s="10" t="s">
        <v>62</v>
      </c>
      <c r="G277" s="10">
        <v>135</v>
      </c>
      <c r="H277" s="49">
        <v>869</v>
      </c>
      <c r="I277" s="12">
        <f t="shared" si="4"/>
        <v>117315</v>
      </c>
      <c r="J277" s="8">
        <v>106095</v>
      </c>
      <c r="K277" s="7" t="s">
        <v>560</v>
      </c>
    </row>
    <row r="278" spans="1:11" s="13" customFormat="1" x14ac:dyDescent="0.35">
      <c r="A278" s="7" t="s">
        <v>562</v>
      </c>
      <c r="B278" s="8">
        <v>209089</v>
      </c>
      <c r="C278" s="8">
        <v>100001104</v>
      </c>
      <c r="D278" s="9" t="s">
        <v>577</v>
      </c>
      <c r="E278" s="9" t="s">
        <v>12</v>
      </c>
      <c r="F278" s="10" t="s">
        <v>13</v>
      </c>
      <c r="G278" s="10">
        <v>7937</v>
      </c>
      <c r="H278" s="49">
        <v>202</v>
      </c>
      <c r="I278" s="12">
        <f t="shared" si="4"/>
        <v>1603274</v>
      </c>
      <c r="J278" s="8">
        <v>209089</v>
      </c>
      <c r="K278" s="7" t="s">
        <v>562</v>
      </c>
    </row>
    <row r="279" spans="1:11" s="13" customFormat="1" x14ac:dyDescent="0.35">
      <c r="A279" s="7" t="s">
        <v>564</v>
      </c>
      <c r="B279" s="8">
        <v>209090</v>
      </c>
      <c r="C279" s="8">
        <v>100005482</v>
      </c>
      <c r="D279" s="9" t="s">
        <v>575</v>
      </c>
      <c r="E279" s="9" t="s">
        <v>12</v>
      </c>
      <c r="F279" s="10" t="s">
        <v>13</v>
      </c>
      <c r="G279" s="10">
        <v>279</v>
      </c>
      <c r="H279" s="49">
        <v>377</v>
      </c>
      <c r="I279" s="12">
        <f t="shared" si="4"/>
        <v>105183</v>
      </c>
      <c r="J279" s="8">
        <v>209090</v>
      </c>
      <c r="K279" s="7" t="s">
        <v>564</v>
      </c>
    </row>
    <row r="280" spans="1:11" s="13" customFormat="1" x14ac:dyDescent="0.35">
      <c r="A280" s="7" t="s">
        <v>566</v>
      </c>
      <c r="B280" s="8">
        <v>209026</v>
      </c>
      <c r="C280" s="8">
        <v>100001105</v>
      </c>
      <c r="D280" s="9" t="s">
        <v>579</v>
      </c>
      <c r="E280" s="9" t="s">
        <v>31</v>
      </c>
      <c r="F280" s="10" t="s">
        <v>62</v>
      </c>
      <c r="G280" s="10">
        <v>5496</v>
      </c>
      <c r="H280" s="49">
        <v>213</v>
      </c>
      <c r="I280" s="12">
        <f t="shared" si="4"/>
        <v>1170648</v>
      </c>
      <c r="J280" s="8">
        <v>209026</v>
      </c>
      <c r="K280" s="7" t="s">
        <v>566</v>
      </c>
    </row>
    <row r="281" spans="1:11" s="13" customFormat="1" x14ac:dyDescent="0.35">
      <c r="A281" s="7" t="s">
        <v>568</v>
      </c>
      <c r="B281" s="8">
        <v>101082</v>
      </c>
      <c r="C281" s="8">
        <v>100005324</v>
      </c>
      <c r="D281" s="9" t="s">
        <v>581</v>
      </c>
      <c r="E281" s="9" t="s">
        <v>12</v>
      </c>
      <c r="F281" s="10" t="s">
        <v>13</v>
      </c>
      <c r="G281" s="10">
        <v>90</v>
      </c>
      <c r="H281" s="49">
        <v>134866</v>
      </c>
      <c r="I281" s="12">
        <f t="shared" si="4"/>
        <v>12137940</v>
      </c>
      <c r="J281" s="8">
        <v>101082</v>
      </c>
      <c r="K281" s="7" t="s">
        <v>568</v>
      </c>
    </row>
    <row r="282" spans="1:11" s="13" customFormat="1" x14ac:dyDescent="0.35">
      <c r="A282" s="7" t="s">
        <v>570</v>
      </c>
      <c r="B282" s="8">
        <v>209041</v>
      </c>
      <c r="C282" s="8">
        <v>100002256</v>
      </c>
      <c r="D282" s="9" t="s">
        <v>583</v>
      </c>
      <c r="E282" s="9" t="s">
        <v>36</v>
      </c>
      <c r="F282" s="10" t="s">
        <v>13</v>
      </c>
      <c r="G282" s="10">
        <v>271</v>
      </c>
      <c r="H282" s="49">
        <v>22015</v>
      </c>
      <c r="I282" s="12">
        <f t="shared" si="4"/>
        <v>5966065</v>
      </c>
      <c r="J282" s="8">
        <v>209041</v>
      </c>
      <c r="K282" s="7" t="s">
        <v>570</v>
      </c>
    </row>
    <row r="283" spans="1:11" s="13" customFormat="1" x14ac:dyDescent="0.35">
      <c r="A283" s="7" t="s">
        <v>572</v>
      </c>
      <c r="B283" s="8">
        <v>209040</v>
      </c>
      <c r="C283" s="8">
        <v>100003408</v>
      </c>
      <c r="D283" s="9" t="s">
        <v>585</v>
      </c>
      <c r="E283" s="9" t="s">
        <v>36</v>
      </c>
      <c r="F283" s="10" t="s">
        <v>13</v>
      </c>
      <c r="G283" s="10">
        <v>0</v>
      </c>
      <c r="H283" s="49">
        <v>9586</v>
      </c>
      <c r="I283" s="12">
        <f t="shared" si="4"/>
        <v>0</v>
      </c>
      <c r="J283" s="8">
        <v>209040</v>
      </c>
      <c r="K283" s="7" t="s">
        <v>572</v>
      </c>
    </row>
    <row r="284" spans="1:11" s="13" customFormat="1" x14ac:dyDescent="0.35">
      <c r="A284" s="7" t="s">
        <v>574</v>
      </c>
      <c r="B284" s="8">
        <v>209005</v>
      </c>
      <c r="C284" s="8" t="s">
        <v>20</v>
      </c>
      <c r="D284" s="9" t="s">
        <v>587</v>
      </c>
      <c r="E284" s="9" t="s">
        <v>36</v>
      </c>
      <c r="F284" s="10" t="s">
        <v>13</v>
      </c>
      <c r="G284" s="10">
        <v>32</v>
      </c>
      <c r="H284" s="49">
        <v>16584</v>
      </c>
      <c r="I284" s="12">
        <f t="shared" si="4"/>
        <v>530688</v>
      </c>
      <c r="J284" s="8">
        <v>209005</v>
      </c>
      <c r="K284" s="7" t="s">
        <v>574</v>
      </c>
    </row>
    <row r="285" spans="1:11" s="13" customFormat="1" x14ac:dyDescent="0.35">
      <c r="A285" s="7" t="s">
        <v>576</v>
      </c>
      <c r="B285" s="8">
        <v>209072</v>
      </c>
      <c r="C285" s="8">
        <v>100001116</v>
      </c>
      <c r="D285" s="9" t="s">
        <v>589</v>
      </c>
      <c r="E285" s="9" t="s">
        <v>36</v>
      </c>
      <c r="F285" s="10" t="s">
        <v>13</v>
      </c>
      <c r="G285" s="10">
        <v>90</v>
      </c>
      <c r="H285" s="49">
        <v>14816</v>
      </c>
      <c r="I285" s="12">
        <f t="shared" si="4"/>
        <v>1333440</v>
      </c>
      <c r="J285" s="8">
        <v>209072</v>
      </c>
      <c r="K285" s="7" t="s">
        <v>576</v>
      </c>
    </row>
    <row r="286" spans="1:11" s="13" customFormat="1" x14ac:dyDescent="0.35">
      <c r="A286" s="7" t="s">
        <v>578</v>
      </c>
      <c r="B286" s="8">
        <v>102137</v>
      </c>
      <c r="C286" s="8" t="s">
        <v>20</v>
      </c>
      <c r="D286" s="9" t="s">
        <v>591</v>
      </c>
      <c r="E286" s="9" t="s">
        <v>51</v>
      </c>
      <c r="F286" s="10" t="s">
        <v>62</v>
      </c>
      <c r="G286" s="10">
        <v>6888</v>
      </c>
      <c r="H286" s="49">
        <v>1144</v>
      </c>
      <c r="I286" s="12">
        <f t="shared" si="4"/>
        <v>7879872</v>
      </c>
      <c r="J286" s="8">
        <v>102137</v>
      </c>
      <c r="K286" s="7" t="s">
        <v>578</v>
      </c>
    </row>
    <row r="287" spans="1:11" s="13" customFormat="1" x14ac:dyDescent="0.35">
      <c r="A287" s="7" t="s">
        <v>580</v>
      </c>
      <c r="B287" s="8">
        <v>106052</v>
      </c>
      <c r="C287" s="8">
        <v>100001132</v>
      </c>
      <c r="D287" s="9" t="s">
        <v>593</v>
      </c>
      <c r="E287" s="9" t="s">
        <v>31</v>
      </c>
      <c r="F287" s="10" t="s">
        <v>62</v>
      </c>
      <c r="G287" s="10">
        <v>79</v>
      </c>
      <c r="H287" s="49">
        <v>387</v>
      </c>
      <c r="I287" s="12">
        <f t="shared" si="4"/>
        <v>30573</v>
      </c>
      <c r="J287" s="8">
        <v>106052</v>
      </c>
      <c r="K287" s="7" t="s">
        <v>580</v>
      </c>
    </row>
    <row r="288" spans="1:11" s="13" customFormat="1" x14ac:dyDescent="0.35">
      <c r="A288" s="7" t="s">
        <v>582</v>
      </c>
      <c r="B288" s="8">
        <v>102057</v>
      </c>
      <c r="C288" s="8">
        <v>100002921</v>
      </c>
      <c r="D288" s="9" t="s">
        <v>595</v>
      </c>
      <c r="E288" s="9" t="s">
        <v>36</v>
      </c>
      <c r="F288" s="10" t="s">
        <v>62</v>
      </c>
      <c r="G288" s="10">
        <v>963</v>
      </c>
      <c r="H288" s="49">
        <v>572</v>
      </c>
      <c r="I288" s="12">
        <f t="shared" si="4"/>
        <v>550836</v>
      </c>
      <c r="J288" s="8">
        <v>102057</v>
      </c>
      <c r="K288" s="7" t="s">
        <v>582</v>
      </c>
    </row>
    <row r="289" spans="1:11" s="13" customFormat="1" x14ac:dyDescent="0.35">
      <c r="A289" s="7" t="s">
        <v>584</v>
      </c>
      <c r="B289" s="8">
        <v>104025</v>
      </c>
      <c r="C289" s="8">
        <v>100001143</v>
      </c>
      <c r="D289" s="9" t="s">
        <v>597</v>
      </c>
      <c r="E289" s="9" t="s">
        <v>12</v>
      </c>
      <c r="F289" s="10" t="s">
        <v>62</v>
      </c>
      <c r="G289" s="10">
        <v>203446</v>
      </c>
      <c r="H289" s="49">
        <v>8</v>
      </c>
      <c r="I289" s="12">
        <f t="shared" si="4"/>
        <v>1627568</v>
      </c>
      <c r="J289" s="8">
        <v>104025</v>
      </c>
      <c r="K289" s="7" t="s">
        <v>584</v>
      </c>
    </row>
    <row r="290" spans="1:11" s="13" customFormat="1" x14ac:dyDescent="0.35">
      <c r="A290" s="7" t="s">
        <v>586</v>
      </c>
      <c r="B290" s="8">
        <v>102047</v>
      </c>
      <c r="C290" s="8">
        <v>100004906</v>
      </c>
      <c r="D290" s="9" t="s">
        <v>601</v>
      </c>
      <c r="E290" s="9" t="s">
        <v>12</v>
      </c>
      <c r="F290" s="10" t="s">
        <v>13</v>
      </c>
      <c r="G290" s="10">
        <v>30</v>
      </c>
      <c r="H290" s="49">
        <v>8204</v>
      </c>
      <c r="I290" s="12">
        <f t="shared" si="4"/>
        <v>246120</v>
      </c>
      <c r="J290" s="8">
        <v>102047</v>
      </c>
      <c r="K290" s="7" t="s">
        <v>586</v>
      </c>
    </row>
    <row r="291" spans="1:11" s="13" customFormat="1" x14ac:dyDescent="0.35">
      <c r="A291" s="7" t="s">
        <v>588</v>
      </c>
      <c r="B291" s="8">
        <v>102048</v>
      </c>
      <c r="C291" s="8">
        <v>100003903</v>
      </c>
      <c r="D291" s="9" t="s">
        <v>603</v>
      </c>
      <c r="E291" s="9" t="s">
        <v>12</v>
      </c>
      <c r="F291" s="10" t="s">
        <v>13</v>
      </c>
      <c r="G291" s="10">
        <v>1020</v>
      </c>
      <c r="H291" s="49">
        <v>5973</v>
      </c>
      <c r="I291" s="12">
        <f t="shared" si="4"/>
        <v>6092460</v>
      </c>
      <c r="J291" s="8">
        <v>102048</v>
      </c>
      <c r="K291" s="7" t="s">
        <v>588</v>
      </c>
    </row>
    <row r="292" spans="1:11" s="13" customFormat="1" x14ac:dyDescent="0.35">
      <c r="A292" s="7" t="s">
        <v>590</v>
      </c>
      <c r="B292" s="8">
        <v>422001</v>
      </c>
      <c r="C292" s="8">
        <v>100005505</v>
      </c>
      <c r="D292" s="9" t="s">
        <v>447</v>
      </c>
      <c r="E292" s="9" t="s">
        <v>39</v>
      </c>
      <c r="F292" s="10" t="s">
        <v>13</v>
      </c>
      <c r="G292" s="10">
        <v>402</v>
      </c>
      <c r="H292" s="49">
        <v>392700</v>
      </c>
      <c r="I292" s="12">
        <f t="shared" si="4"/>
        <v>157865400</v>
      </c>
      <c r="J292" s="8">
        <v>422001</v>
      </c>
      <c r="K292" s="7" t="s">
        <v>590</v>
      </c>
    </row>
    <row r="293" spans="1:11" s="13" customFormat="1" x14ac:dyDescent="0.35">
      <c r="A293" s="7" t="s">
        <v>592</v>
      </c>
      <c r="B293" s="8">
        <v>101084</v>
      </c>
      <c r="C293" s="8">
        <v>100004670</v>
      </c>
      <c r="D293" s="9" t="s">
        <v>605</v>
      </c>
      <c r="E293" s="9" t="s">
        <v>36</v>
      </c>
      <c r="F293" s="10" t="s">
        <v>13</v>
      </c>
      <c r="G293" s="10">
        <v>103</v>
      </c>
      <c r="H293" s="49">
        <v>2070600</v>
      </c>
      <c r="I293" s="12">
        <f t="shared" si="4"/>
        <v>213271800</v>
      </c>
      <c r="J293" s="8">
        <v>101084</v>
      </c>
      <c r="K293" s="7" t="s">
        <v>592</v>
      </c>
    </row>
    <row r="294" spans="1:11" s="13" customFormat="1" x14ac:dyDescent="0.35">
      <c r="A294" s="7" t="s">
        <v>594</v>
      </c>
      <c r="B294" s="8">
        <v>209109</v>
      </c>
      <c r="C294" s="8">
        <v>100003413</v>
      </c>
      <c r="D294" s="9" t="s">
        <v>607</v>
      </c>
      <c r="E294" s="9" t="s">
        <v>36</v>
      </c>
      <c r="F294" s="10" t="s">
        <v>13</v>
      </c>
      <c r="G294" s="10">
        <v>85</v>
      </c>
      <c r="H294" s="49">
        <v>28441</v>
      </c>
      <c r="I294" s="12">
        <f t="shared" si="4"/>
        <v>2417485</v>
      </c>
      <c r="J294" s="8">
        <v>209109</v>
      </c>
      <c r="K294" s="7" t="s">
        <v>594</v>
      </c>
    </row>
    <row r="295" spans="1:11" s="13" customFormat="1" x14ac:dyDescent="0.35">
      <c r="A295" s="7" t="s">
        <v>596</v>
      </c>
      <c r="B295" s="8">
        <v>101076</v>
      </c>
      <c r="C295" s="8">
        <v>100004650</v>
      </c>
      <c r="D295" s="9" t="s">
        <v>609</v>
      </c>
      <c r="E295" s="9" t="s">
        <v>36</v>
      </c>
      <c r="F295" s="10" t="s">
        <v>13</v>
      </c>
      <c r="G295" s="10">
        <v>34</v>
      </c>
      <c r="H295" s="49">
        <v>1628998</v>
      </c>
      <c r="I295" s="12">
        <f t="shared" si="4"/>
        <v>55385932</v>
      </c>
      <c r="J295" s="8">
        <v>101076</v>
      </c>
      <c r="K295" s="7" t="s">
        <v>596</v>
      </c>
    </row>
    <row r="296" spans="1:11" s="13" customFormat="1" x14ac:dyDescent="0.35">
      <c r="A296" s="7" t="s">
        <v>598</v>
      </c>
      <c r="B296" s="8">
        <v>102210</v>
      </c>
      <c r="C296" s="8" t="s">
        <v>20</v>
      </c>
      <c r="D296" s="9" t="s">
        <v>457</v>
      </c>
      <c r="E296" s="9" t="s">
        <v>31</v>
      </c>
      <c r="F296" s="10" t="s">
        <v>62</v>
      </c>
      <c r="G296" s="10">
        <v>0</v>
      </c>
      <c r="H296" s="49">
        <v>699</v>
      </c>
      <c r="I296" s="12">
        <f t="shared" si="4"/>
        <v>0</v>
      </c>
      <c r="J296" s="8">
        <v>102210</v>
      </c>
      <c r="K296" s="7" t="s">
        <v>598</v>
      </c>
    </row>
    <row r="297" spans="1:11" s="13" customFormat="1" x14ac:dyDescent="0.35">
      <c r="A297" s="7" t="s">
        <v>600</v>
      </c>
      <c r="B297" s="8">
        <v>102085</v>
      </c>
      <c r="C297" s="8" t="s">
        <v>20</v>
      </c>
      <c r="D297" s="9" t="s">
        <v>611</v>
      </c>
      <c r="E297" s="9" t="s">
        <v>330</v>
      </c>
      <c r="F297" s="10" t="s">
        <v>62</v>
      </c>
      <c r="G297" s="10">
        <v>412</v>
      </c>
      <c r="H297" s="49">
        <v>7140</v>
      </c>
      <c r="I297" s="12">
        <f t="shared" si="4"/>
        <v>2941680</v>
      </c>
      <c r="J297" s="8">
        <v>102085</v>
      </c>
      <c r="K297" s="7" t="s">
        <v>600</v>
      </c>
    </row>
    <row r="298" spans="1:11" s="13" customFormat="1" x14ac:dyDescent="0.35">
      <c r="A298" s="7" t="s">
        <v>602</v>
      </c>
      <c r="B298" s="8">
        <v>102074</v>
      </c>
      <c r="C298" s="8" t="s">
        <v>20</v>
      </c>
      <c r="D298" s="9" t="s">
        <v>613</v>
      </c>
      <c r="E298" s="9" t="s">
        <v>62</v>
      </c>
      <c r="F298" s="10" t="s">
        <v>62</v>
      </c>
      <c r="G298" s="10">
        <v>259</v>
      </c>
      <c r="H298" s="49">
        <v>1806</v>
      </c>
      <c r="I298" s="12">
        <f t="shared" si="4"/>
        <v>467754</v>
      </c>
      <c r="J298" s="8">
        <v>102074</v>
      </c>
      <c r="K298" s="7" t="s">
        <v>602</v>
      </c>
    </row>
    <row r="299" spans="1:11" s="13" customFormat="1" x14ac:dyDescent="0.35">
      <c r="A299" s="7" t="s">
        <v>604</v>
      </c>
      <c r="B299" s="8">
        <v>103043</v>
      </c>
      <c r="C299" s="8">
        <v>100002082</v>
      </c>
      <c r="D299" s="9" t="s">
        <v>615</v>
      </c>
      <c r="E299" s="9" t="s">
        <v>36</v>
      </c>
      <c r="F299" s="10" t="s">
        <v>62</v>
      </c>
      <c r="G299" s="10">
        <v>1513</v>
      </c>
      <c r="H299" s="49">
        <v>1580</v>
      </c>
      <c r="I299" s="12">
        <f t="shared" si="4"/>
        <v>2390540</v>
      </c>
      <c r="J299" s="8">
        <v>103043</v>
      </c>
      <c r="K299" s="7" t="s">
        <v>604</v>
      </c>
    </row>
    <row r="300" spans="1:11" s="13" customFormat="1" x14ac:dyDescent="0.35">
      <c r="A300" s="7" t="s">
        <v>606</v>
      </c>
      <c r="B300" s="8">
        <v>106036</v>
      </c>
      <c r="C300" s="8">
        <v>100001184</v>
      </c>
      <c r="D300" s="9" t="s">
        <v>617</v>
      </c>
      <c r="E300" s="9" t="s">
        <v>31</v>
      </c>
      <c r="F300" s="10" t="s">
        <v>62</v>
      </c>
      <c r="G300" s="10">
        <v>115</v>
      </c>
      <c r="H300" s="49">
        <v>90</v>
      </c>
      <c r="I300" s="12">
        <f t="shared" si="4"/>
        <v>10350</v>
      </c>
      <c r="J300" s="8">
        <v>106036</v>
      </c>
      <c r="K300" s="7" t="s">
        <v>606</v>
      </c>
    </row>
    <row r="301" spans="1:11" s="13" customFormat="1" ht="21" x14ac:dyDescent="0.35">
      <c r="A301" s="7" t="s">
        <v>608</v>
      </c>
      <c r="B301" s="8">
        <v>102205</v>
      </c>
      <c r="C301" s="8" t="s">
        <v>619</v>
      </c>
      <c r="D301" s="9" t="s">
        <v>620</v>
      </c>
      <c r="E301" s="9" t="s">
        <v>621</v>
      </c>
      <c r="F301" s="10" t="s">
        <v>62</v>
      </c>
      <c r="G301" s="10">
        <v>0</v>
      </c>
      <c r="H301" s="49">
        <v>97580</v>
      </c>
      <c r="I301" s="12">
        <f t="shared" si="4"/>
        <v>0</v>
      </c>
      <c r="J301" s="8">
        <v>102205</v>
      </c>
      <c r="K301" s="7" t="s">
        <v>608</v>
      </c>
    </row>
    <row r="302" spans="1:11" s="13" customFormat="1" ht="21" x14ac:dyDescent="0.35">
      <c r="A302" s="7" t="s">
        <v>610</v>
      </c>
      <c r="B302" s="8">
        <v>102096</v>
      </c>
      <c r="C302" s="8">
        <v>100002906</v>
      </c>
      <c r="D302" s="9" t="s">
        <v>623</v>
      </c>
      <c r="E302" s="9" t="s">
        <v>330</v>
      </c>
      <c r="F302" s="10" t="s">
        <v>62</v>
      </c>
      <c r="G302" s="10">
        <v>591</v>
      </c>
      <c r="H302" s="49">
        <v>486</v>
      </c>
      <c r="I302" s="12">
        <f t="shared" si="4"/>
        <v>287226</v>
      </c>
      <c r="J302" s="8">
        <v>102096</v>
      </c>
      <c r="K302" s="7" t="s">
        <v>610</v>
      </c>
    </row>
    <row r="303" spans="1:11" s="13" customFormat="1" x14ac:dyDescent="0.35">
      <c r="A303" s="7" t="s">
        <v>612</v>
      </c>
      <c r="B303" s="8">
        <v>104026</v>
      </c>
      <c r="C303" s="8" t="s">
        <v>20</v>
      </c>
      <c r="D303" s="9" t="s">
        <v>625</v>
      </c>
      <c r="E303" s="9" t="s">
        <v>146</v>
      </c>
      <c r="F303" s="10" t="s">
        <v>62</v>
      </c>
      <c r="G303" s="10">
        <v>3512</v>
      </c>
      <c r="H303" s="49">
        <v>126</v>
      </c>
      <c r="I303" s="12">
        <f t="shared" si="4"/>
        <v>442512</v>
      </c>
      <c r="J303" s="8">
        <v>104026</v>
      </c>
      <c r="K303" s="7" t="s">
        <v>612</v>
      </c>
    </row>
    <row r="304" spans="1:11" s="13" customFormat="1" x14ac:dyDescent="0.35">
      <c r="A304" s="7" t="s">
        <v>614</v>
      </c>
      <c r="B304" s="8">
        <v>422004</v>
      </c>
      <c r="C304" s="8" t="s">
        <v>20</v>
      </c>
      <c r="D304" s="9" t="s">
        <v>199</v>
      </c>
      <c r="E304" s="9" t="s">
        <v>44</v>
      </c>
      <c r="F304" s="10" t="s">
        <v>62</v>
      </c>
      <c r="G304" s="10">
        <v>97</v>
      </c>
      <c r="H304" s="49">
        <v>732</v>
      </c>
      <c r="I304" s="12">
        <f t="shared" si="4"/>
        <v>71004</v>
      </c>
      <c r="J304" s="8">
        <v>422004</v>
      </c>
      <c r="K304" s="7" t="s">
        <v>614</v>
      </c>
    </row>
    <row r="305" spans="1:11" s="13" customFormat="1" ht="21" x14ac:dyDescent="0.35">
      <c r="A305" s="7" t="s">
        <v>616</v>
      </c>
      <c r="B305" s="8">
        <v>422005</v>
      </c>
      <c r="C305" s="8" t="s">
        <v>20</v>
      </c>
      <c r="D305" s="9" t="s">
        <v>201</v>
      </c>
      <c r="E305" s="9" t="s">
        <v>44</v>
      </c>
      <c r="F305" s="10" t="s">
        <v>62</v>
      </c>
      <c r="G305" s="10">
        <v>0</v>
      </c>
      <c r="H305" s="49">
        <v>1666</v>
      </c>
      <c r="I305" s="12">
        <f t="shared" si="4"/>
        <v>0</v>
      </c>
      <c r="J305" s="8">
        <v>422005</v>
      </c>
      <c r="K305" s="7" t="s">
        <v>616</v>
      </c>
    </row>
    <row r="306" spans="1:11" s="13" customFormat="1" x14ac:dyDescent="0.35">
      <c r="A306" s="7" t="s">
        <v>618</v>
      </c>
      <c r="B306" s="8">
        <v>102167</v>
      </c>
      <c r="C306" s="8" t="s">
        <v>20</v>
      </c>
      <c r="D306" s="9" t="s">
        <v>203</v>
      </c>
      <c r="E306" s="9" t="s">
        <v>44</v>
      </c>
      <c r="F306" s="10" t="s">
        <v>62</v>
      </c>
      <c r="G306" s="10">
        <v>140</v>
      </c>
      <c r="H306" s="49">
        <v>3771</v>
      </c>
      <c r="I306" s="12">
        <f t="shared" si="4"/>
        <v>527940</v>
      </c>
      <c r="J306" s="8">
        <v>102167</v>
      </c>
      <c r="K306" s="7" t="s">
        <v>618</v>
      </c>
    </row>
    <row r="307" spans="1:11" s="13" customFormat="1" x14ac:dyDescent="0.35">
      <c r="A307" s="7" t="s">
        <v>622</v>
      </c>
      <c r="B307" s="8">
        <v>106037</v>
      </c>
      <c r="C307" s="8">
        <v>100001199</v>
      </c>
      <c r="D307" s="9" t="s">
        <v>627</v>
      </c>
      <c r="E307" s="9" t="s">
        <v>31</v>
      </c>
      <c r="F307" s="10" t="s">
        <v>62</v>
      </c>
      <c r="G307" s="10">
        <v>7490</v>
      </c>
      <c r="H307" s="49">
        <v>409</v>
      </c>
      <c r="I307" s="12">
        <f t="shared" si="4"/>
        <v>3063410</v>
      </c>
      <c r="J307" s="8">
        <v>106037</v>
      </c>
      <c r="K307" s="7" t="s">
        <v>622</v>
      </c>
    </row>
    <row r="308" spans="1:11" s="13" customFormat="1" x14ac:dyDescent="0.35">
      <c r="A308" s="7" t="s">
        <v>624</v>
      </c>
      <c r="B308" s="8">
        <v>107010</v>
      </c>
      <c r="C308" s="8">
        <v>100001201</v>
      </c>
      <c r="D308" s="9" t="s">
        <v>629</v>
      </c>
      <c r="E308" s="9" t="s">
        <v>62</v>
      </c>
      <c r="F308" s="10" t="s">
        <v>62</v>
      </c>
      <c r="G308" s="10">
        <v>54</v>
      </c>
      <c r="H308" s="49">
        <v>4998</v>
      </c>
      <c r="I308" s="12">
        <f t="shared" si="4"/>
        <v>269892</v>
      </c>
      <c r="J308" s="8">
        <v>107010</v>
      </c>
      <c r="K308" s="7" t="s">
        <v>624</v>
      </c>
    </row>
    <row r="309" spans="1:11" s="13" customFormat="1" x14ac:dyDescent="0.35">
      <c r="A309" s="7" t="s">
        <v>626</v>
      </c>
      <c r="B309" s="8">
        <v>104043</v>
      </c>
      <c r="C309" s="8">
        <v>100001210</v>
      </c>
      <c r="D309" s="9" t="s">
        <v>631</v>
      </c>
      <c r="E309" s="9" t="s">
        <v>12</v>
      </c>
      <c r="F309" s="10" t="s">
        <v>62</v>
      </c>
      <c r="G309" s="10">
        <v>8526</v>
      </c>
      <c r="H309" s="49">
        <v>37</v>
      </c>
      <c r="I309" s="12">
        <f t="shared" si="4"/>
        <v>315462</v>
      </c>
      <c r="J309" s="8">
        <v>104043</v>
      </c>
      <c r="K309" s="7" t="s">
        <v>626</v>
      </c>
    </row>
    <row r="310" spans="1:11" s="13" customFormat="1" x14ac:dyDescent="0.35">
      <c r="A310" s="7" t="s">
        <v>628</v>
      </c>
      <c r="B310" s="8">
        <v>104027</v>
      </c>
      <c r="C310" s="8">
        <v>100001209</v>
      </c>
      <c r="D310" s="9" t="s">
        <v>633</v>
      </c>
      <c r="E310" s="9" t="s">
        <v>12</v>
      </c>
      <c r="F310" s="10" t="s">
        <v>62</v>
      </c>
      <c r="G310" s="10">
        <v>3162</v>
      </c>
      <c r="H310" s="49">
        <v>14</v>
      </c>
      <c r="I310" s="12">
        <f t="shared" si="4"/>
        <v>44268</v>
      </c>
      <c r="J310" s="8">
        <v>104027</v>
      </c>
      <c r="K310" s="7" t="s">
        <v>628</v>
      </c>
    </row>
    <row r="311" spans="1:11" s="13" customFormat="1" x14ac:dyDescent="0.35">
      <c r="A311" s="7" t="s">
        <v>630</v>
      </c>
      <c r="B311" s="8">
        <v>102138</v>
      </c>
      <c r="C311" s="8">
        <v>100002261</v>
      </c>
      <c r="D311" s="9" t="s">
        <v>635</v>
      </c>
      <c r="E311" s="9" t="s">
        <v>12</v>
      </c>
      <c r="F311" s="10" t="s">
        <v>62</v>
      </c>
      <c r="G311" s="10">
        <v>45177</v>
      </c>
      <c r="H311" s="49">
        <v>88</v>
      </c>
      <c r="I311" s="12">
        <f t="shared" si="4"/>
        <v>3975576</v>
      </c>
      <c r="J311" s="8">
        <v>102138</v>
      </c>
      <c r="K311" s="7" t="s">
        <v>630</v>
      </c>
    </row>
    <row r="312" spans="1:11" s="13" customFormat="1" x14ac:dyDescent="0.35">
      <c r="A312" s="7" t="s">
        <v>632</v>
      </c>
      <c r="B312" s="8">
        <v>106063</v>
      </c>
      <c r="C312" s="8">
        <v>100001215</v>
      </c>
      <c r="D312" s="9" t="s">
        <v>645</v>
      </c>
      <c r="E312" s="9" t="s">
        <v>31</v>
      </c>
      <c r="F312" s="10" t="s">
        <v>62</v>
      </c>
      <c r="G312" s="10">
        <v>80</v>
      </c>
      <c r="H312" s="49">
        <v>464</v>
      </c>
      <c r="I312" s="12">
        <f t="shared" si="4"/>
        <v>37120</v>
      </c>
      <c r="J312" s="8">
        <v>106063</v>
      </c>
      <c r="K312" s="7" t="s">
        <v>632</v>
      </c>
    </row>
    <row r="313" spans="1:11" s="13" customFormat="1" x14ac:dyDescent="0.35">
      <c r="A313" s="7" t="s">
        <v>634</v>
      </c>
      <c r="B313" s="8">
        <v>106047</v>
      </c>
      <c r="C313" s="8">
        <v>100001222</v>
      </c>
      <c r="D313" s="9" t="s">
        <v>599</v>
      </c>
      <c r="E313" s="9" t="s">
        <v>31</v>
      </c>
      <c r="F313" s="10" t="s">
        <v>62</v>
      </c>
      <c r="G313" s="10">
        <v>404</v>
      </c>
      <c r="H313" s="49">
        <v>393</v>
      </c>
      <c r="I313" s="12">
        <f t="shared" si="4"/>
        <v>158772</v>
      </c>
      <c r="J313" s="8">
        <v>106047</v>
      </c>
      <c r="K313" s="7" t="s">
        <v>634</v>
      </c>
    </row>
    <row r="314" spans="1:11" s="13" customFormat="1" x14ac:dyDescent="0.35">
      <c r="A314" s="7" t="s">
        <v>636</v>
      </c>
      <c r="B314" s="8">
        <v>101001</v>
      </c>
      <c r="C314" s="8">
        <v>100001223</v>
      </c>
      <c r="D314" s="9" t="s">
        <v>639</v>
      </c>
      <c r="E314" s="9" t="s">
        <v>31</v>
      </c>
      <c r="F314" s="10" t="s">
        <v>62</v>
      </c>
      <c r="G314" s="10">
        <v>422</v>
      </c>
      <c r="H314" s="49">
        <v>2028</v>
      </c>
      <c r="I314" s="12">
        <f t="shared" si="4"/>
        <v>855816</v>
      </c>
      <c r="J314" s="8">
        <v>101001</v>
      </c>
      <c r="K314" s="7" t="s">
        <v>636</v>
      </c>
    </row>
    <row r="315" spans="1:11" s="13" customFormat="1" x14ac:dyDescent="0.35">
      <c r="A315" s="7" t="s">
        <v>638</v>
      </c>
      <c r="B315" s="8">
        <v>101000</v>
      </c>
      <c r="C315" s="8">
        <v>100002089</v>
      </c>
      <c r="D315" s="9" t="s">
        <v>637</v>
      </c>
      <c r="E315" s="9" t="s">
        <v>39</v>
      </c>
      <c r="F315" s="10" t="s">
        <v>62</v>
      </c>
      <c r="G315" s="10">
        <v>58</v>
      </c>
      <c r="H315" s="49">
        <v>15708</v>
      </c>
      <c r="I315" s="12">
        <f t="shared" si="4"/>
        <v>911064</v>
      </c>
      <c r="J315" s="8">
        <v>101000</v>
      </c>
      <c r="K315" s="7" t="s">
        <v>638</v>
      </c>
    </row>
    <row r="316" spans="1:11" s="13" customFormat="1" x14ac:dyDescent="0.35">
      <c r="A316" s="7" t="s">
        <v>640</v>
      </c>
      <c r="B316" s="8">
        <v>102196</v>
      </c>
      <c r="C316" s="8">
        <v>100002090</v>
      </c>
      <c r="D316" s="9" t="s">
        <v>643</v>
      </c>
      <c r="E316" s="9" t="s">
        <v>36</v>
      </c>
      <c r="F316" s="10" t="s">
        <v>62</v>
      </c>
      <c r="G316" s="10">
        <v>0</v>
      </c>
      <c r="H316" s="49">
        <v>9282</v>
      </c>
      <c r="I316" s="12">
        <f t="shared" si="4"/>
        <v>0</v>
      </c>
      <c r="J316" s="8">
        <v>102196</v>
      </c>
      <c r="K316" s="7" t="s">
        <v>640</v>
      </c>
    </row>
    <row r="317" spans="1:11" s="13" customFormat="1" x14ac:dyDescent="0.35">
      <c r="A317" s="7" t="s">
        <v>642</v>
      </c>
      <c r="B317" s="8">
        <v>101002</v>
      </c>
      <c r="C317" s="8" t="s">
        <v>20</v>
      </c>
      <c r="D317" s="9" t="s">
        <v>641</v>
      </c>
      <c r="E317" s="9" t="s">
        <v>39</v>
      </c>
      <c r="F317" s="10" t="s">
        <v>62</v>
      </c>
      <c r="G317" s="10">
        <v>60</v>
      </c>
      <c r="H317" s="49">
        <v>23300</v>
      </c>
      <c r="I317" s="12">
        <f t="shared" si="4"/>
        <v>1398000</v>
      </c>
      <c r="J317" s="8">
        <v>101002</v>
      </c>
      <c r="K317" s="7" t="s">
        <v>642</v>
      </c>
    </row>
    <row r="318" spans="1:11" s="13" customFormat="1" x14ac:dyDescent="0.35">
      <c r="A318" s="7" t="s">
        <v>644</v>
      </c>
      <c r="B318" s="8">
        <v>106070</v>
      </c>
      <c r="C318" s="8">
        <v>100001224</v>
      </c>
      <c r="D318" s="9" t="s">
        <v>647</v>
      </c>
      <c r="E318" s="9" t="s">
        <v>31</v>
      </c>
      <c r="F318" s="10" t="s">
        <v>62</v>
      </c>
      <c r="G318" s="10">
        <v>12</v>
      </c>
      <c r="H318" s="49">
        <v>36958</v>
      </c>
      <c r="I318" s="12">
        <f t="shared" si="4"/>
        <v>443496</v>
      </c>
      <c r="J318" s="8">
        <v>106070</v>
      </c>
      <c r="K318" s="7" t="s">
        <v>644</v>
      </c>
    </row>
    <row r="319" spans="1:11" s="13" customFormat="1" x14ac:dyDescent="0.35">
      <c r="A319" s="7" t="s">
        <v>646</v>
      </c>
      <c r="B319" s="8">
        <v>102155</v>
      </c>
      <c r="C319" s="8">
        <v>100001233</v>
      </c>
      <c r="D319" s="9" t="s">
        <v>649</v>
      </c>
      <c r="E319" s="9" t="s">
        <v>12</v>
      </c>
      <c r="F319" s="10" t="s">
        <v>62</v>
      </c>
      <c r="G319" s="10">
        <v>2305</v>
      </c>
      <c r="H319" s="49">
        <v>26</v>
      </c>
      <c r="I319" s="12">
        <f t="shared" si="4"/>
        <v>59930</v>
      </c>
      <c r="J319" s="8">
        <v>102155</v>
      </c>
      <c r="K319" s="7" t="s">
        <v>646</v>
      </c>
    </row>
    <row r="320" spans="1:11" s="13" customFormat="1" x14ac:dyDescent="0.35">
      <c r="A320" s="7" t="s">
        <v>648</v>
      </c>
      <c r="B320" s="8">
        <v>102075</v>
      </c>
      <c r="C320" s="8">
        <v>100001232</v>
      </c>
      <c r="D320" s="9" t="s">
        <v>651</v>
      </c>
      <c r="E320" s="9" t="s">
        <v>12</v>
      </c>
      <c r="F320" s="10" t="s">
        <v>62</v>
      </c>
      <c r="G320" s="10">
        <v>9288</v>
      </c>
      <c r="H320" s="49">
        <v>10</v>
      </c>
      <c r="I320" s="12">
        <f t="shared" si="4"/>
        <v>92880</v>
      </c>
      <c r="J320" s="8">
        <v>102075</v>
      </c>
      <c r="K320" s="7" t="s">
        <v>648</v>
      </c>
    </row>
    <row r="321" spans="1:11" s="13" customFormat="1" x14ac:dyDescent="0.35">
      <c r="A321" s="7" t="s">
        <v>650</v>
      </c>
      <c r="B321" s="8">
        <v>102026</v>
      </c>
      <c r="C321" s="8">
        <v>100001243</v>
      </c>
      <c r="D321" s="9" t="s">
        <v>653</v>
      </c>
      <c r="E321" s="9" t="s">
        <v>36</v>
      </c>
      <c r="F321" s="10" t="s">
        <v>62</v>
      </c>
      <c r="G321" s="10">
        <v>65</v>
      </c>
      <c r="H321" s="49">
        <v>3213</v>
      </c>
      <c r="I321" s="12">
        <f t="shared" si="4"/>
        <v>208845</v>
      </c>
      <c r="J321" s="8">
        <v>102026</v>
      </c>
      <c r="K321" s="7" t="s">
        <v>650</v>
      </c>
    </row>
    <row r="322" spans="1:11" s="13" customFormat="1" x14ac:dyDescent="0.35">
      <c r="A322" s="7" t="s">
        <v>652</v>
      </c>
      <c r="B322" s="8">
        <v>108013</v>
      </c>
      <c r="C322" s="8">
        <v>100002918</v>
      </c>
      <c r="D322" s="9" t="s">
        <v>655</v>
      </c>
      <c r="E322" s="9" t="s">
        <v>44</v>
      </c>
      <c r="F322" s="10" t="s">
        <v>62</v>
      </c>
      <c r="G322" s="10">
        <v>1036</v>
      </c>
      <c r="H322" s="49">
        <v>536</v>
      </c>
      <c r="I322" s="12">
        <f t="shared" si="4"/>
        <v>555296</v>
      </c>
      <c r="J322" s="8">
        <v>108013</v>
      </c>
      <c r="K322" s="7" t="s">
        <v>652</v>
      </c>
    </row>
    <row r="323" spans="1:11" s="13" customFormat="1" x14ac:dyDescent="0.35">
      <c r="A323" s="7" t="s">
        <v>654</v>
      </c>
      <c r="B323" s="8">
        <v>102111</v>
      </c>
      <c r="C323" s="8">
        <v>100001255</v>
      </c>
      <c r="D323" s="9" t="s">
        <v>657</v>
      </c>
      <c r="E323" s="9" t="s">
        <v>12</v>
      </c>
      <c r="F323" s="10" t="s">
        <v>62</v>
      </c>
      <c r="G323" s="10">
        <v>1169</v>
      </c>
      <c r="H323" s="49">
        <v>39</v>
      </c>
      <c r="I323" s="12">
        <f t="shared" si="4"/>
        <v>45591</v>
      </c>
      <c r="J323" s="8">
        <v>102111</v>
      </c>
      <c r="K323" s="7" t="s">
        <v>654</v>
      </c>
    </row>
    <row r="324" spans="1:11" s="13" customFormat="1" x14ac:dyDescent="0.35">
      <c r="A324" s="7" t="s">
        <v>656</v>
      </c>
      <c r="B324" s="8">
        <v>102157</v>
      </c>
      <c r="C324" s="8">
        <v>100002297</v>
      </c>
      <c r="D324" s="9" t="s">
        <v>659</v>
      </c>
      <c r="E324" s="9" t="s">
        <v>62</v>
      </c>
      <c r="F324" s="10" t="s">
        <v>62</v>
      </c>
      <c r="G324" s="10">
        <v>25</v>
      </c>
      <c r="H324" s="49">
        <v>2785</v>
      </c>
      <c r="I324" s="12">
        <f t="shared" si="4"/>
        <v>69625</v>
      </c>
      <c r="J324" s="8">
        <v>102157</v>
      </c>
      <c r="K324" s="7" t="s">
        <v>656</v>
      </c>
    </row>
    <row r="325" spans="1:11" s="13" customFormat="1" x14ac:dyDescent="0.35">
      <c r="A325" s="7" t="s">
        <v>658</v>
      </c>
      <c r="B325" s="8">
        <v>209112</v>
      </c>
      <c r="C325" s="8">
        <v>100005518</v>
      </c>
      <c r="D325" s="9" t="s">
        <v>661</v>
      </c>
      <c r="E325" s="9" t="s">
        <v>36</v>
      </c>
      <c r="F325" s="10" t="s">
        <v>13</v>
      </c>
      <c r="G325" s="10">
        <v>248</v>
      </c>
      <c r="H325" s="49">
        <v>51170</v>
      </c>
      <c r="I325" s="12">
        <f t="shared" si="4"/>
        <v>12690160</v>
      </c>
      <c r="J325" s="8">
        <v>209112</v>
      </c>
      <c r="K325" s="7" t="s">
        <v>658</v>
      </c>
    </row>
    <row r="326" spans="1:11" s="13" customFormat="1" x14ac:dyDescent="0.35">
      <c r="A326" s="7" t="s">
        <v>660</v>
      </c>
      <c r="B326" s="8">
        <v>209113</v>
      </c>
      <c r="C326" s="8">
        <v>100002611</v>
      </c>
      <c r="D326" s="9" t="s">
        <v>663</v>
      </c>
      <c r="E326" s="9" t="s">
        <v>36</v>
      </c>
      <c r="F326" s="10" t="s">
        <v>13</v>
      </c>
      <c r="G326" s="10">
        <v>122</v>
      </c>
      <c r="H326" s="49">
        <v>123760</v>
      </c>
      <c r="I326" s="12">
        <f t="shared" si="4"/>
        <v>15098720</v>
      </c>
      <c r="J326" s="8">
        <v>209113</v>
      </c>
      <c r="K326" s="7" t="s">
        <v>660</v>
      </c>
    </row>
    <row r="327" spans="1:11" s="13" customFormat="1" x14ac:dyDescent="0.35">
      <c r="A327" s="7" t="s">
        <v>662</v>
      </c>
      <c r="B327" s="8">
        <v>102058</v>
      </c>
      <c r="C327" s="8">
        <v>100004354</v>
      </c>
      <c r="D327" s="9" t="s">
        <v>665</v>
      </c>
      <c r="E327" s="9" t="s">
        <v>12</v>
      </c>
      <c r="F327" s="10" t="s">
        <v>62</v>
      </c>
      <c r="G327" s="10">
        <v>769</v>
      </c>
      <c r="H327" s="49">
        <v>42</v>
      </c>
      <c r="I327" s="12">
        <f t="shared" si="4"/>
        <v>32298</v>
      </c>
      <c r="J327" s="8">
        <v>102058</v>
      </c>
      <c r="K327" s="7" t="s">
        <v>662</v>
      </c>
    </row>
    <row r="328" spans="1:11" s="13" customFormat="1" x14ac:dyDescent="0.35">
      <c r="A328" s="7" t="s">
        <v>664</v>
      </c>
      <c r="B328" s="8">
        <v>106017</v>
      </c>
      <c r="C328" s="8">
        <v>100001260</v>
      </c>
      <c r="D328" s="9" t="s">
        <v>667</v>
      </c>
      <c r="E328" s="9" t="s">
        <v>36</v>
      </c>
      <c r="F328" s="10" t="s">
        <v>62</v>
      </c>
      <c r="G328" s="10">
        <v>417</v>
      </c>
      <c r="H328" s="49">
        <v>4641</v>
      </c>
      <c r="I328" s="12">
        <f t="shared" si="4"/>
        <v>1935297</v>
      </c>
      <c r="J328" s="8">
        <v>106017</v>
      </c>
      <c r="K328" s="7" t="s">
        <v>664</v>
      </c>
    </row>
    <row r="329" spans="1:11" s="13" customFormat="1" x14ac:dyDescent="0.35">
      <c r="A329" s="7" t="s">
        <v>666</v>
      </c>
      <c r="B329" s="8">
        <v>105007</v>
      </c>
      <c r="C329" s="8">
        <v>100001266</v>
      </c>
      <c r="D329" s="9" t="s">
        <v>669</v>
      </c>
      <c r="E329" s="9" t="s">
        <v>62</v>
      </c>
      <c r="F329" s="10" t="s">
        <v>62</v>
      </c>
      <c r="G329" s="10">
        <v>192</v>
      </c>
      <c r="H329" s="49">
        <v>1107</v>
      </c>
      <c r="I329" s="12">
        <f t="shared" si="4"/>
        <v>212544</v>
      </c>
      <c r="J329" s="8">
        <v>105007</v>
      </c>
      <c r="K329" s="7" t="s">
        <v>666</v>
      </c>
    </row>
    <row r="330" spans="1:11" s="13" customFormat="1" x14ac:dyDescent="0.35">
      <c r="A330" s="7" t="s">
        <v>668</v>
      </c>
      <c r="B330" s="8">
        <v>105008</v>
      </c>
      <c r="C330" s="8">
        <v>100002314</v>
      </c>
      <c r="D330" s="9" t="s">
        <v>671</v>
      </c>
      <c r="E330" s="9" t="s">
        <v>62</v>
      </c>
      <c r="F330" s="10" t="s">
        <v>62</v>
      </c>
      <c r="G330" s="10">
        <v>71</v>
      </c>
      <c r="H330" s="49">
        <v>1309</v>
      </c>
      <c r="I330" s="12">
        <f t="shared" si="4"/>
        <v>92939</v>
      </c>
      <c r="J330" s="8">
        <v>105008</v>
      </c>
      <c r="K330" s="7" t="s">
        <v>668</v>
      </c>
    </row>
    <row r="331" spans="1:11" s="13" customFormat="1" x14ac:dyDescent="0.35">
      <c r="A331" s="7" t="s">
        <v>670</v>
      </c>
      <c r="B331" s="8">
        <v>104029</v>
      </c>
      <c r="C331" s="8">
        <v>100001289</v>
      </c>
      <c r="D331" s="9" t="s">
        <v>673</v>
      </c>
      <c r="E331" s="9" t="s">
        <v>12</v>
      </c>
      <c r="F331" s="10" t="s">
        <v>62</v>
      </c>
      <c r="G331" s="10">
        <v>26565</v>
      </c>
      <c r="H331" s="49">
        <v>18</v>
      </c>
      <c r="I331" s="12">
        <f t="shared" ref="I331:I381" si="5">G331*H331</f>
        <v>478170</v>
      </c>
      <c r="J331" s="8">
        <v>104029</v>
      </c>
      <c r="K331" s="7" t="s">
        <v>670</v>
      </c>
    </row>
    <row r="332" spans="1:11" s="13" customFormat="1" x14ac:dyDescent="0.35">
      <c r="A332" s="7" t="s">
        <v>672</v>
      </c>
      <c r="B332" s="8">
        <v>101005</v>
      </c>
      <c r="C332" s="8">
        <v>100001295</v>
      </c>
      <c r="D332" s="9" t="s">
        <v>675</v>
      </c>
      <c r="E332" s="9" t="s">
        <v>62</v>
      </c>
      <c r="F332" s="10" t="s">
        <v>62</v>
      </c>
      <c r="G332" s="10">
        <v>110</v>
      </c>
      <c r="H332" s="49">
        <v>49904</v>
      </c>
      <c r="I332" s="12">
        <f t="shared" si="5"/>
        <v>5489440</v>
      </c>
      <c r="J332" s="8">
        <v>101005</v>
      </c>
      <c r="K332" s="7" t="s">
        <v>672</v>
      </c>
    </row>
    <row r="333" spans="1:11" s="13" customFormat="1" x14ac:dyDescent="0.35">
      <c r="A333" s="7" t="s">
        <v>674</v>
      </c>
      <c r="B333" s="8">
        <v>102101</v>
      </c>
      <c r="C333" s="8" t="s">
        <v>20</v>
      </c>
      <c r="D333" s="9" t="s">
        <v>677</v>
      </c>
      <c r="E333" s="9" t="s">
        <v>51</v>
      </c>
      <c r="F333" s="10" t="s">
        <v>62</v>
      </c>
      <c r="G333" s="10">
        <v>0</v>
      </c>
      <c r="H333" s="49">
        <v>194</v>
      </c>
      <c r="I333" s="12">
        <f t="shared" si="5"/>
        <v>0</v>
      </c>
      <c r="J333" s="8">
        <v>102101</v>
      </c>
      <c r="K333" s="7" t="s">
        <v>674</v>
      </c>
    </row>
    <row r="334" spans="1:11" s="13" customFormat="1" x14ac:dyDescent="0.35">
      <c r="A334" s="7" t="s">
        <v>676</v>
      </c>
      <c r="B334" s="8">
        <v>102119</v>
      </c>
      <c r="C334" s="8">
        <v>100001299</v>
      </c>
      <c r="D334" s="9" t="s">
        <v>108</v>
      </c>
      <c r="E334" s="9" t="s">
        <v>31</v>
      </c>
      <c r="F334" s="10" t="s">
        <v>62</v>
      </c>
      <c r="G334" s="10">
        <v>19</v>
      </c>
      <c r="H334" s="49">
        <v>833</v>
      </c>
      <c r="I334" s="12">
        <f t="shared" si="5"/>
        <v>15827</v>
      </c>
      <c r="J334" s="8">
        <v>102119</v>
      </c>
      <c r="K334" s="7" t="s">
        <v>676</v>
      </c>
    </row>
    <row r="335" spans="1:11" s="13" customFormat="1" x14ac:dyDescent="0.35">
      <c r="A335" s="7" t="s">
        <v>678</v>
      </c>
      <c r="B335" s="8">
        <v>108014</v>
      </c>
      <c r="C335" s="8">
        <v>100001298</v>
      </c>
      <c r="D335" s="9" t="s">
        <v>679</v>
      </c>
      <c r="E335" s="9" t="s">
        <v>44</v>
      </c>
      <c r="F335" s="10" t="s">
        <v>62</v>
      </c>
      <c r="G335" s="10">
        <v>76</v>
      </c>
      <c r="H335" s="49">
        <v>1250</v>
      </c>
      <c r="I335" s="12">
        <f t="shared" si="5"/>
        <v>95000</v>
      </c>
      <c r="J335" s="8">
        <v>108014</v>
      </c>
      <c r="K335" s="7" t="s">
        <v>678</v>
      </c>
    </row>
    <row r="336" spans="1:11" s="13" customFormat="1" x14ac:dyDescent="0.35">
      <c r="A336" s="7" t="s">
        <v>680</v>
      </c>
      <c r="B336" s="8">
        <v>106042</v>
      </c>
      <c r="C336" s="8">
        <v>100002561</v>
      </c>
      <c r="D336" s="9" t="s">
        <v>691</v>
      </c>
      <c r="E336" s="9" t="s">
        <v>31</v>
      </c>
      <c r="F336" s="10" t="s">
        <v>62</v>
      </c>
      <c r="G336" s="10">
        <v>2177</v>
      </c>
      <c r="H336" s="49">
        <v>217</v>
      </c>
      <c r="I336" s="12">
        <f t="shared" si="5"/>
        <v>472409</v>
      </c>
      <c r="J336" s="8">
        <v>106042</v>
      </c>
      <c r="K336" s="7" t="s">
        <v>680</v>
      </c>
    </row>
    <row r="337" spans="1:11" s="13" customFormat="1" x14ac:dyDescent="0.35">
      <c r="A337" s="7" t="s">
        <v>682</v>
      </c>
      <c r="B337" s="8">
        <v>106041</v>
      </c>
      <c r="C337" s="8">
        <v>100001310</v>
      </c>
      <c r="D337" s="9" t="s">
        <v>685</v>
      </c>
      <c r="E337" s="9" t="s">
        <v>31</v>
      </c>
      <c r="F337" s="10" t="s">
        <v>62</v>
      </c>
      <c r="G337" s="10">
        <v>22629</v>
      </c>
      <c r="H337" s="49">
        <v>127</v>
      </c>
      <c r="I337" s="12">
        <f t="shared" si="5"/>
        <v>2873883</v>
      </c>
      <c r="J337" s="8">
        <v>106041</v>
      </c>
      <c r="K337" s="7" t="s">
        <v>682</v>
      </c>
    </row>
    <row r="338" spans="1:11" s="13" customFormat="1" x14ac:dyDescent="0.35">
      <c r="A338" s="7" t="s">
        <v>684</v>
      </c>
      <c r="B338" s="8">
        <v>392004</v>
      </c>
      <c r="C338" s="8">
        <v>100002919</v>
      </c>
      <c r="D338" s="9" t="s">
        <v>683</v>
      </c>
      <c r="E338" s="9" t="s">
        <v>44</v>
      </c>
      <c r="F338" s="10" t="s">
        <v>62</v>
      </c>
      <c r="G338" s="10">
        <v>2512</v>
      </c>
      <c r="H338" s="49">
        <v>461</v>
      </c>
      <c r="I338" s="12">
        <f t="shared" si="5"/>
        <v>1158032</v>
      </c>
      <c r="J338" s="8">
        <v>392004</v>
      </c>
      <c r="K338" s="7" t="s">
        <v>684</v>
      </c>
    </row>
    <row r="339" spans="1:11" s="13" customFormat="1" x14ac:dyDescent="0.35">
      <c r="A339" s="7" t="s">
        <v>686</v>
      </c>
      <c r="B339" s="8">
        <v>108023</v>
      </c>
      <c r="C339" s="8">
        <v>100002335</v>
      </c>
      <c r="D339" s="9" t="s">
        <v>681</v>
      </c>
      <c r="E339" s="9" t="s">
        <v>44</v>
      </c>
      <c r="F339" s="10" t="s">
        <v>62</v>
      </c>
      <c r="G339" s="10">
        <v>132</v>
      </c>
      <c r="H339" s="49">
        <v>701</v>
      </c>
      <c r="I339" s="12">
        <f t="shared" si="5"/>
        <v>92532</v>
      </c>
      <c r="J339" s="8">
        <v>108023</v>
      </c>
      <c r="K339" s="7" t="s">
        <v>686</v>
      </c>
    </row>
    <row r="340" spans="1:11" s="13" customFormat="1" x14ac:dyDescent="0.35">
      <c r="A340" s="7" t="s">
        <v>688</v>
      </c>
      <c r="B340" s="8">
        <v>108024</v>
      </c>
      <c r="C340" s="8">
        <v>100001306</v>
      </c>
      <c r="D340" s="9" t="s">
        <v>687</v>
      </c>
      <c r="E340" s="9" t="s">
        <v>44</v>
      </c>
      <c r="F340" s="10" t="s">
        <v>62</v>
      </c>
      <c r="G340" s="10">
        <v>1786</v>
      </c>
      <c r="H340" s="49">
        <v>470</v>
      </c>
      <c r="I340" s="12">
        <f t="shared" si="5"/>
        <v>839420</v>
      </c>
      <c r="J340" s="8">
        <v>108024</v>
      </c>
      <c r="K340" s="7" t="s">
        <v>688</v>
      </c>
    </row>
    <row r="341" spans="1:11" s="13" customFormat="1" x14ac:dyDescent="0.35">
      <c r="A341" s="7" t="s">
        <v>690</v>
      </c>
      <c r="B341" s="8">
        <v>102052</v>
      </c>
      <c r="C341" s="8" t="s">
        <v>20</v>
      </c>
      <c r="D341" s="9" t="s">
        <v>697</v>
      </c>
      <c r="E341" s="9" t="s">
        <v>44</v>
      </c>
      <c r="F341" s="10" t="s">
        <v>62</v>
      </c>
      <c r="G341" s="10">
        <v>157</v>
      </c>
      <c r="H341" s="49">
        <v>8834</v>
      </c>
      <c r="I341" s="12">
        <f t="shared" si="5"/>
        <v>1386938</v>
      </c>
      <c r="J341" s="8">
        <v>102052</v>
      </c>
      <c r="K341" s="7" t="s">
        <v>690</v>
      </c>
    </row>
    <row r="342" spans="1:11" s="13" customFormat="1" x14ac:dyDescent="0.35">
      <c r="A342" s="7" t="s">
        <v>692</v>
      </c>
      <c r="B342" s="8">
        <v>392005</v>
      </c>
      <c r="C342" s="8">
        <v>100001308</v>
      </c>
      <c r="D342" s="9" t="s">
        <v>689</v>
      </c>
      <c r="E342" s="9" t="s">
        <v>44</v>
      </c>
      <c r="F342" s="10" t="s">
        <v>62</v>
      </c>
      <c r="G342" s="10">
        <v>660</v>
      </c>
      <c r="H342" s="49">
        <v>500</v>
      </c>
      <c r="I342" s="12">
        <f t="shared" si="5"/>
        <v>330000</v>
      </c>
      <c r="J342" s="8">
        <v>392005</v>
      </c>
      <c r="K342" s="7" t="s">
        <v>692</v>
      </c>
    </row>
    <row r="343" spans="1:11" s="13" customFormat="1" x14ac:dyDescent="0.35">
      <c r="A343" s="7" t="s">
        <v>694</v>
      </c>
      <c r="B343" s="8">
        <v>101075</v>
      </c>
      <c r="C343" s="8">
        <v>100004673</v>
      </c>
      <c r="D343" s="9" t="s">
        <v>693</v>
      </c>
      <c r="E343" s="9" t="s">
        <v>12</v>
      </c>
      <c r="F343" s="10" t="s">
        <v>13</v>
      </c>
      <c r="G343" s="10">
        <v>336</v>
      </c>
      <c r="H343" s="49">
        <v>30975</v>
      </c>
      <c r="I343" s="12">
        <f t="shared" si="5"/>
        <v>10407600</v>
      </c>
      <c r="J343" s="8">
        <v>101075</v>
      </c>
      <c r="K343" s="7" t="s">
        <v>694</v>
      </c>
    </row>
    <row r="344" spans="1:11" s="13" customFormat="1" x14ac:dyDescent="0.35">
      <c r="A344" s="7" t="s">
        <v>696</v>
      </c>
      <c r="B344" s="8">
        <v>106055</v>
      </c>
      <c r="C344" s="8">
        <v>100001358</v>
      </c>
      <c r="D344" s="9" t="s">
        <v>705</v>
      </c>
      <c r="E344" s="9" t="s">
        <v>31</v>
      </c>
      <c r="F344" s="10" t="s">
        <v>62</v>
      </c>
      <c r="G344" s="10">
        <v>78</v>
      </c>
      <c r="H344" s="49">
        <v>1702</v>
      </c>
      <c r="I344" s="12">
        <f t="shared" si="5"/>
        <v>132756</v>
      </c>
      <c r="J344" s="8">
        <v>106055</v>
      </c>
      <c r="K344" s="7" t="s">
        <v>696</v>
      </c>
    </row>
    <row r="345" spans="1:11" s="13" customFormat="1" x14ac:dyDescent="0.35">
      <c r="A345" s="7" t="s">
        <v>698</v>
      </c>
      <c r="B345" s="8">
        <v>102163</v>
      </c>
      <c r="C345" s="8" t="s">
        <v>20</v>
      </c>
      <c r="D345" s="9" t="s">
        <v>695</v>
      </c>
      <c r="E345" s="9" t="s">
        <v>62</v>
      </c>
      <c r="F345" s="10" t="s">
        <v>62</v>
      </c>
      <c r="G345" s="10">
        <v>54</v>
      </c>
      <c r="H345" s="49">
        <v>9510</v>
      </c>
      <c r="I345" s="12">
        <f t="shared" si="5"/>
        <v>513540</v>
      </c>
      <c r="J345" s="8">
        <v>102163</v>
      </c>
      <c r="K345" s="7" t="s">
        <v>698</v>
      </c>
    </row>
    <row r="346" spans="1:11" s="13" customFormat="1" x14ac:dyDescent="0.35">
      <c r="A346" s="7" t="s">
        <v>700</v>
      </c>
      <c r="B346" s="8">
        <v>101063</v>
      </c>
      <c r="C346" s="8">
        <v>100003904</v>
      </c>
      <c r="D346" s="9" t="s">
        <v>699</v>
      </c>
      <c r="E346" s="9" t="s">
        <v>36</v>
      </c>
      <c r="F346" s="10" t="s">
        <v>62</v>
      </c>
      <c r="G346" s="10">
        <v>96</v>
      </c>
      <c r="H346" s="49">
        <v>5012</v>
      </c>
      <c r="I346" s="12">
        <f t="shared" si="5"/>
        <v>481152</v>
      </c>
      <c r="J346" s="8">
        <v>101063</v>
      </c>
      <c r="K346" s="7" t="s">
        <v>700</v>
      </c>
    </row>
    <row r="347" spans="1:11" s="13" customFormat="1" x14ac:dyDescent="0.35">
      <c r="A347" s="7" t="s">
        <v>702</v>
      </c>
      <c r="B347" s="8">
        <v>101053</v>
      </c>
      <c r="C347" s="8">
        <v>100004493</v>
      </c>
      <c r="D347" s="9" t="s">
        <v>701</v>
      </c>
      <c r="E347" s="9" t="s">
        <v>51</v>
      </c>
      <c r="F347" s="10" t="s">
        <v>13</v>
      </c>
      <c r="G347" s="10">
        <v>112</v>
      </c>
      <c r="H347" s="49">
        <v>15748</v>
      </c>
      <c r="I347" s="12">
        <f t="shared" si="5"/>
        <v>1763776</v>
      </c>
      <c r="J347" s="8">
        <v>101053</v>
      </c>
      <c r="K347" s="7" t="s">
        <v>702</v>
      </c>
    </row>
    <row r="348" spans="1:11" s="13" customFormat="1" x14ac:dyDescent="0.35">
      <c r="A348" s="7" t="s">
        <v>704</v>
      </c>
      <c r="B348" s="8">
        <v>209152</v>
      </c>
      <c r="C348" s="8">
        <v>100003902</v>
      </c>
      <c r="D348" s="9" t="s">
        <v>703</v>
      </c>
      <c r="E348" s="9" t="s">
        <v>51</v>
      </c>
      <c r="F348" s="10" t="s">
        <v>13</v>
      </c>
      <c r="G348" s="10">
        <v>504</v>
      </c>
      <c r="H348" s="49">
        <v>7729</v>
      </c>
      <c r="I348" s="12">
        <f t="shared" si="5"/>
        <v>3895416</v>
      </c>
      <c r="J348" s="8">
        <v>209152</v>
      </c>
      <c r="K348" s="7" t="s">
        <v>704</v>
      </c>
    </row>
    <row r="349" spans="1:11" s="13" customFormat="1" x14ac:dyDescent="0.35">
      <c r="A349" s="7" t="s">
        <v>706</v>
      </c>
      <c r="B349" s="8">
        <v>209147</v>
      </c>
      <c r="C349" s="8">
        <v>100002061</v>
      </c>
      <c r="D349" s="9" t="s">
        <v>707</v>
      </c>
      <c r="E349" s="9" t="s">
        <v>12</v>
      </c>
      <c r="F349" s="10" t="s">
        <v>13</v>
      </c>
      <c r="G349" s="10">
        <v>3496</v>
      </c>
      <c r="H349" s="49">
        <v>720</v>
      </c>
      <c r="I349" s="12">
        <f t="shared" si="5"/>
        <v>2517120</v>
      </c>
      <c r="J349" s="8">
        <v>209147</v>
      </c>
      <c r="K349" s="7" t="s">
        <v>706</v>
      </c>
    </row>
    <row r="350" spans="1:11" s="13" customFormat="1" x14ac:dyDescent="0.35">
      <c r="A350" s="7" t="s">
        <v>708</v>
      </c>
      <c r="B350" s="8">
        <v>209084</v>
      </c>
      <c r="C350" s="8">
        <v>100001410</v>
      </c>
      <c r="D350" s="9" t="s">
        <v>709</v>
      </c>
      <c r="E350" s="9" t="s">
        <v>12</v>
      </c>
      <c r="F350" s="10" t="s">
        <v>13</v>
      </c>
      <c r="G350" s="10">
        <v>49170</v>
      </c>
      <c r="H350" s="49">
        <v>113</v>
      </c>
      <c r="I350" s="12">
        <f t="shared" si="5"/>
        <v>5556210</v>
      </c>
      <c r="J350" s="8">
        <v>209084</v>
      </c>
      <c r="K350" s="7" t="s">
        <v>708</v>
      </c>
    </row>
    <row r="351" spans="1:11" s="13" customFormat="1" x14ac:dyDescent="0.35">
      <c r="A351" s="7" t="s">
        <v>710</v>
      </c>
      <c r="B351" s="8">
        <v>102122</v>
      </c>
      <c r="C351" s="8">
        <v>100004702</v>
      </c>
      <c r="D351" s="9" t="s">
        <v>714</v>
      </c>
      <c r="E351" s="9" t="s">
        <v>712</v>
      </c>
      <c r="F351" s="10" t="s">
        <v>62</v>
      </c>
      <c r="G351" s="10">
        <v>1724</v>
      </c>
      <c r="H351" s="49">
        <v>791</v>
      </c>
      <c r="I351" s="12">
        <f t="shared" si="5"/>
        <v>1363684</v>
      </c>
      <c r="J351" s="8">
        <v>102122</v>
      </c>
      <c r="K351" s="7" t="s">
        <v>710</v>
      </c>
    </row>
    <row r="352" spans="1:11" s="13" customFormat="1" x14ac:dyDescent="0.35">
      <c r="A352" s="7" t="s">
        <v>713</v>
      </c>
      <c r="B352" s="8">
        <v>102189</v>
      </c>
      <c r="C352" s="8">
        <v>100004932</v>
      </c>
      <c r="D352" s="9" t="s">
        <v>711</v>
      </c>
      <c r="E352" s="9" t="s">
        <v>712</v>
      </c>
      <c r="F352" s="10" t="s">
        <v>62</v>
      </c>
      <c r="G352" s="10">
        <v>596</v>
      </c>
      <c r="H352" s="49">
        <v>1248</v>
      </c>
      <c r="I352" s="12">
        <f t="shared" si="5"/>
        <v>743808</v>
      </c>
      <c r="J352" s="8">
        <v>102189</v>
      </c>
      <c r="K352" s="7" t="s">
        <v>713</v>
      </c>
    </row>
    <row r="353" spans="1:11" s="13" customFormat="1" x14ac:dyDescent="0.35">
      <c r="A353" s="7" t="s">
        <v>715</v>
      </c>
      <c r="B353" s="8">
        <v>209067</v>
      </c>
      <c r="C353" s="8">
        <v>100004645</v>
      </c>
      <c r="D353" s="9" t="s">
        <v>716</v>
      </c>
      <c r="E353" s="9" t="s">
        <v>51</v>
      </c>
      <c r="F353" s="10" t="s">
        <v>13</v>
      </c>
      <c r="G353" s="10">
        <v>500</v>
      </c>
      <c r="H353" s="49">
        <v>11287</v>
      </c>
      <c r="I353" s="12">
        <f t="shared" si="5"/>
        <v>5643500</v>
      </c>
      <c r="J353" s="8">
        <v>209067</v>
      </c>
      <c r="K353" s="7" t="s">
        <v>715</v>
      </c>
    </row>
    <row r="354" spans="1:11" s="13" customFormat="1" x14ac:dyDescent="0.35">
      <c r="A354" s="7" t="s">
        <v>717</v>
      </c>
      <c r="B354" s="8">
        <v>209162</v>
      </c>
      <c r="C354" s="8">
        <v>100005312</v>
      </c>
      <c r="D354" s="9" t="s">
        <v>718</v>
      </c>
      <c r="E354" s="9" t="s">
        <v>51</v>
      </c>
      <c r="F354" s="10" t="s">
        <v>13</v>
      </c>
      <c r="G354" s="10">
        <v>280</v>
      </c>
      <c r="H354" s="49">
        <v>46410</v>
      </c>
      <c r="I354" s="12">
        <f t="shared" si="5"/>
        <v>12994800</v>
      </c>
      <c r="J354" s="8">
        <v>209162</v>
      </c>
      <c r="K354" s="7" t="s">
        <v>717</v>
      </c>
    </row>
    <row r="355" spans="1:11" s="13" customFormat="1" x14ac:dyDescent="0.35">
      <c r="A355" s="7" t="s">
        <v>719</v>
      </c>
      <c r="B355" s="8">
        <v>209163</v>
      </c>
      <c r="C355" s="8">
        <v>100005313</v>
      </c>
      <c r="D355" s="9" t="s">
        <v>720</v>
      </c>
      <c r="E355" s="9" t="s">
        <v>51</v>
      </c>
      <c r="F355" s="10" t="s">
        <v>13</v>
      </c>
      <c r="G355" s="10">
        <v>80</v>
      </c>
      <c r="H355" s="49">
        <v>56525</v>
      </c>
      <c r="I355" s="12">
        <f t="shared" si="5"/>
        <v>4522000</v>
      </c>
      <c r="J355" s="8">
        <v>209163</v>
      </c>
      <c r="K355" s="7" t="s">
        <v>719</v>
      </c>
    </row>
    <row r="356" spans="1:11" s="13" customFormat="1" x14ac:dyDescent="0.35">
      <c r="A356" s="7" t="s">
        <v>721</v>
      </c>
      <c r="B356" s="8">
        <v>209106</v>
      </c>
      <c r="C356" s="8">
        <v>100005314</v>
      </c>
      <c r="D356" s="9" t="s">
        <v>722</v>
      </c>
      <c r="E356" s="9" t="s">
        <v>51</v>
      </c>
      <c r="F356" s="10" t="s">
        <v>13</v>
      </c>
      <c r="G356" s="10">
        <v>115</v>
      </c>
      <c r="H356" s="49">
        <v>3570</v>
      </c>
      <c r="I356" s="12">
        <f t="shared" si="5"/>
        <v>410550</v>
      </c>
      <c r="J356" s="8">
        <v>209106</v>
      </c>
      <c r="K356" s="7" t="s">
        <v>721</v>
      </c>
    </row>
    <row r="357" spans="1:11" s="13" customFormat="1" x14ac:dyDescent="0.35">
      <c r="A357" s="7" t="s">
        <v>723</v>
      </c>
      <c r="B357" s="8">
        <v>209135</v>
      </c>
      <c r="C357" s="8">
        <v>100005315</v>
      </c>
      <c r="D357" s="9" t="s">
        <v>724</v>
      </c>
      <c r="E357" s="9" t="s">
        <v>51</v>
      </c>
      <c r="F357" s="10" t="s">
        <v>13</v>
      </c>
      <c r="G357" s="10">
        <v>0</v>
      </c>
      <c r="H357" s="49">
        <v>59500</v>
      </c>
      <c r="I357" s="12">
        <f t="shared" si="5"/>
        <v>0</v>
      </c>
      <c r="J357" s="8">
        <v>209135</v>
      </c>
      <c r="K357" s="7" t="s">
        <v>723</v>
      </c>
    </row>
    <row r="358" spans="1:11" s="13" customFormat="1" x14ac:dyDescent="0.35">
      <c r="A358" s="7" t="s">
        <v>725</v>
      </c>
      <c r="B358" s="8">
        <v>106050</v>
      </c>
      <c r="C358" s="8">
        <v>100004116</v>
      </c>
      <c r="D358" s="9" t="s">
        <v>726</v>
      </c>
      <c r="E358" s="9" t="s">
        <v>36</v>
      </c>
      <c r="F358" s="10" t="s">
        <v>13</v>
      </c>
      <c r="G358" s="10">
        <v>60</v>
      </c>
      <c r="H358" s="49">
        <v>83386</v>
      </c>
      <c r="I358" s="12">
        <f t="shared" si="5"/>
        <v>5003160</v>
      </c>
      <c r="J358" s="8">
        <v>106050</v>
      </c>
      <c r="K358" s="7" t="s">
        <v>725</v>
      </c>
    </row>
    <row r="359" spans="1:11" s="13" customFormat="1" x14ac:dyDescent="0.35">
      <c r="A359" s="7" t="s">
        <v>727</v>
      </c>
      <c r="B359" s="8">
        <v>106043</v>
      </c>
      <c r="C359" s="8">
        <v>100001438</v>
      </c>
      <c r="D359" s="9" t="s">
        <v>728</v>
      </c>
      <c r="E359" s="9" t="s">
        <v>31</v>
      </c>
      <c r="F359" s="10" t="s">
        <v>62</v>
      </c>
      <c r="G359" s="10">
        <v>3154</v>
      </c>
      <c r="H359" s="49">
        <v>143</v>
      </c>
      <c r="I359" s="12">
        <f t="shared" si="5"/>
        <v>451022</v>
      </c>
      <c r="J359" s="8">
        <v>106043</v>
      </c>
      <c r="K359" s="7" t="s">
        <v>727</v>
      </c>
    </row>
    <row r="360" spans="1:11" s="13" customFormat="1" x14ac:dyDescent="0.35">
      <c r="A360" s="7" t="s">
        <v>729</v>
      </c>
      <c r="B360" s="8">
        <v>102045</v>
      </c>
      <c r="C360" s="8">
        <v>100002080</v>
      </c>
      <c r="D360" s="9" t="s">
        <v>730</v>
      </c>
      <c r="E360" s="9" t="s">
        <v>36</v>
      </c>
      <c r="F360" s="10" t="s">
        <v>62</v>
      </c>
      <c r="G360" s="10">
        <v>0</v>
      </c>
      <c r="H360" s="49">
        <v>38240</v>
      </c>
      <c r="I360" s="12">
        <f t="shared" si="5"/>
        <v>0</v>
      </c>
      <c r="J360" s="8">
        <v>102045</v>
      </c>
      <c r="K360" s="7" t="s">
        <v>729</v>
      </c>
    </row>
    <row r="361" spans="1:11" s="13" customFormat="1" x14ac:dyDescent="0.35">
      <c r="A361" s="7" t="s">
        <v>731</v>
      </c>
      <c r="B361" s="8">
        <v>101055</v>
      </c>
      <c r="C361" s="8" t="s">
        <v>20</v>
      </c>
      <c r="D361" s="9" t="s">
        <v>732</v>
      </c>
      <c r="E361" s="9" t="s">
        <v>36</v>
      </c>
      <c r="F361" s="10" t="s">
        <v>62</v>
      </c>
      <c r="G361" s="10">
        <v>1</v>
      </c>
      <c r="H361" s="49">
        <v>1663401</v>
      </c>
      <c r="I361" s="12">
        <f t="shared" si="5"/>
        <v>1663401</v>
      </c>
      <c r="J361" s="8">
        <v>101055</v>
      </c>
      <c r="K361" s="7" t="s">
        <v>731</v>
      </c>
    </row>
    <row r="362" spans="1:11" s="13" customFormat="1" x14ac:dyDescent="0.35">
      <c r="A362" s="7" t="s">
        <v>733</v>
      </c>
      <c r="B362" s="8">
        <v>209103</v>
      </c>
      <c r="C362" s="8">
        <v>100002269</v>
      </c>
      <c r="D362" s="9" t="s">
        <v>734</v>
      </c>
      <c r="E362" s="9" t="s">
        <v>36</v>
      </c>
      <c r="F362" s="10" t="s">
        <v>13</v>
      </c>
      <c r="G362" s="10">
        <v>71</v>
      </c>
      <c r="H362" s="49">
        <v>222530</v>
      </c>
      <c r="I362" s="12">
        <f t="shared" si="5"/>
        <v>15799630</v>
      </c>
      <c r="J362" s="8">
        <v>209103</v>
      </c>
      <c r="K362" s="7" t="s">
        <v>733</v>
      </c>
    </row>
    <row r="363" spans="1:11" s="13" customFormat="1" x14ac:dyDescent="0.35">
      <c r="A363" s="7" t="s">
        <v>735</v>
      </c>
      <c r="B363" s="8">
        <v>102171</v>
      </c>
      <c r="C363" s="8">
        <v>100004675</v>
      </c>
      <c r="D363" s="9" t="s">
        <v>736</v>
      </c>
      <c r="E363" s="9" t="s">
        <v>36</v>
      </c>
      <c r="F363" s="10" t="s">
        <v>62</v>
      </c>
      <c r="G363" s="10">
        <v>19</v>
      </c>
      <c r="H363" s="49">
        <v>290360</v>
      </c>
      <c r="I363" s="12">
        <f t="shared" si="5"/>
        <v>5516840</v>
      </c>
      <c r="J363" s="8">
        <v>102171</v>
      </c>
      <c r="K363" s="7" t="s">
        <v>735</v>
      </c>
    </row>
    <row r="364" spans="1:11" s="13" customFormat="1" x14ac:dyDescent="0.35">
      <c r="A364" s="7" t="s">
        <v>737</v>
      </c>
      <c r="B364" s="8">
        <v>106044</v>
      </c>
      <c r="C364" s="8">
        <v>100001464</v>
      </c>
      <c r="D364" s="9" t="s">
        <v>740</v>
      </c>
      <c r="E364" s="9" t="s">
        <v>31</v>
      </c>
      <c r="F364" s="10" t="s">
        <v>62</v>
      </c>
      <c r="G364" s="10">
        <v>2430</v>
      </c>
      <c r="H364" s="49">
        <v>117</v>
      </c>
      <c r="I364" s="12">
        <f t="shared" si="5"/>
        <v>284310</v>
      </c>
      <c r="J364" s="8">
        <v>106044</v>
      </c>
      <c r="K364" s="7" t="s">
        <v>737</v>
      </c>
    </row>
    <row r="365" spans="1:11" s="13" customFormat="1" x14ac:dyDescent="0.35">
      <c r="A365" s="7" t="s">
        <v>739</v>
      </c>
      <c r="B365" s="8">
        <v>107011</v>
      </c>
      <c r="C365" s="8">
        <v>100001463</v>
      </c>
      <c r="D365" s="9" t="s">
        <v>742</v>
      </c>
      <c r="E365" s="9" t="s">
        <v>62</v>
      </c>
      <c r="F365" s="10" t="s">
        <v>62</v>
      </c>
      <c r="G365" s="10">
        <v>2277</v>
      </c>
      <c r="H365" s="49">
        <v>553</v>
      </c>
      <c r="I365" s="12">
        <f t="shared" si="5"/>
        <v>1259181</v>
      </c>
      <c r="J365" s="8">
        <v>107011</v>
      </c>
      <c r="K365" s="7" t="s">
        <v>739</v>
      </c>
    </row>
    <row r="366" spans="1:11" s="13" customFormat="1" x14ac:dyDescent="0.35">
      <c r="A366" s="7" t="s">
        <v>741</v>
      </c>
      <c r="B366" s="8">
        <v>104042</v>
      </c>
      <c r="C366" s="8">
        <v>100001466</v>
      </c>
      <c r="D366" s="9" t="s">
        <v>738</v>
      </c>
      <c r="E366" s="9" t="s">
        <v>146</v>
      </c>
      <c r="F366" s="10" t="s">
        <v>62</v>
      </c>
      <c r="G366" s="10">
        <v>6204</v>
      </c>
      <c r="H366" s="49">
        <v>104</v>
      </c>
      <c r="I366" s="12">
        <f t="shared" si="5"/>
        <v>645216</v>
      </c>
      <c r="J366" s="8">
        <v>104042</v>
      </c>
      <c r="K366" s="7" t="s">
        <v>741</v>
      </c>
    </row>
    <row r="367" spans="1:11" s="13" customFormat="1" x14ac:dyDescent="0.35">
      <c r="A367" s="7" t="s">
        <v>743</v>
      </c>
      <c r="B367" s="8">
        <v>101051</v>
      </c>
      <c r="C367" s="8">
        <v>100003980</v>
      </c>
      <c r="D367" s="9" t="s">
        <v>744</v>
      </c>
      <c r="E367" s="9" t="s">
        <v>36</v>
      </c>
      <c r="F367" s="10" t="s">
        <v>13</v>
      </c>
      <c r="G367" s="10">
        <v>58</v>
      </c>
      <c r="H367" s="49">
        <v>1140085</v>
      </c>
      <c r="I367" s="12">
        <f t="shared" si="5"/>
        <v>66124930</v>
      </c>
      <c r="J367" s="8">
        <v>101051</v>
      </c>
      <c r="K367" s="7" t="s">
        <v>743</v>
      </c>
    </row>
    <row r="368" spans="1:11" s="13" customFormat="1" x14ac:dyDescent="0.35">
      <c r="A368" s="7" t="s">
        <v>745</v>
      </c>
      <c r="B368" s="8">
        <v>101052</v>
      </c>
      <c r="C368" s="8">
        <v>100003979</v>
      </c>
      <c r="D368" s="9" t="s">
        <v>746</v>
      </c>
      <c r="E368" s="9" t="s">
        <v>36</v>
      </c>
      <c r="F368" s="10" t="s">
        <v>13</v>
      </c>
      <c r="G368" s="10">
        <v>85</v>
      </c>
      <c r="H368" s="49">
        <v>1824137</v>
      </c>
      <c r="I368" s="12">
        <f t="shared" si="5"/>
        <v>155051645</v>
      </c>
      <c r="J368" s="8">
        <v>101052</v>
      </c>
      <c r="K368" s="7" t="s">
        <v>745</v>
      </c>
    </row>
    <row r="369" spans="1:11" s="13" customFormat="1" x14ac:dyDescent="0.35">
      <c r="A369" s="7" t="s">
        <v>747</v>
      </c>
      <c r="B369" s="8">
        <v>102197</v>
      </c>
      <c r="C369" s="8" t="s">
        <v>20</v>
      </c>
      <c r="D369" s="9" t="s">
        <v>748</v>
      </c>
      <c r="E369" s="9" t="s">
        <v>31</v>
      </c>
      <c r="F369" s="10" t="s">
        <v>62</v>
      </c>
      <c r="G369" s="10">
        <v>0</v>
      </c>
      <c r="H369" s="49">
        <v>0</v>
      </c>
      <c r="I369" s="12">
        <f t="shared" si="5"/>
        <v>0</v>
      </c>
      <c r="J369" s="8">
        <v>102197</v>
      </c>
      <c r="K369" s="7" t="s">
        <v>747</v>
      </c>
    </row>
    <row r="370" spans="1:11" s="13" customFormat="1" x14ac:dyDescent="0.35">
      <c r="A370" s="7" t="s">
        <v>749</v>
      </c>
      <c r="B370" s="8">
        <v>102154</v>
      </c>
      <c r="C370" s="8">
        <v>100001470</v>
      </c>
      <c r="D370" s="9" t="s">
        <v>750</v>
      </c>
      <c r="E370" s="9" t="s">
        <v>12</v>
      </c>
      <c r="F370" s="10" t="s">
        <v>62</v>
      </c>
      <c r="G370" s="10">
        <v>6777</v>
      </c>
      <c r="H370" s="49">
        <v>155</v>
      </c>
      <c r="I370" s="12">
        <f t="shared" si="5"/>
        <v>1050435</v>
      </c>
      <c r="J370" s="8">
        <v>102154</v>
      </c>
      <c r="K370" s="7" t="s">
        <v>749</v>
      </c>
    </row>
    <row r="371" spans="1:11" s="13" customFormat="1" x14ac:dyDescent="0.35">
      <c r="A371" s="7" t="s">
        <v>751</v>
      </c>
      <c r="B371" s="8">
        <v>209107</v>
      </c>
      <c r="C371" s="8">
        <v>100002342</v>
      </c>
      <c r="D371" s="9" t="s">
        <v>752</v>
      </c>
      <c r="E371" s="9" t="s">
        <v>36</v>
      </c>
      <c r="F371" s="10" t="s">
        <v>13</v>
      </c>
      <c r="G371" s="10">
        <v>201</v>
      </c>
      <c r="H371" s="49">
        <v>64260</v>
      </c>
      <c r="I371" s="12">
        <f t="shared" si="5"/>
        <v>12916260</v>
      </c>
      <c r="J371" s="8">
        <v>209107</v>
      </c>
      <c r="K371" s="7" t="s">
        <v>751</v>
      </c>
    </row>
    <row r="372" spans="1:11" s="13" customFormat="1" x14ac:dyDescent="0.35">
      <c r="A372" s="7" t="s">
        <v>753</v>
      </c>
      <c r="B372" s="8">
        <v>101062</v>
      </c>
      <c r="C372" s="8" t="s">
        <v>20</v>
      </c>
      <c r="D372" s="9" t="s">
        <v>754</v>
      </c>
      <c r="E372" s="9" t="s">
        <v>36</v>
      </c>
      <c r="F372" s="10" t="s">
        <v>13</v>
      </c>
      <c r="G372" s="10">
        <v>36</v>
      </c>
      <c r="H372" s="49">
        <v>89250</v>
      </c>
      <c r="I372" s="12">
        <f t="shared" si="5"/>
        <v>3213000</v>
      </c>
      <c r="J372" s="8">
        <v>101062</v>
      </c>
      <c r="K372" s="7" t="s">
        <v>753</v>
      </c>
    </row>
    <row r="373" spans="1:11" s="13" customFormat="1" x14ac:dyDescent="0.35">
      <c r="A373" s="7" t="s">
        <v>755</v>
      </c>
      <c r="B373" s="8">
        <v>101048</v>
      </c>
      <c r="C373" s="8">
        <v>100007031</v>
      </c>
      <c r="D373" s="9" t="s">
        <v>756</v>
      </c>
      <c r="E373" s="9" t="s">
        <v>36</v>
      </c>
      <c r="F373" s="10" t="s">
        <v>13</v>
      </c>
      <c r="G373" s="10">
        <v>35</v>
      </c>
      <c r="H373" s="49">
        <v>105654</v>
      </c>
      <c r="I373" s="12">
        <f t="shared" si="5"/>
        <v>3697890</v>
      </c>
      <c r="J373" s="8">
        <v>101048</v>
      </c>
      <c r="K373" s="7" t="s">
        <v>755</v>
      </c>
    </row>
    <row r="374" spans="1:11" s="13" customFormat="1" x14ac:dyDescent="0.35">
      <c r="A374" s="7" t="s">
        <v>757</v>
      </c>
      <c r="B374" s="8">
        <v>103031</v>
      </c>
      <c r="C374" s="8">
        <v>100001547</v>
      </c>
      <c r="D374" s="9" t="s">
        <v>758</v>
      </c>
      <c r="E374" s="9" t="s">
        <v>36</v>
      </c>
      <c r="F374" s="10" t="s">
        <v>62</v>
      </c>
      <c r="G374" s="10">
        <v>880</v>
      </c>
      <c r="H374" s="49">
        <v>1586</v>
      </c>
      <c r="I374" s="12">
        <f t="shared" si="5"/>
        <v>1395680</v>
      </c>
      <c r="J374" s="8">
        <v>103031</v>
      </c>
      <c r="K374" s="7" t="s">
        <v>757</v>
      </c>
    </row>
    <row r="375" spans="1:11" s="13" customFormat="1" x14ac:dyDescent="0.35">
      <c r="A375" s="7" t="s">
        <v>759</v>
      </c>
      <c r="B375" s="8">
        <v>105010</v>
      </c>
      <c r="C375" s="8">
        <v>100001551</v>
      </c>
      <c r="D375" s="9" t="s">
        <v>762</v>
      </c>
      <c r="E375" s="9" t="s">
        <v>31</v>
      </c>
      <c r="F375" s="10" t="s">
        <v>62</v>
      </c>
      <c r="G375" s="10">
        <v>1404</v>
      </c>
      <c r="H375" s="49">
        <v>832</v>
      </c>
      <c r="I375" s="12">
        <f t="shared" si="5"/>
        <v>1168128</v>
      </c>
      <c r="J375" s="8">
        <v>105010</v>
      </c>
      <c r="K375" s="7" t="s">
        <v>759</v>
      </c>
    </row>
    <row r="376" spans="1:11" s="13" customFormat="1" x14ac:dyDescent="0.35">
      <c r="A376" s="7" t="s">
        <v>761</v>
      </c>
      <c r="B376" s="8">
        <v>105015</v>
      </c>
      <c r="C376" s="8" t="s">
        <v>20</v>
      </c>
      <c r="D376" s="9" t="s">
        <v>760</v>
      </c>
      <c r="E376" s="9" t="s">
        <v>62</v>
      </c>
      <c r="F376" s="10" t="s">
        <v>62</v>
      </c>
      <c r="G376" s="10">
        <v>5</v>
      </c>
      <c r="H376" s="49">
        <v>3897</v>
      </c>
      <c r="I376" s="12">
        <f t="shared" si="5"/>
        <v>19485</v>
      </c>
      <c r="J376" s="8">
        <v>105015</v>
      </c>
      <c r="K376" s="7" t="s">
        <v>761</v>
      </c>
    </row>
    <row r="377" spans="1:11" s="13" customFormat="1" x14ac:dyDescent="0.35">
      <c r="A377" s="7" t="s">
        <v>763</v>
      </c>
      <c r="B377" s="8">
        <v>102139</v>
      </c>
      <c r="C377" s="8">
        <v>100002567</v>
      </c>
      <c r="D377" s="9" t="s">
        <v>764</v>
      </c>
      <c r="E377" s="9" t="s">
        <v>12</v>
      </c>
      <c r="F377" s="10" t="s">
        <v>62</v>
      </c>
      <c r="G377" s="10">
        <v>3734</v>
      </c>
      <c r="H377" s="49">
        <v>30</v>
      </c>
      <c r="I377" s="12">
        <f t="shared" si="5"/>
        <v>112020</v>
      </c>
      <c r="J377" s="8">
        <v>102139</v>
      </c>
      <c r="K377" s="7" t="s">
        <v>763</v>
      </c>
    </row>
    <row r="378" spans="1:11" s="13" customFormat="1" x14ac:dyDescent="0.35">
      <c r="A378" s="7" t="s">
        <v>765</v>
      </c>
      <c r="B378" s="8">
        <v>209046</v>
      </c>
      <c r="C378" s="8" t="s">
        <v>766</v>
      </c>
      <c r="D378" s="9" t="s">
        <v>767</v>
      </c>
      <c r="E378" s="9" t="s">
        <v>36</v>
      </c>
      <c r="F378" s="10" t="s">
        <v>13</v>
      </c>
      <c r="G378" s="10">
        <v>19</v>
      </c>
      <c r="H378" s="49">
        <v>26900</v>
      </c>
      <c r="I378" s="12">
        <f t="shared" si="5"/>
        <v>511100</v>
      </c>
      <c r="J378" s="8">
        <v>209046</v>
      </c>
      <c r="K378" s="7" t="s">
        <v>765</v>
      </c>
    </row>
    <row r="379" spans="1:11" s="13" customFormat="1" x14ac:dyDescent="0.35">
      <c r="A379" s="7" t="s">
        <v>768</v>
      </c>
      <c r="B379" s="8">
        <v>209047</v>
      </c>
      <c r="C379" s="8">
        <v>100001568</v>
      </c>
      <c r="D379" s="9" t="s">
        <v>769</v>
      </c>
      <c r="E379" s="9" t="s">
        <v>36</v>
      </c>
      <c r="F379" s="10" t="s">
        <v>13</v>
      </c>
      <c r="G379" s="10">
        <v>1</v>
      </c>
      <c r="H379" s="49">
        <v>17871</v>
      </c>
      <c r="I379" s="12">
        <f t="shared" si="5"/>
        <v>17871</v>
      </c>
      <c r="J379" s="8">
        <v>209047</v>
      </c>
      <c r="K379" s="7" t="s">
        <v>768</v>
      </c>
    </row>
    <row r="380" spans="1:11" s="13" customFormat="1" x14ac:dyDescent="0.35">
      <c r="A380" s="7" t="s">
        <v>770</v>
      </c>
      <c r="B380" s="8">
        <v>209037</v>
      </c>
      <c r="C380" s="8">
        <v>100005318</v>
      </c>
      <c r="D380" s="9" t="s">
        <v>771</v>
      </c>
      <c r="E380" s="9" t="s">
        <v>36</v>
      </c>
      <c r="F380" s="10" t="s">
        <v>13</v>
      </c>
      <c r="G380" s="10">
        <v>16</v>
      </c>
      <c r="H380" s="49">
        <v>307290</v>
      </c>
      <c r="I380" s="12">
        <f t="shared" si="5"/>
        <v>4916640</v>
      </c>
      <c r="J380" s="8">
        <v>209037</v>
      </c>
      <c r="K380" s="7" t="s">
        <v>770</v>
      </c>
    </row>
    <row r="381" spans="1:11" s="13" customFormat="1" x14ac:dyDescent="0.35">
      <c r="A381"/>
      <c r="B381"/>
      <c r="C381"/>
      <c r="D381"/>
      <c r="E381"/>
      <c r="F381"/>
      <c r="G381"/>
      <c r="H381" s="50" t="s">
        <v>772</v>
      </c>
      <c r="I381" s="50">
        <f>SUM(I11:I380)</f>
        <v>1684145100</v>
      </c>
    </row>
    <row r="382" spans="1:11" s="13" customFormat="1" x14ac:dyDescent="0.35">
      <c r="A382"/>
      <c r="B382"/>
      <c r="C382"/>
      <c r="D382"/>
      <c r="E382"/>
      <c r="F382"/>
      <c r="G382"/>
    </row>
    <row r="383" spans="1:11" s="13" customFormat="1" x14ac:dyDescent="0.35">
      <c r="A383"/>
      <c r="B383"/>
      <c r="C383"/>
      <c r="D383"/>
      <c r="E383"/>
      <c r="F383"/>
      <c r="G383"/>
    </row>
    <row r="384" spans="1:11" s="13" customFormat="1" x14ac:dyDescent="0.35">
      <c r="A384"/>
      <c r="B384"/>
      <c r="C384"/>
      <c r="D384"/>
      <c r="E384"/>
      <c r="F384"/>
      <c r="G384"/>
    </row>
    <row r="385" spans="1:8" s="13" customFormat="1" x14ac:dyDescent="0.35">
      <c r="A385"/>
      <c r="B385"/>
      <c r="C385"/>
      <c r="D385"/>
      <c r="E385"/>
      <c r="F385"/>
      <c r="G385"/>
    </row>
    <row r="386" spans="1:8" s="13" customFormat="1" x14ac:dyDescent="0.35">
      <c r="A386" s="51"/>
      <c r="B386" s="52"/>
      <c r="C386" s="52"/>
      <c r="D386" s="53"/>
      <c r="E386" s="53"/>
      <c r="F386" s="3"/>
    </row>
    <row r="387" spans="1:8" s="13" customFormat="1" x14ac:dyDescent="0.35">
      <c r="A387" s="51"/>
      <c r="B387" s="52"/>
      <c r="C387" s="52"/>
      <c r="D387" s="53" t="s">
        <v>809</v>
      </c>
      <c r="E387" s="53"/>
      <c r="F387" s="3"/>
    </row>
    <row r="388" spans="1:8" x14ac:dyDescent="0.35">
      <c r="B388"/>
    </row>
    <row r="389" spans="1:8" ht="16" x14ac:dyDescent="0.4">
      <c r="A389" s="22"/>
    </row>
    <row r="390" spans="1:8" s="6" customFormat="1" ht="25.5" customHeight="1" x14ac:dyDescent="0.4">
      <c r="A390" s="22"/>
      <c r="B390" s="23" t="s">
        <v>2</v>
      </c>
      <c r="C390" s="23" t="s">
        <v>3</v>
      </c>
      <c r="D390" s="23" t="s">
        <v>4</v>
      </c>
      <c r="E390" s="23" t="s">
        <v>5</v>
      </c>
    </row>
    <row r="391" spans="1:8" s="13" customFormat="1" ht="21.75" customHeight="1" x14ac:dyDescent="0.35">
      <c r="A391" s="7"/>
      <c r="B391" s="24">
        <v>106067</v>
      </c>
      <c r="C391" s="24" t="s">
        <v>20</v>
      </c>
      <c r="D391" s="25" t="s">
        <v>773</v>
      </c>
      <c r="E391" s="25" t="s">
        <v>36</v>
      </c>
      <c r="F391" s="26"/>
    </row>
    <row r="392" spans="1:8" s="13" customFormat="1" x14ac:dyDescent="0.35">
      <c r="A392" s="7"/>
      <c r="B392" s="24">
        <v>101067</v>
      </c>
      <c r="C392" s="24">
        <v>100002194</v>
      </c>
      <c r="D392" s="25" t="s">
        <v>774</v>
      </c>
      <c r="E392" s="25" t="s">
        <v>36</v>
      </c>
      <c r="F392" s="26"/>
    </row>
    <row r="393" spans="1:8" s="13" customFormat="1" x14ac:dyDescent="0.35">
      <c r="A393" s="7"/>
      <c r="B393" s="24">
        <v>102046</v>
      </c>
      <c r="C393" s="24">
        <v>100002308</v>
      </c>
      <c r="D393" s="25" t="s">
        <v>775</v>
      </c>
      <c r="E393" s="25" t="s">
        <v>36</v>
      </c>
      <c r="F393" s="26"/>
    </row>
    <row r="394" spans="1:8" s="13" customFormat="1" ht="26" x14ac:dyDescent="0.35">
      <c r="A394" s="7"/>
      <c r="B394" s="24">
        <v>209001</v>
      </c>
      <c r="C394" s="24">
        <v>100002210</v>
      </c>
      <c r="D394" s="25" t="s">
        <v>776</v>
      </c>
      <c r="E394" s="25" t="s">
        <v>36</v>
      </c>
      <c r="F394" s="26"/>
      <c r="H394" s="13" t="s">
        <v>777</v>
      </c>
    </row>
    <row r="395" spans="1:8" s="13" customFormat="1" x14ac:dyDescent="0.35">
      <c r="A395" s="7"/>
      <c r="B395" s="24">
        <v>102174</v>
      </c>
      <c r="C395" s="24">
        <v>100000699</v>
      </c>
      <c r="D395" s="25" t="s">
        <v>778</v>
      </c>
      <c r="E395" s="25" t="s">
        <v>36</v>
      </c>
      <c r="F395" s="26"/>
    </row>
    <row r="396" spans="1:8" s="13" customFormat="1" x14ac:dyDescent="0.35">
      <c r="A396" s="7"/>
      <c r="B396" s="24">
        <v>209111</v>
      </c>
      <c r="C396" s="24" t="s">
        <v>20</v>
      </c>
      <c r="D396" s="25" t="s">
        <v>779</v>
      </c>
      <c r="E396" s="25" t="s">
        <v>51</v>
      </c>
      <c r="F396" s="26"/>
    </row>
    <row r="397" spans="1:8" s="13" customFormat="1" ht="26" x14ac:dyDescent="0.35">
      <c r="A397" s="7"/>
      <c r="B397" s="24">
        <v>101101</v>
      </c>
      <c r="C397" s="24" t="s">
        <v>20</v>
      </c>
      <c r="D397" s="25" t="s">
        <v>780</v>
      </c>
      <c r="E397" s="25" t="s">
        <v>39</v>
      </c>
      <c r="F397" s="26"/>
    </row>
    <row r="398" spans="1:8" s="13" customFormat="1" x14ac:dyDescent="0.35">
      <c r="A398" s="7"/>
      <c r="B398" s="24">
        <v>101105</v>
      </c>
      <c r="C398" s="24" t="s">
        <v>20</v>
      </c>
      <c r="D398" s="25" t="s">
        <v>781</v>
      </c>
      <c r="E398" s="25" t="s">
        <v>51</v>
      </c>
      <c r="F398" s="26"/>
    </row>
    <row r="399" spans="1:8" s="13" customFormat="1" x14ac:dyDescent="0.35">
      <c r="A399" s="7"/>
      <c r="B399" s="24">
        <v>102063</v>
      </c>
      <c r="C399" s="24">
        <v>100002539</v>
      </c>
      <c r="D399" s="25" t="s">
        <v>782</v>
      </c>
      <c r="E399" s="25" t="s">
        <v>12</v>
      </c>
      <c r="F399" s="26"/>
    </row>
    <row r="400" spans="1:8" s="13" customFormat="1" ht="32.25" customHeight="1" x14ac:dyDescent="0.35">
      <c r="A400" s="7"/>
      <c r="B400" s="24">
        <v>102064</v>
      </c>
      <c r="C400" s="24">
        <v>100002081</v>
      </c>
      <c r="D400" s="25" t="s">
        <v>783</v>
      </c>
      <c r="E400" s="25" t="s">
        <v>36</v>
      </c>
      <c r="F400" s="26"/>
    </row>
    <row r="401" spans="1:6" ht="21" x14ac:dyDescent="0.35">
      <c r="A401" s="27"/>
    </row>
    <row r="402" spans="1:6" x14ac:dyDescent="0.35">
      <c r="B402"/>
    </row>
    <row r="403" spans="1:6" ht="21" x14ac:dyDescent="0.35">
      <c r="A403" s="27"/>
    </row>
    <row r="404" spans="1:6" s="6" customFormat="1" ht="25.5" customHeight="1" x14ac:dyDescent="0.35">
      <c r="A404" s="28"/>
      <c r="B404" s="23" t="s">
        <v>2</v>
      </c>
      <c r="C404" s="23" t="s">
        <v>3</v>
      </c>
      <c r="D404" s="23" t="s">
        <v>4</v>
      </c>
      <c r="E404" s="23" t="s">
        <v>5</v>
      </c>
      <c r="F404"/>
    </row>
    <row r="405" spans="1:6" s="13" customFormat="1" x14ac:dyDescent="0.35">
      <c r="A405" s="7"/>
      <c r="B405" s="24">
        <v>101092</v>
      </c>
      <c r="C405" s="24" t="s">
        <v>20</v>
      </c>
      <c r="D405" s="25" t="s">
        <v>784</v>
      </c>
      <c r="E405" s="25" t="s">
        <v>12</v>
      </c>
      <c r="F405" s="26"/>
    </row>
    <row r="406" spans="1:6" s="13" customFormat="1" x14ac:dyDescent="0.35">
      <c r="A406" s="7"/>
      <c r="B406" s="24">
        <v>101091</v>
      </c>
      <c r="C406" s="24" t="s">
        <v>20</v>
      </c>
      <c r="D406" s="25" t="s">
        <v>785</v>
      </c>
      <c r="E406" s="25" t="s">
        <v>12</v>
      </c>
      <c r="F406" s="26"/>
    </row>
    <row r="407" spans="1:6" s="13" customFormat="1" x14ac:dyDescent="0.35">
      <c r="A407" s="7"/>
      <c r="B407" s="24">
        <v>209143</v>
      </c>
      <c r="C407" s="24">
        <v>100004648</v>
      </c>
      <c r="D407" s="25" t="s">
        <v>786</v>
      </c>
      <c r="E407" s="25" t="s">
        <v>39</v>
      </c>
      <c r="F407" s="26"/>
    </row>
    <row r="408" spans="1:6" s="13" customFormat="1" x14ac:dyDescent="0.35">
      <c r="A408" s="7"/>
      <c r="B408" s="24">
        <v>101088</v>
      </c>
      <c r="C408" s="24" t="s">
        <v>20</v>
      </c>
      <c r="D408" s="25" t="s">
        <v>787</v>
      </c>
      <c r="E408" s="25" t="s">
        <v>51</v>
      </c>
      <c r="F408" s="26"/>
    </row>
    <row r="409" spans="1:6" s="13" customFormat="1" x14ac:dyDescent="0.35">
      <c r="A409" s="7"/>
      <c r="B409" s="24">
        <v>101089</v>
      </c>
      <c r="C409" s="24" t="s">
        <v>20</v>
      </c>
      <c r="D409" s="25" t="s">
        <v>788</v>
      </c>
      <c r="E409" s="25" t="s">
        <v>51</v>
      </c>
      <c r="F409" s="26"/>
    </row>
    <row r="410" spans="1:6" s="13" customFormat="1" x14ac:dyDescent="0.35">
      <c r="A410" s="7"/>
      <c r="B410" s="24">
        <v>101090</v>
      </c>
      <c r="C410" s="24" t="s">
        <v>20</v>
      </c>
      <c r="D410" s="25" t="s">
        <v>789</v>
      </c>
      <c r="E410" s="25" t="s">
        <v>51</v>
      </c>
      <c r="F410" s="26"/>
    </row>
    <row r="411" spans="1:6" s="13" customFormat="1" ht="26" x14ac:dyDescent="0.35">
      <c r="A411" s="7"/>
      <c r="B411" s="24">
        <v>101043</v>
      </c>
      <c r="C411" s="24" t="s">
        <v>20</v>
      </c>
      <c r="D411" s="25" t="s">
        <v>790</v>
      </c>
      <c r="E411" s="25" t="s">
        <v>36</v>
      </c>
      <c r="F411" s="26"/>
    </row>
    <row r="412" spans="1:6" s="13" customFormat="1" x14ac:dyDescent="0.35">
      <c r="A412" s="7"/>
      <c r="B412" s="24">
        <v>101096</v>
      </c>
      <c r="C412" s="24" t="s">
        <v>20</v>
      </c>
      <c r="D412" s="25" t="s">
        <v>791</v>
      </c>
      <c r="E412" s="25" t="s">
        <v>51</v>
      </c>
      <c r="F412" s="26"/>
    </row>
    <row r="413" spans="1:6" s="13" customFormat="1" x14ac:dyDescent="0.35">
      <c r="A413" s="7"/>
      <c r="B413" s="24">
        <v>101068</v>
      </c>
      <c r="C413" s="24">
        <v>100006198</v>
      </c>
      <c r="D413" s="25" t="s">
        <v>792</v>
      </c>
      <c r="E413" s="25" t="s">
        <v>51</v>
      </c>
      <c r="F413" s="26"/>
    </row>
    <row r="414" spans="1:6" s="13" customFormat="1" x14ac:dyDescent="0.35">
      <c r="A414" s="7"/>
      <c r="B414" s="24">
        <v>101100</v>
      </c>
      <c r="C414" s="24" t="s">
        <v>20</v>
      </c>
      <c r="D414" s="25" t="s">
        <v>793</v>
      </c>
      <c r="E414" s="25" t="s">
        <v>51</v>
      </c>
      <c r="F414" s="26"/>
    </row>
    <row r="415" spans="1:6" s="13" customFormat="1" x14ac:dyDescent="0.35">
      <c r="A415" s="7"/>
      <c r="B415" s="24">
        <v>201027</v>
      </c>
      <c r="C415" s="24" t="s">
        <v>20</v>
      </c>
      <c r="D415" s="25" t="s">
        <v>794</v>
      </c>
      <c r="E415" s="25" t="s">
        <v>12</v>
      </c>
      <c r="F415" s="26"/>
    </row>
    <row r="416" spans="1:6" ht="16" x14ac:dyDescent="0.4">
      <c r="A416" s="29"/>
    </row>
    <row r="417" spans="1:1" ht="16" x14ac:dyDescent="0.4">
      <c r="A417" s="29"/>
    </row>
    <row r="418" spans="1:1" ht="16" x14ac:dyDescent="0.4">
      <c r="A418" s="22"/>
    </row>
    <row r="419" spans="1:1" ht="16" x14ac:dyDescent="0.4">
      <c r="A419" s="22"/>
    </row>
    <row r="420" spans="1:1" ht="16" x14ac:dyDescent="0.4">
      <c r="A420" s="22"/>
    </row>
    <row r="421" spans="1:1" ht="16" x14ac:dyDescent="0.4">
      <c r="A421" s="22"/>
    </row>
    <row r="422" spans="1:1" ht="16" x14ac:dyDescent="0.4">
      <c r="A422" s="22"/>
    </row>
    <row r="423" spans="1:1" ht="16" x14ac:dyDescent="0.4">
      <c r="A423" s="22"/>
    </row>
    <row r="424" spans="1:1" ht="16" x14ac:dyDescent="0.4">
      <c r="A424" s="22"/>
    </row>
    <row r="425" spans="1:1" ht="16" x14ac:dyDescent="0.4">
      <c r="A425" s="22"/>
    </row>
    <row r="426" spans="1:1" ht="16" x14ac:dyDescent="0.4">
      <c r="A426" s="22"/>
    </row>
    <row r="427" spans="1:1" ht="16" x14ac:dyDescent="0.4">
      <c r="A427" s="22"/>
    </row>
    <row r="428" spans="1:1" ht="16" x14ac:dyDescent="0.4">
      <c r="A428" s="22"/>
    </row>
    <row r="429" spans="1:1" ht="16" x14ac:dyDescent="0.4">
      <c r="A429" s="22"/>
    </row>
    <row r="430" spans="1:1" ht="16" x14ac:dyDescent="0.4">
      <c r="A430" s="22"/>
    </row>
    <row r="431" spans="1:1" ht="16" x14ac:dyDescent="0.4">
      <c r="A431" s="22"/>
    </row>
    <row r="432" spans="1:1" ht="16" x14ac:dyDescent="0.4">
      <c r="A432" s="22"/>
    </row>
    <row r="433" spans="1:1" ht="16" x14ac:dyDescent="0.4">
      <c r="A433" s="22"/>
    </row>
    <row r="434" spans="1:1" ht="16" x14ac:dyDescent="0.4">
      <c r="A434" s="22"/>
    </row>
    <row r="435" spans="1:1" ht="16" x14ac:dyDescent="0.4">
      <c r="A435" s="22"/>
    </row>
    <row r="436" spans="1:1" ht="16" x14ac:dyDescent="0.4">
      <c r="A436" s="22"/>
    </row>
    <row r="437" spans="1:1" ht="16" x14ac:dyDescent="0.4">
      <c r="A437" s="22"/>
    </row>
    <row r="438" spans="1:1" ht="16" x14ac:dyDescent="0.4">
      <c r="A438" s="22"/>
    </row>
    <row r="439" spans="1:1" ht="16" x14ac:dyDescent="0.4">
      <c r="A439" s="22"/>
    </row>
  </sheetData>
  <conditionalFormatting sqref="B386:B1048576 B5:B9 B11:B380">
    <cfRule type="duplicateValues" dxfId="1" priority="1"/>
  </conditionalFormatting>
  <conditionalFormatting sqref="J11:J380">
    <cfRule type="duplicateValues" dxfId="0" priority="2"/>
  </conditionalFormatting>
  <pageMargins left="0.7" right="0.7" top="0.75" bottom="0.75" header="0.3" footer="0.3"/>
  <pageSetup scale="2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Arsenal</vt:lpstr>
      <vt:lpstr>Tabla 1 Arsenal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2025-12-30T21:24:30Z</dcterms:created>
  <dcterms:modified xsi:type="dcterms:W3CDTF">2025-12-30T21:26:07Z</dcterms:modified>
</cp:coreProperties>
</file>